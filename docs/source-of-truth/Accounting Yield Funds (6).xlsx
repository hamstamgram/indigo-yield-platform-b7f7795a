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NE - BTC Boosted Program" sheetId="1" state="visible" r:id="rId1"/>
    <sheet xmlns:r="http://schemas.openxmlformats.org/officeDocument/2006/relationships" name="DONE - BTC TAC Program" sheetId="2" state="hidden" r:id="rId2"/>
    <sheet xmlns:r="http://schemas.openxmlformats.org/officeDocument/2006/relationships" name="Done - ETH TAC Program" sheetId="3" state="hidden" r:id="rId3"/>
    <sheet xmlns:r="http://schemas.openxmlformats.org/officeDocument/2006/relationships" name="Investments" sheetId="4" state="visible" r:id="rId4"/>
    <sheet xmlns:r="http://schemas.openxmlformats.org/officeDocument/2006/relationships" name="BTC Yield Fund" sheetId="5" state="visible" r:id="rId5"/>
    <sheet xmlns:r="http://schemas.openxmlformats.org/officeDocument/2006/relationships" name="ETH Yield Fund" sheetId="6" state="visible" r:id="rId6"/>
    <sheet xmlns:r="http://schemas.openxmlformats.org/officeDocument/2006/relationships" name="USDT Yield Fund" sheetId="7" state="visible" r:id="rId7"/>
    <sheet xmlns:r="http://schemas.openxmlformats.org/officeDocument/2006/relationships" name="SOL Yield Fund" sheetId="8" state="visible" r:id="rId8"/>
    <sheet xmlns:r="http://schemas.openxmlformats.org/officeDocument/2006/relationships" name="XRP Yield Fund" sheetId="9" state="visible" r:id="rId9"/>
    <sheet xmlns:r="http://schemas.openxmlformats.org/officeDocument/2006/relationships" name="Report" sheetId="10" state="visible" r:id="rId10"/>
    <sheet xmlns:r="http://schemas.openxmlformats.org/officeDocument/2006/relationships" name="Performances" sheetId="11" state="visible" r:id="rId11"/>
    <sheet xmlns:r="http://schemas.openxmlformats.org/officeDocument/2006/relationships" name="Invest Value" sheetId="12" state="visible" r:id="rId12"/>
  </sheets>
  <definedNames>
    <definedName name="_xlnm._FilterDatabase" localSheetId="3" hidden="1">'Investments'!$A$1:$D$1026</definedName>
  </definedNames>
  <calcPr calcId="124519" fullCalcOnLoad="1"/>
  <pivotCaches>
    <pivotCache xmlns:r="http://schemas.openxmlformats.org/officeDocument/2006/relationships" cacheId="0" r:id="rId13"/>
  </pivotCaches>
</workbook>
</file>

<file path=xl/styles.xml><?xml version="1.0" encoding="utf-8"?>
<styleSheet xmlns="http://schemas.openxmlformats.org/spreadsheetml/2006/main">
  <numFmts count="20">
    <numFmt numFmtId="164" formatCode="dd/mm"/>
    <numFmt numFmtId="165" formatCode="dd/mm/yyyy"/>
    <numFmt numFmtId="166" formatCode="#,##0.0000;(#,##0.0000);-"/>
    <numFmt numFmtId="167" formatCode="#,##0.0000"/>
    <numFmt numFmtId="168" formatCode="0.0000%;;-"/>
    <numFmt numFmtId="169" formatCode="0.0000%"/>
    <numFmt numFmtId="170" formatCode="d/m/yyyy"/>
    <numFmt numFmtId="171" formatCode="0.0000000000%"/>
    <numFmt numFmtId="172" formatCode="dd&quot;/&quot;mm"/>
    <numFmt numFmtId="173" formatCode="0.0000"/>
    <numFmt numFmtId="174" formatCode="#,##0.00000000000000"/>
    <numFmt numFmtId="175" formatCode="0.0000000000000000000"/>
    <numFmt numFmtId="176" formatCode="#,##0.0000000000000000000000000"/>
    <numFmt numFmtId="177" formatCode="0.0%"/>
    <numFmt numFmtId="178" formatCode="#,##0.0000000;(#,##0.0000000);-"/>
    <numFmt numFmtId="179" formatCode="0.000000000000000000000000"/>
    <numFmt numFmtId="180" formatCode="#,##0.0000000000000000000000"/>
    <numFmt numFmtId="181" formatCode="#,##0.00;(#,##0.00);-"/>
    <numFmt numFmtId="182" formatCode="#,##0.00000000000000000"/>
    <numFmt numFmtId="183" formatCode="mmm&quot; &quot;yyyy"/>
  </numFmts>
  <fonts count="23">
    <font>
      <name val="Arial"/>
      <color rgb="FF000000"/>
      <sz val="10"/>
      <scheme val="minor"/>
    </font>
    <font>
      <name val="Arial"/>
      <b val="1"/>
      <color rgb="FFFFFFFF"/>
      <sz val="12"/>
    </font>
    <font>
      <name val="Arial"/>
      <b val="1"/>
      <color rgb="FFFFFFFF"/>
    </font>
    <font>
      <name val="Arial"/>
      <color rgb="FFFFFFFF"/>
    </font>
    <font>
      <name val="Arial"/>
      <b val="1"/>
      <color theme="1"/>
      <sz val="12"/>
    </font>
    <font>
      <name val="Arial"/>
      <b val="1"/>
      <color theme="1"/>
    </font>
    <font>
      <name val="Arial"/>
      <color theme="1"/>
    </font>
    <font>
      <name val="Arial"/>
      <color theme="1"/>
      <sz val="11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color theme="1"/>
      <scheme val="minor"/>
    </font>
    <font>
      <name val="Arial"/>
      <color theme="1"/>
      <sz val="10"/>
    </font>
    <font>
      <name val="Arial"/>
      <color rgb="FF000000"/>
    </font>
    <font>
      <name val="Arial"/>
      <b val="1"/>
      <color rgb="FF000000"/>
    </font>
    <font>
      <name val="Arial"/>
      <color rgb="FF000000"/>
      <sz val="10"/>
    </font>
    <font>
      <name val="Arial"/>
      <b val="1"/>
      <color theme="1"/>
      <sz val="10"/>
    </font>
    <font>
      <name val="Arial"/>
      <b val="1"/>
      <color rgb="FFFF0000"/>
      <sz val="11"/>
    </font>
    <font>
      <name val="Arial"/>
      <b val="1"/>
      <i val="1"/>
      <color theme="1"/>
      <sz val="11"/>
    </font>
    <font>
      <name val="Aptos"/>
      <b val="1"/>
      <i val="1"/>
      <color theme="1"/>
      <sz val="11"/>
    </font>
    <font>
      <name val="Arial"/>
      <b val="1"/>
      <i val="1"/>
      <color rgb="FF000000"/>
      <sz val="11"/>
    </font>
    <font/>
    <font>
      <name val="Arial"/>
      <color rgb="FFFF0000"/>
    </font>
    <font>
      <b val="1"/>
      <color rgb="00FFFFFF"/>
    </font>
  </fonts>
  <fills count="21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00366092"/>
        <bgColor rgb="00366092"/>
      </patternFill>
    </fill>
  </fills>
  <borders count="14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164" fontId="3" fillId="4" borderId="0" pivotButton="0" quotePrefix="0" xfId="0"/>
    <xf numFmtId="164" fontId="3" fillId="5" borderId="0" pivotButton="0" quotePrefix="0" xfId="0"/>
    <xf numFmtId="165" fontId="4" fillId="0" borderId="0" pivotButton="0" quotePrefix="0" xfId="0"/>
    <xf numFmtId="0" fontId="5" fillId="0" borderId="0" pivotButton="0" quotePrefix="0" xfId="0"/>
    <xf numFmtId="9" fontId="6" fillId="6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9" fontId="6" fillId="0" borderId="0" applyAlignment="1" pivotButton="0" quotePrefix="0" xfId="0">
      <alignment horizontal="center"/>
    </xf>
    <xf numFmtId="166" fontId="6" fillId="0" borderId="0" pivotButton="0" quotePrefix="0" xfId="0"/>
    <xf numFmtId="10" fontId="6" fillId="0" borderId="0" pivotButton="0" quotePrefix="0" xfId="0"/>
    <xf numFmtId="0" fontId="6" fillId="0" borderId="0" pivotButton="0" quotePrefix="0" xfId="0"/>
    <xf numFmtId="167" fontId="5" fillId="0" borderId="0" pivotButton="0" quotePrefix="0" xfId="0"/>
    <xf numFmtId="0" fontId="7" fillId="6" borderId="0" applyAlignment="1" pivotButton="0" quotePrefix="0" xfId="0">
      <alignment horizontal="center"/>
    </xf>
    <xf numFmtId="168" fontId="6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10" fontId="5" fillId="0" borderId="1" pivotButton="0" quotePrefix="0" xfId="0"/>
    <xf numFmtId="9" fontId="6" fillId="0" borderId="0" pivotButton="0" quotePrefix="0" xfId="0"/>
    <xf numFmtId="169" fontId="5" fillId="0" borderId="0" pivotButton="0" quotePrefix="0" xfId="0"/>
    <xf numFmtId="170" fontId="4" fillId="0" borderId="0" pivotButton="0" quotePrefix="0" xfId="0"/>
    <xf numFmtId="171" fontId="6" fillId="0" borderId="0" pivotButton="0" quotePrefix="0" xfId="0"/>
    <xf numFmtId="0" fontId="4" fillId="0" borderId="0" pivotButton="0" quotePrefix="0" xfId="0"/>
    <xf numFmtId="165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9" fontId="6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9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72" fontId="3" fillId="7" borderId="0" pivotButton="0" quotePrefix="0" xfId="0"/>
    <xf numFmtId="172" fontId="3" fillId="4" borderId="0" pivotButton="0" quotePrefix="0" xfId="0"/>
    <xf numFmtId="173" fontId="6" fillId="0" borderId="0" pivotButton="0" quotePrefix="0" xfId="0"/>
    <xf numFmtId="168" fontId="7" fillId="0" borderId="0" pivotButton="0" quotePrefix="0" xfId="0"/>
    <xf numFmtId="168" fontId="5" fillId="0" borderId="1" pivotButton="0" quotePrefix="0" xfId="0"/>
    <xf numFmtId="167" fontId="5" fillId="0" borderId="1" pivotButton="0" quotePrefix="0" xfId="0"/>
    <xf numFmtId="10" fontId="5" fillId="0" borderId="0" pivotButton="0" quotePrefix="0" xfId="0"/>
    <xf numFmtId="174" fontId="5" fillId="8" borderId="2" pivotButton="0" quotePrefix="0" xfId="0"/>
    <xf numFmtId="174" fontId="5" fillId="9" borderId="0" pivotButton="0" quotePrefix="0" xfId="0"/>
    <xf numFmtId="0" fontId="5" fillId="9" borderId="0" pivotButton="0" quotePrefix="0" xfId="0"/>
    <xf numFmtId="174" fontId="6" fillId="0" borderId="2" pivotButton="0" quotePrefix="0" xfId="0"/>
    <xf numFmtId="174" fontId="10" fillId="0" borderId="0" pivotButton="0" quotePrefix="0" xfId="0"/>
    <xf numFmtId="174" fontId="6" fillId="0" borderId="0" pivotButton="0" quotePrefix="0" xfId="0"/>
    <xf numFmtId="165" fontId="6" fillId="0" borderId="2" pivotButton="0" quotePrefix="0" xfId="0"/>
    <xf numFmtId="0" fontId="6" fillId="0" borderId="2" pivotButton="0" quotePrefix="0" xfId="0"/>
    <xf numFmtId="4" fontId="6" fillId="0" borderId="2" pivotButton="0" quotePrefix="0" xfId="0"/>
    <xf numFmtId="0" fontId="10" fillId="0" borderId="0" pivotButton="0" quotePrefix="0" xfId="0"/>
    <xf numFmtId="175" fontId="2" fillId="2" borderId="0" applyAlignment="1" pivotButton="0" quotePrefix="0" xfId="0">
      <alignment horizontal="center"/>
    </xf>
    <xf numFmtId="175" fontId="7" fillId="0" borderId="0" applyAlignment="1" pivotButton="0" quotePrefix="0" xfId="0">
      <alignment horizontal="center"/>
    </xf>
    <xf numFmtId="175" fontId="10" fillId="0" borderId="0" pivotButton="0" quotePrefix="0" xfId="0"/>
    <xf numFmtId="175" fontId="5" fillId="0" borderId="0" applyAlignment="1" pivotButton="0" quotePrefix="0" xfId="0">
      <alignment horizontal="right"/>
    </xf>
    <xf numFmtId="175" fontId="5" fillId="0" borderId="0" pivotButton="0" quotePrefix="0" xfId="0"/>
    <xf numFmtId="175" fontId="6" fillId="0" borderId="0" applyAlignment="1" pivotButton="0" quotePrefix="0" xfId="0">
      <alignment horizontal="center"/>
    </xf>
    <xf numFmtId="175" fontId="5" fillId="0" borderId="0" applyAlignment="1" pivotButton="0" quotePrefix="0" xfId="0">
      <alignment horizontal="center" vertical="center"/>
    </xf>
    <xf numFmtId="175" fontId="6" fillId="0" borderId="0" pivotButton="0" quotePrefix="0" xfId="0"/>
    <xf numFmtId="175" fontId="2" fillId="2" borderId="0" applyAlignment="1" pivotButton="0" quotePrefix="0" xfId="0">
      <alignment horizontal="center" vertical="center"/>
    </xf>
    <xf numFmtId="175" fontId="6" fillId="0" borderId="0" applyAlignment="1" pivotButton="0" quotePrefix="0" xfId="0">
      <alignment wrapText="1"/>
    </xf>
    <xf numFmtId="175" fontId="6" fillId="0" borderId="0" applyAlignment="1" pivotButton="0" quotePrefix="1" xfId="0">
      <alignment wrapText="1"/>
    </xf>
    <xf numFmtId="175" fontId="2" fillId="3" borderId="0" pivotButton="0" quotePrefix="0" xfId="0"/>
    <xf numFmtId="175" fontId="2" fillId="10" borderId="0" applyAlignment="1" pivotButton="0" quotePrefix="0" xfId="0">
      <alignment horizontal="center" vertical="center"/>
    </xf>
    <xf numFmtId="175" fontId="3" fillId="4" borderId="0" pivotButton="0" quotePrefix="0" xfId="0"/>
    <xf numFmtId="175" fontId="3" fillId="5" borderId="0" pivotButton="0" quotePrefix="0" xfId="0"/>
    <xf numFmtId="164" fontId="6" fillId="0" borderId="0" pivotButton="0" quotePrefix="0" xfId="0"/>
    <xf numFmtId="175" fontId="8" fillId="0" borderId="0" pivotButton="0" quotePrefix="0" xfId="0"/>
    <xf numFmtId="175" fontId="8" fillId="11" borderId="0" pivotButton="0" quotePrefix="0" xfId="0"/>
    <xf numFmtId="175" fontId="5" fillId="11" borderId="0" pivotButton="0" quotePrefix="0" xfId="0"/>
    <xf numFmtId="176" fontId="6" fillId="0" borderId="0" pivotButton="0" quotePrefix="0" xfId="0"/>
    <xf numFmtId="177" fontId="6" fillId="0" borderId="0" applyAlignment="1" pivotButton="0" quotePrefix="0" xfId="0">
      <alignment horizontal="center"/>
    </xf>
    <xf numFmtId="0" fontId="8" fillId="12" borderId="0" pivotButton="0" quotePrefix="0" xfId="0"/>
    <xf numFmtId="0" fontId="5" fillId="12" borderId="0" pivotButton="0" quotePrefix="0" xfId="0"/>
    <xf numFmtId="169" fontId="5" fillId="12" borderId="0" pivotButton="0" quotePrefix="0" xfId="0"/>
    <xf numFmtId="178" fontId="6" fillId="0" borderId="0" pivotButton="0" quotePrefix="0" xfId="0"/>
    <xf numFmtId="179" fontId="2" fillId="2" borderId="0" applyAlignment="1" pivotButton="0" quotePrefix="0" xfId="0">
      <alignment horizontal="center"/>
    </xf>
    <xf numFmtId="179" fontId="10" fillId="0" borderId="0" pivotButton="0" quotePrefix="0" xfId="0"/>
    <xf numFmtId="179" fontId="6" fillId="0" borderId="0" applyAlignment="1" pivotButton="0" quotePrefix="0" xfId="0">
      <alignment horizontal="center"/>
    </xf>
    <xf numFmtId="17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79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79" fontId="6" fillId="6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/>
    </xf>
    <xf numFmtId="179" fontId="2" fillId="2" borderId="0" applyAlignment="1" pivotButton="0" quotePrefix="0" xfId="0">
      <alignment horizontal="center" vertical="center"/>
    </xf>
    <xf numFmtId="179" fontId="11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179" fontId="2" fillId="3" borderId="0" applyAlignment="1" pivotButton="0" quotePrefix="0" xfId="0">
      <alignment vertical="center"/>
    </xf>
    <xf numFmtId="179" fontId="2" fillId="10" borderId="0" applyAlignment="1" pivotButton="0" quotePrefix="0" xfId="0">
      <alignment horizontal="center" vertical="center"/>
    </xf>
    <xf numFmtId="179" fontId="3" fillId="4" borderId="0" applyAlignment="1" pivotButton="0" quotePrefix="0" xfId="0">
      <alignment vertical="center"/>
    </xf>
    <xf numFmtId="179" fontId="3" fillId="5" borderId="0" applyAlignment="1" pivotButton="0" quotePrefix="0" xfId="0">
      <alignment vertical="center"/>
    </xf>
    <xf numFmtId="179" fontId="8" fillId="0" borderId="0" applyAlignment="1" pivotButton="0" quotePrefix="0" xfId="0">
      <alignment vertical="center"/>
    </xf>
    <xf numFmtId="179" fontId="6" fillId="0" borderId="0" applyAlignment="1" pivotButton="0" quotePrefix="0" xfId="0">
      <alignment horizontal="center" vertical="center"/>
    </xf>
    <xf numFmtId="179" fontId="6" fillId="0" borderId="0" applyAlignment="1" pivotButton="0" quotePrefix="0" xfId="0">
      <alignment vertical="center"/>
    </xf>
    <xf numFmtId="179" fontId="8" fillId="0" borderId="0" pivotButton="0" quotePrefix="0" xfId="0"/>
    <xf numFmtId="179" fontId="8" fillId="11" borderId="0" applyAlignment="1" pivotButton="0" quotePrefix="0" xfId="0">
      <alignment vertical="center"/>
    </xf>
    <xf numFmtId="179" fontId="5" fillId="11" borderId="0" applyAlignment="1" pivotButton="0" quotePrefix="0" xfId="0">
      <alignment vertical="center"/>
    </xf>
    <xf numFmtId="168" fontId="6" fillId="0" borderId="0" applyAlignment="1" pivotButton="0" quotePrefix="0" xfId="0">
      <alignment vertical="center"/>
    </xf>
    <xf numFmtId="0" fontId="8" fillId="12" borderId="0" applyAlignment="1" pivotButton="0" quotePrefix="0" xfId="0">
      <alignment vertical="center"/>
    </xf>
    <xf numFmtId="0" fontId="5" fillId="12" borderId="0" applyAlignment="1" pivotButton="0" quotePrefix="0" xfId="0">
      <alignment vertical="center"/>
    </xf>
    <xf numFmtId="169" fontId="5" fillId="12" borderId="0" applyAlignment="1" pivotButton="0" quotePrefix="0" xfId="0">
      <alignment vertical="center"/>
    </xf>
    <xf numFmtId="180" fontId="2" fillId="2" borderId="0" applyAlignment="1" pivotButton="0" quotePrefix="0" xfId="0">
      <alignment horizontal="center"/>
    </xf>
    <xf numFmtId="180" fontId="7" fillId="0" borderId="0" applyAlignment="1" pivotButton="0" quotePrefix="0" xfId="0">
      <alignment horizontal="center"/>
    </xf>
    <xf numFmtId="180" fontId="5" fillId="0" borderId="0" applyAlignment="1" pivotButton="0" quotePrefix="0" xfId="0">
      <alignment horizontal="center"/>
    </xf>
    <xf numFmtId="180" fontId="12" fillId="0" borderId="0" applyAlignment="1" pivotButton="0" quotePrefix="0" xfId="0">
      <alignment horizontal="center"/>
    </xf>
    <xf numFmtId="180" fontId="13" fillId="0" borderId="0" applyAlignment="1" pivotButton="0" quotePrefix="0" xfId="0">
      <alignment horizontal="center" vertical="center"/>
    </xf>
    <xf numFmtId="180" fontId="6" fillId="6" borderId="0" applyAlignment="1" pivotButton="0" quotePrefix="0" xfId="0">
      <alignment horizontal="center"/>
    </xf>
    <xf numFmtId="180" fontId="6" fillId="0" borderId="0" applyAlignment="1" pivotButton="0" quotePrefix="0" xfId="0">
      <alignment horizontal="center"/>
    </xf>
    <xf numFmtId="180" fontId="2" fillId="2" borderId="0" applyAlignment="1" pivotButton="0" quotePrefix="0" xfId="0">
      <alignment horizontal="center" vertical="center" wrapText="1"/>
    </xf>
    <xf numFmtId="180" fontId="7" fillId="0" borderId="0" applyAlignment="1" pivotButton="0" quotePrefix="0" xfId="0">
      <alignment wrapText="1"/>
    </xf>
    <xf numFmtId="18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180" fontId="2" fillId="3" borderId="0" pivotButton="0" quotePrefix="0" xfId="0"/>
    <xf numFmtId="180" fontId="2" fillId="10" borderId="0" applyAlignment="1" pivotButton="0" quotePrefix="0" xfId="0">
      <alignment horizontal="center"/>
    </xf>
    <xf numFmtId="180" fontId="3" fillId="4" borderId="0" pivotButton="0" quotePrefix="0" xfId="0"/>
    <xf numFmtId="180" fontId="3" fillId="5" borderId="0" pivotButton="0" quotePrefix="0" xfId="0"/>
    <xf numFmtId="172" fontId="3" fillId="0" borderId="0" pivotButton="0" quotePrefix="0" xfId="0"/>
    <xf numFmtId="180" fontId="8" fillId="0" borderId="0" pivotButton="0" quotePrefix="0" xfId="0"/>
    <xf numFmtId="180" fontId="6" fillId="0" borderId="0" pivotButton="0" quotePrefix="0" xfId="0"/>
    <xf numFmtId="181" fontId="6" fillId="0" borderId="0" pivotButton="0" quotePrefix="0" xfId="0"/>
    <xf numFmtId="180" fontId="10" fillId="0" borderId="0" pivotButton="0" quotePrefix="0" xfId="0"/>
    <xf numFmtId="4" fontId="5" fillId="0" borderId="0" pivotButton="0" quotePrefix="0" xfId="0"/>
    <xf numFmtId="180" fontId="8" fillId="11" borderId="0" applyAlignment="1" pivotButton="0" quotePrefix="0" xfId="0">
      <alignment vertical="center"/>
    </xf>
    <xf numFmtId="180" fontId="5" fillId="11" borderId="0" pivotButton="0" quotePrefix="0" xfId="0"/>
    <xf numFmtId="177" fontId="6" fillId="0" borderId="0" applyAlignment="1" pivotButton="0" quotePrefix="0" xfId="0">
      <alignment horizontal="center" vertical="center"/>
    </xf>
    <xf numFmtId="10" fontId="5" fillId="12" borderId="0" pivotButton="0" quotePrefix="0" xfId="0"/>
    <xf numFmtId="182" fontId="2" fillId="2" borderId="0" applyAlignment="1" pivotButton="0" quotePrefix="0" xfId="0">
      <alignment horizontal="center"/>
    </xf>
    <xf numFmtId="182" fontId="10" fillId="0" borderId="0" pivotButton="0" quotePrefix="0" xfId="0"/>
    <xf numFmtId="182" fontId="2" fillId="0" borderId="0" applyAlignment="1" pivotButton="0" quotePrefix="0" xfId="0">
      <alignment horizontal="center"/>
    </xf>
    <xf numFmtId="182" fontId="13" fillId="0" borderId="0" applyAlignment="1" pivotButton="0" quotePrefix="0" xfId="0">
      <alignment horizontal="center" vertical="center"/>
    </xf>
    <xf numFmtId="0" fontId="12" fillId="0" borderId="0" pivotButton="0" quotePrefix="0" xfId="0"/>
    <xf numFmtId="182" fontId="12" fillId="0" borderId="0" applyAlignment="1" pivotButton="0" quotePrefix="0" xfId="0">
      <alignment horizontal="center"/>
    </xf>
    <xf numFmtId="182" fontId="6" fillId="6" borderId="0" pivotButton="0" quotePrefix="0" xfId="0"/>
    <xf numFmtId="182" fontId="6" fillId="0" borderId="0" pivotButton="0" quotePrefix="0" xfId="0"/>
    <xf numFmtId="182" fontId="12" fillId="0" borderId="0" pivotButton="0" quotePrefix="0" xfId="0"/>
    <xf numFmtId="182" fontId="2" fillId="2" borderId="0" applyAlignment="1" pivotButton="0" quotePrefix="0" xfId="0">
      <alignment horizontal="center" vertical="center"/>
    </xf>
    <xf numFmtId="182" fontId="11" fillId="0" borderId="0" applyAlignment="1" pivotButton="0" quotePrefix="0" xfId="0">
      <alignment horizontal="center" vertical="top" wrapText="1"/>
    </xf>
    <xf numFmtId="182" fontId="14" fillId="0" borderId="0" applyAlignment="1" pivotButton="0" quotePrefix="0" xfId="0">
      <alignment horizontal="center" vertical="top" wrapText="1"/>
    </xf>
    <xf numFmtId="182" fontId="2" fillId="3" borderId="0" pivotButton="0" quotePrefix="0" xfId="0"/>
    <xf numFmtId="182" fontId="2" fillId="10" borderId="0" applyAlignment="1" pivotButton="0" quotePrefix="0" xfId="0">
      <alignment horizontal="center"/>
    </xf>
    <xf numFmtId="182" fontId="3" fillId="4" borderId="0" pivotButton="0" quotePrefix="0" xfId="0"/>
    <xf numFmtId="182" fontId="3" fillId="5" borderId="0" pivotButton="0" quotePrefix="0" xfId="0"/>
    <xf numFmtId="182" fontId="8" fillId="0" borderId="0" pivotButton="0" quotePrefix="0" xfId="0"/>
    <xf numFmtId="182" fontId="6" fillId="0" borderId="0" applyAlignment="1" pivotButton="0" quotePrefix="0" xfId="0">
      <alignment horizontal="center"/>
    </xf>
    <xf numFmtId="182" fontId="8" fillId="11" borderId="0" applyAlignment="1" pivotButton="0" quotePrefix="0" xfId="0">
      <alignment vertical="center"/>
    </xf>
    <xf numFmtId="182" fontId="5" fillId="11" borderId="0" pivotButton="0" quotePrefix="0" xfId="0"/>
    <xf numFmtId="175" fontId="7" fillId="0" borderId="0" pivotButton="0" quotePrefix="0" xfId="0"/>
    <xf numFmtId="175" fontId="15" fillId="0" borderId="0" pivotButton="0" quotePrefix="0" xfId="0"/>
    <xf numFmtId="175" fontId="11" fillId="0" borderId="0" pivotButton="0" quotePrefix="0" xfId="0"/>
    <xf numFmtId="175" fontId="6" fillId="6" borderId="0" pivotButton="0" quotePrefix="0" xfId="0"/>
    <xf numFmtId="175" fontId="11" fillId="0" borderId="0" applyAlignment="1" pivotButton="0" quotePrefix="0" xfId="0">
      <alignment vertical="top" wrapText="1"/>
    </xf>
    <xf numFmtId="175" fontId="2" fillId="10" borderId="0" applyAlignment="1" pivotButton="0" quotePrefix="0" xfId="0">
      <alignment horizontal="center"/>
    </xf>
    <xf numFmtId="175" fontId="16" fillId="0" borderId="0" pivotButton="0" quotePrefix="0" xfId="0"/>
    <xf numFmtId="175" fontId="8" fillId="11" borderId="0" applyAlignment="1" pivotButton="0" quotePrefix="0" xfId="0">
      <alignment vertical="center"/>
    </xf>
    <xf numFmtId="0" fontId="17" fillId="0" borderId="0" pivotButton="0" quotePrefix="0" xfId="0"/>
    <xf numFmtId="0" fontId="18" fillId="0" borderId="3" applyAlignment="1" pivotButton="0" quotePrefix="0" xfId="0">
      <alignment horizontal="center"/>
    </xf>
    <xf numFmtId="0" fontId="6" fillId="13" borderId="0" pivotButton="0" quotePrefix="0" xfId="0"/>
    <xf numFmtId="0" fontId="18" fillId="13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7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6" fillId="0" borderId="0" pivotButton="0" quotePrefix="0" xfId="0"/>
    <xf numFmtId="0" fontId="2" fillId="2" borderId="4" pivotButton="0" quotePrefix="0" xfId="0"/>
    <xf numFmtId="0" fontId="20" fillId="0" borderId="5" pivotButton="0" quotePrefix="0" xfId="0"/>
    <xf numFmtId="165" fontId="2" fillId="2" borderId="5" pivotButton="0" quotePrefix="0" xfId="0"/>
    <xf numFmtId="165" fontId="2" fillId="2" borderId="6" pivotButton="0" quotePrefix="0" xfId="0"/>
    <xf numFmtId="0" fontId="2" fillId="0" borderId="0" pivotButton="0" quotePrefix="0" xfId="0"/>
    <xf numFmtId="0" fontId="20" fillId="0" borderId="6" pivotButton="0" quotePrefix="0" xfId="0"/>
    <xf numFmtId="170" fontId="2" fillId="2" borderId="6" pivotButton="0" quotePrefix="0" xfId="0"/>
    <xf numFmtId="0" fontId="6" fillId="5" borderId="7" pivotButton="0" quotePrefix="0" xfId="0"/>
    <xf numFmtId="0" fontId="5" fillId="5" borderId="0" applyAlignment="1" pivotButton="0" quotePrefix="0" xfId="0">
      <alignment horizontal="center"/>
    </xf>
    <xf numFmtId="0" fontId="5" fillId="5" borderId="8" applyAlignment="1" pivotButton="0" quotePrefix="0" xfId="0">
      <alignment horizontal="center"/>
    </xf>
    <xf numFmtId="0" fontId="5" fillId="0" borderId="4" pivotButton="0" quotePrefix="0" xfId="0"/>
    <xf numFmtId="166" fontId="6" fillId="0" borderId="5" applyAlignment="1" pivotButton="0" quotePrefix="0" xfId="0">
      <alignment horizontal="center"/>
    </xf>
    <xf numFmtId="166" fontId="6" fillId="0" borderId="6" applyAlignment="1" pivotButton="0" quotePrefix="0" xfId="0">
      <alignment horizontal="center"/>
    </xf>
    <xf numFmtId="166" fontId="6" fillId="0" borderId="5" applyAlignment="1" pivotButton="0" quotePrefix="0" xfId="0">
      <alignment horizontal="center" vertical="bottom"/>
    </xf>
    <xf numFmtId="166" fontId="6" fillId="0" borderId="6" applyAlignment="1" pivotButton="0" quotePrefix="0" xfId="0">
      <alignment horizontal="center" vertical="bottom"/>
    </xf>
    <xf numFmtId="0" fontId="6" fillId="0" borderId="7" pivotButton="0" quotePrefix="0" xfId="0"/>
    <xf numFmtId="166" fontId="6" fillId="0" borderId="0" applyAlignment="1" pivotButton="0" quotePrefix="0" xfId="0">
      <alignment horizontal="center"/>
    </xf>
    <xf numFmtId="166" fontId="6" fillId="0" borderId="8" applyAlignment="1" pivotButton="0" quotePrefix="0" xfId="0">
      <alignment horizontal="center"/>
    </xf>
    <xf numFmtId="166" fontId="6" fillId="0" borderId="0" applyAlignment="1" pivotButton="0" quotePrefix="0" xfId="0">
      <alignment horizontal="center" vertical="bottom"/>
    </xf>
    <xf numFmtId="166" fontId="6" fillId="0" borderId="8" applyAlignment="1" pivotButton="0" quotePrefix="0" xfId="0">
      <alignment horizontal="center" vertical="bottom"/>
    </xf>
    <xf numFmtId="0" fontId="15" fillId="0" borderId="7" pivotButton="0" quotePrefix="0" xfId="0"/>
    <xf numFmtId="166" fontId="5" fillId="0" borderId="0" applyAlignment="1" pivotButton="0" quotePrefix="0" xfId="0">
      <alignment horizontal="center"/>
    </xf>
    <xf numFmtId="166" fontId="5" fillId="0" borderId="8" applyAlignment="1" pivotButton="0" quotePrefix="0" xfId="0">
      <alignment horizontal="center"/>
    </xf>
    <xf numFmtId="166" fontId="5" fillId="0" borderId="0" applyAlignment="1" pivotButton="0" quotePrefix="0" xfId="0">
      <alignment horizontal="center" vertical="bottom"/>
    </xf>
    <xf numFmtId="166" fontId="5" fillId="0" borderId="8" applyAlignment="1" pivotButton="0" quotePrefix="0" xfId="0">
      <alignment horizontal="center" vertical="bottom"/>
    </xf>
    <xf numFmtId="0" fontId="5" fillId="0" borderId="9" pivotButton="0" quotePrefix="0" xfId="0"/>
    <xf numFmtId="10" fontId="5" fillId="0" borderId="10" applyAlignment="1" pivotButton="0" quotePrefix="0" xfId="0">
      <alignment horizontal="center"/>
    </xf>
    <xf numFmtId="10" fontId="5" fillId="0" borderId="11" applyAlignment="1" pivotButton="0" quotePrefix="0" xfId="0">
      <alignment horizontal="center"/>
    </xf>
    <xf numFmtId="10" fontId="5" fillId="0" borderId="0" applyAlignment="1" pivotButton="0" quotePrefix="0" xfId="0">
      <alignment horizontal="center"/>
    </xf>
    <xf numFmtId="10" fontId="5" fillId="0" borderId="10" applyAlignment="1" pivotButton="0" quotePrefix="0" xfId="0">
      <alignment horizontal="center" vertical="bottom"/>
    </xf>
    <xf numFmtId="10" fontId="5" fillId="0" borderId="11" applyAlignment="1" pivotButton="0" quotePrefix="0" xfId="0">
      <alignment horizontal="center" vertical="bottom"/>
    </xf>
    <xf numFmtId="0" fontId="6" fillId="14" borderId="12" pivotButton="0" quotePrefix="0" xfId="0"/>
    <xf numFmtId="0" fontId="5" fillId="14" borderId="0" applyAlignment="1" pivotButton="0" quotePrefix="0" xfId="0">
      <alignment horizontal="center"/>
    </xf>
    <xf numFmtId="0" fontId="5" fillId="14" borderId="8" applyAlignment="1" pivotButton="0" quotePrefix="0" xfId="0">
      <alignment horizontal="center"/>
    </xf>
    <xf numFmtId="0" fontId="2" fillId="2" borderId="4" applyAlignment="1" pivotButton="0" quotePrefix="0" xfId="0">
      <alignment vertical="bottom"/>
    </xf>
    <xf numFmtId="165" fontId="2" fillId="2" borderId="5" applyAlignment="1" pivotButton="0" quotePrefix="0" xfId="0">
      <alignment horizontal="right" vertical="bottom"/>
    </xf>
    <xf numFmtId="0" fontId="6" fillId="15" borderId="12" pivotButton="0" quotePrefix="0" xfId="0"/>
    <xf numFmtId="0" fontId="5" fillId="15" borderId="0" applyAlignment="1" pivotButton="0" quotePrefix="0" xfId="0">
      <alignment horizontal="center"/>
    </xf>
    <xf numFmtId="0" fontId="5" fillId="15" borderId="8" applyAlignment="1" pivotButton="0" quotePrefix="0" xfId="0">
      <alignment horizontal="center"/>
    </xf>
    <xf numFmtId="0" fontId="6" fillId="15" borderId="12" applyAlignment="1" pivotButton="0" quotePrefix="0" xfId="0">
      <alignment vertical="bottom"/>
    </xf>
    <xf numFmtId="0" fontId="5" fillId="15" borderId="0" applyAlignment="1" pivotButton="0" quotePrefix="0" xfId="0">
      <alignment horizontal="center" vertical="bottom"/>
    </xf>
    <xf numFmtId="0" fontId="5" fillId="15" borderId="8" applyAlignment="1" pivotButton="0" quotePrefix="0" xfId="0">
      <alignment horizontal="center" vertical="bottom"/>
    </xf>
    <xf numFmtId="181" fontId="6" fillId="0" borderId="5" applyAlignment="1" pivotButton="0" quotePrefix="0" xfId="0">
      <alignment horizontal="center"/>
    </xf>
    <xf numFmtId="181" fontId="6" fillId="0" borderId="6" applyAlignment="1" pivotButton="0" quotePrefix="0" xfId="0">
      <alignment horizontal="center"/>
    </xf>
    <xf numFmtId="0" fontId="5" fillId="0" borderId="4" applyAlignment="1" pivotButton="0" quotePrefix="0" xfId="0">
      <alignment vertical="bottom"/>
    </xf>
    <xf numFmtId="181" fontId="6" fillId="0" borderId="5" applyAlignment="1" pivotButton="0" quotePrefix="0" xfId="0">
      <alignment horizontal="center" vertical="bottom"/>
    </xf>
    <xf numFmtId="181" fontId="6" fillId="0" borderId="6" applyAlignment="1" pivotButton="0" quotePrefix="0" xfId="0">
      <alignment horizontal="center" vertical="bottom"/>
    </xf>
    <xf numFmtId="181" fontId="6" fillId="0" borderId="0" applyAlignment="1" pivotButton="0" quotePrefix="0" xfId="0">
      <alignment horizontal="center"/>
    </xf>
    <xf numFmtId="181" fontId="6" fillId="0" borderId="8" applyAlignment="1" pivotButton="0" quotePrefix="0" xfId="0">
      <alignment horizontal="center"/>
    </xf>
    <xf numFmtId="0" fontId="6" fillId="0" borderId="7" applyAlignment="1" pivotButton="0" quotePrefix="0" xfId="0">
      <alignment vertical="bottom"/>
    </xf>
    <xf numFmtId="181" fontId="6" fillId="0" borderId="0" applyAlignment="1" pivotButton="0" quotePrefix="0" xfId="0">
      <alignment horizontal="center" vertical="bottom"/>
    </xf>
    <xf numFmtId="181" fontId="6" fillId="0" borderId="8" applyAlignment="1" pivotButton="0" quotePrefix="0" xfId="0">
      <alignment horizontal="center" vertical="bottom"/>
    </xf>
    <xf numFmtId="181" fontId="5" fillId="0" borderId="0" applyAlignment="1" pivotButton="0" quotePrefix="0" xfId="0">
      <alignment horizontal="center"/>
    </xf>
    <xf numFmtId="181" fontId="5" fillId="0" borderId="8" applyAlignment="1" pivotButton="0" quotePrefix="0" xfId="0">
      <alignment horizontal="center"/>
    </xf>
    <xf numFmtId="0" fontId="5" fillId="0" borderId="7" applyAlignment="1" pivotButton="0" quotePrefix="0" xfId="0">
      <alignment vertical="bottom"/>
    </xf>
    <xf numFmtId="181" fontId="5" fillId="0" borderId="0" applyAlignment="1" pivotButton="0" quotePrefix="0" xfId="0">
      <alignment horizontal="center" vertical="bottom"/>
    </xf>
    <xf numFmtId="181" fontId="5" fillId="0" borderId="8" applyAlignment="1" pivotButton="0" quotePrefix="0" xfId="0">
      <alignment horizontal="center" vertical="bottom"/>
    </xf>
    <xf numFmtId="0" fontId="5" fillId="0" borderId="9" applyAlignment="1" pivotButton="0" quotePrefix="0" xfId="0">
      <alignment vertical="bottom"/>
    </xf>
    <xf numFmtId="0" fontId="6" fillId="16" borderId="12" pivotButton="0" quotePrefix="0" xfId="0"/>
    <xf numFmtId="0" fontId="5" fillId="16" borderId="0" applyAlignment="1" pivotButton="0" quotePrefix="0" xfId="0">
      <alignment horizontal="center"/>
    </xf>
    <xf numFmtId="0" fontId="5" fillId="16" borderId="8" applyAlignment="1" pivotButton="0" quotePrefix="0" xfId="0">
      <alignment horizontal="center"/>
    </xf>
    <xf numFmtId="0" fontId="6" fillId="17" borderId="12" pivotButton="0" quotePrefix="0" xfId="0"/>
    <xf numFmtId="0" fontId="5" fillId="17" borderId="0" applyAlignment="1" pivotButton="0" quotePrefix="0" xfId="0">
      <alignment horizontal="center"/>
    </xf>
    <xf numFmtId="0" fontId="5" fillId="17" borderId="8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9" fontId="6" fillId="11" borderId="0" applyAlignment="1" pivotButton="0" quotePrefix="0" xfId="0">
      <alignment horizontal="center"/>
    </xf>
    <xf numFmtId="166" fontId="6" fillId="11" borderId="0" applyAlignment="1" pivotButton="0" quotePrefix="0" xfId="0">
      <alignment horizontal="center"/>
    </xf>
    <xf numFmtId="181" fontId="6" fillId="11" borderId="0" applyAlignment="1" pivotButton="0" quotePrefix="0" xfId="0">
      <alignment horizontal="center"/>
    </xf>
    <xf numFmtId="181" fontId="5" fillId="11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3" fontId="6" fillId="0" borderId="0" pivotButton="0" quotePrefix="0" xfId="0"/>
    <xf numFmtId="0" fontId="6" fillId="18" borderId="0" applyAlignment="1" pivotButton="0" quotePrefix="0" xfId="0">
      <alignment horizontal="center"/>
    </xf>
    <xf numFmtId="0" fontId="5" fillId="19" borderId="0" applyAlignment="1" pivotButton="0" quotePrefix="0" xfId="0">
      <alignment horizontal="center"/>
    </xf>
    <xf numFmtId="183" fontId="6" fillId="0" borderId="0" pivotButton="0" quotePrefix="0" xfId="0"/>
    <xf numFmtId="10" fontId="21" fillId="0" borderId="0" applyAlignment="1" pivotButton="0" quotePrefix="0" xfId="0">
      <alignment horizontal="center"/>
    </xf>
    <xf numFmtId="4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4" fontId="6" fillId="0" borderId="0" pivotButton="0" quotePrefix="0" xfId="0"/>
    <xf numFmtId="165" fontId="10" fillId="0" borderId="0" pivotButton="0" quotePrefix="0" xfId="0"/>
    <xf numFmtId="0" fontId="0" fillId="0" borderId="0" pivotButton="0" quotePrefix="0" xfId="0"/>
    <xf numFmtId="174" fontId="22" fillId="2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5" pivotButton="0" quotePrefix="0" xfId="0"/>
    <xf numFmtId="0" fontId="2" fillId="2" borderId="13" pivotButton="0" quotePrefix="0" xfId="0"/>
    <xf numFmtId="0" fontId="0" fillId="0" borderId="6" pivotButton="0" quotePrefix="0" xfId="0"/>
  </cellXfs>
  <cellStyles count="1">
    <cellStyle name="Normal" xfId="0" builtinId="0"/>
  </cellStyles>
  <dxfs count="1">
    <dxf>
      <font/>
      <fill>
        <patternFill patternType="solid">
          <fgColor rgb="FFF4CCCC"/>
          <bgColor rgb="FFF4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pivotCacheDefinition" Target="/xl/pivotCache/pivotCacheDefinition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ID#AAAB2yREGQo
tc={ef1370cb-656d-4aa4-a587-cfac92bfe9a9}    (2026-03-30 17:34:51)
[Threaded comment]
 Your version of Excel allows you to read this threaded comment; however, any edits to it will get removed if the file is opened in a newer version of Excel. Learn more: https://go.microsoft.com/fwlink/?linkid=870924
Comment:
	Ne reflète pas le reporting car nous avons décidé de lisser la performance prévu sur les 3 mois, lorsque nous vendrons les assets en mi-mars (normalement) on corrigera le yield de ces 3 mois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======
ID#AAAB2yREGQw
tc={a083a83e-8f64-4146-b6ee-8c2d2b866b73}    (2026-03-30 17:34:51)
[Threaded comment]
 Your version of Excel allows you to read this threaded comment; however, any edits to it will get removed if the file is opened in a newer version of Excel. Learn more: https://go.microsoft.com/fwlink/?linkid=870924
Comment:
	Nombre de Report Prêts dans la page Report de cette feuille (hors OUT)</t>
      </text>
    </comment>
    <comment ref="G1" authorId="0" shapeId="0">
      <text>
        <t>======
ID#AAAB2yREGQ0
tc={e3e68daa-b460-4550-a7ae-fbdfc2462252}    (2026-03-30 17:34:51)
[Threaded comment]
 Your version of Excel allows you to read this threaded comment; however, any edits to it will get removed if the file is opened in a newer version of Excel. Learn more: https://go.microsoft.com/fwlink/?linkid=870924
Comment:
	Nombre d'investisseur dont la balance est supérieur à 0 dans les feuille rouge</t>
      </text>
    </comment>
    <comment ref="J14" authorId="0" shapeId="0">
      <text>
        <t>======
ID#AAAB2yREGQk
tc={4c6b4c25-f3c9-4c4d-ad25-40be2aa1d276}    (2026-03-30 17:34:51)
[Threaded comment]
 Your version of Excel allows you to read this threaded comment; however, any edits to it will get removed if the file is opened in a newer version of Excel. Learn more: https://go.microsoft.com/fwlink/?linkid=870924
Comment:
	A modifier manuellement</t>
      </text>
    </comment>
    <comment ref="P14" authorId="0" shapeId="0">
      <text>
        <t>======
ID#AAAB2yREGQc
tc={551210a0-d028-4ffe-b3eb-5677fc9f311c}    (2026-03-30 17:34:51)
[Threaded comment]
 Your version of Excel allows you to read this threaded comment; however, any edits to it will get removed if the file is opened in a newer version of Excel. Learn more: https://go.microsoft.com/fwlink/?linkid=870924
Comment:
	A modifier manuellement</t>
      </text>
    </comment>
    <comment ref="AB14" authorId="0" shapeId="0">
      <text>
        <t>======
ID#AAAB2yREGQs
tc={22e04cd3-f11b-43f5-9c92-0deb56dc731e}    (2026-03-30 17:34:51)
[Threaded comment]
 Your version of Excel allows you to read this threaded comment; however, any edits to it will get removed if the file is opened in a newer version of Excel. Learn more: https://go.microsoft.com/fwlink/?linkid=870924
Comment:
	A modifier manuellement</t>
      </text>
    </comment>
    <comment ref="D23" authorId="0" shapeId="0">
      <text>
        <t>======
ID#AAAB2yREGQg
tc={b417b2c5-11d1-4d34-bb67-7bb0757de0f6}    (2026-03-30 17:34:51)
[Threaded comment]
 Your version of Excel allows you to read this threaded comment; however, any edits to it will get removed if the file is opened in a newer version of Excel. Learn more: https://go.microsoft.com/fwlink/?linkid=870924
Comment:
	A modifier Manuellement</t>
      </text>
    </comment>
  </commentList>
</comment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E1026" sheet="Investments"/>
  </cacheSource>
  <cacheFields count="5">
    <cacheField name="Investment Date" uniqueList="1" numFmtId="174" sqlType="0" hierarchy="0" level="0" databaseField="1">
      <sharedItems count="87" containsBlank="1" containsInteger="1" containsNumber="1" containsString="0">
        <n v="45455"/>
        <n v="45481"/>
        <n v="45525"/>
        <n v="45566"/>
        <n v="45589"/>
        <n v="45605"/>
        <n v="45640"/>
        <n v="45641"/>
        <n v="45717"/>
        <n v="45747"/>
        <n v="45748"/>
        <n v="45763"/>
        <n v="45790"/>
        <n v="45803"/>
        <n v="45809"/>
        <n v="45807"/>
        <n v="45819"/>
        <n v="45824"/>
        <n v="45839"/>
        <n v="45849"/>
        <n v="45852"/>
        <n v="45857"/>
        <n v="45861"/>
        <n v="45862"/>
        <n v="45863"/>
        <n v="45868"/>
        <n v="45869"/>
        <n v="45873"/>
        <n v="45883"/>
        <n v="45888"/>
        <n v="45889"/>
        <n v="45894"/>
        <n v="45902"/>
        <n v="45904"/>
        <n v="45910"/>
        <n v="45912"/>
        <n v="45924"/>
        <n v="45927"/>
        <n v="45933"/>
        <n v="45936"/>
        <n v="45938"/>
        <n v="45939"/>
        <n v="45943"/>
        <n v="45944"/>
        <n v="45945"/>
        <n v="45947"/>
        <n v="45950"/>
        <n v="45953"/>
        <n v="45964"/>
        <n v="45965"/>
        <n v="45966"/>
        <n v="45968"/>
        <n v="45969"/>
        <n v="45974"/>
        <n v="45978"/>
        <n v="45982"/>
        <n v="45986"/>
        <n v="45987"/>
        <n v="45988"/>
        <n v="45991"/>
        <n v="45993"/>
        <n v="45995"/>
        <n v="45999"/>
        <n v="46000"/>
        <n v="46006"/>
        <n v="46014"/>
        <n v="46024"/>
        <n v="46027"/>
        <n v="46030"/>
        <n v="46035"/>
        <n v="46041"/>
        <n v="46045"/>
        <n v="46048"/>
        <n v="46050"/>
        <n v="46052"/>
        <n v="46055"/>
        <n v="46056"/>
        <n v="46059"/>
        <n v="46061"/>
        <n v="46065"/>
        <n v="46066"/>
        <n v="46072"/>
        <n v="46076"/>
        <n v="46077"/>
        <n v="46086"/>
        <n v="46089"/>
        <m/>
      </sharedItems>
    </cacheField>
    <cacheField name="Investor Name" uniqueList="1" numFmtId="174" sqlType="0" hierarchy="0" level="0" databaseField="1">
      <sharedItems count="40" containsBlank="1">
        <s v="Jose Molla"/>
        <s v="Kyle Gulamerian"/>
        <s v="Matthias Reiser"/>
        <s v="Thomas Puech"/>
        <s v="Danielle Richetta"/>
        <s v="Nathanaël Cohen"/>
        <s v="Blondish"/>
        <s v="Victoria Pariente-Cohen"/>
        <s v="INDIGO Fees"/>
        <s v="Babak Eftekhari"/>
        <s v="INDIGO DIGITAL ASSET FUND LP"/>
        <s v="Kabbaj"/>
        <s v="Julien Grunebaum"/>
        <s v="Daniele Francilia"/>
        <s v="Pierre Bezencon"/>
        <s v="Matthew Beatty"/>
        <s v="Bo De Kriek"/>
        <s v="Dario Deiana"/>
        <s v="Alain Bensimon"/>
        <s v="Anne Cecile Noique"/>
        <s v="Terance Chen"/>
        <s v="Oliver Loisel"/>
        <s v="Advantage Blockchain"/>
        <s v="INDIGO Ventures"/>
        <s v="Paul Johnson"/>
        <s v="Tomer Zur"/>
        <s v="Sacha Oshry"/>
        <s v="HALLEY86"/>
        <s v="Monica Levy Chicheportiche"/>
        <s v="Nath &amp; Thomas"/>
        <s v="Sam Johnson"/>
        <s v="Valeria Cruz"/>
        <s v="Ventures Life Style"/>
        <s v="Vivie &amp; Liana"/>
        <s v="Brandon Hood"/>
        <s v="NSVO Holdings"/>
        <s v="ALOK PAVAN BATRA"/>
        <s v="Tomer Mazar"/>
        <s v="No Limit Payments"/>
        <m/>
      </sharedItems>
    </cacheField>
    <cacheField name="Currency" uniqueList="1" numFmtId="174" sqlType="0" hierarchy="0" level="0" databaseField="1">
      <sharedItems count="9" containsBlank="1">
        <s v="BTC"/>
        <s v="ETH TAC"/>
        <s v="BTC Boost"/>
        <s v="BTC TAC"/>
        <s v="ETH"/>
        <s v="USDT"/>
        <s v="SOL"/>
        <s v="XRP"/>
        <m/>
      </sharedItems>
    </cacheField>
    <cacheField name="Amount" uniqueList="1" numFmtId="174" sqlType="0" hierarchy="0" level="0" databaseField="1">
      <sharedItems count="195" containsBlank="1" containsNumber="1" containsString="0">
        <n v="2.723"/>
        <n v="52.4"/>
        <n v="0.745"/>
        <n v="9.1"/>
        <n v="0.01"/>
        <n v="1.99"/>
        <n v="4.62"/>
        <n v="6.5193"/>
        <n v="5.2"/>
        <n v="17"/>
        <n v="120"/>
        <n v="-0.27"/>
        <n v="-0.124"/>
        <n v="-4.8628"/>
        <n v="-2.0336"/>
        <n v="-4.6717"/>
        <n v="4.8628"/>
        <n v="2.0336"/>
        <n v="4.6717"/>
        <n v="4.608"/>
        <n v="5.226"/>
        <n v="0.1492"/>
        <n v="0.4483"/>
        <n v="4.121"/>
        <n v="-6.7249"/>
        <n v="6.7249"/>
        <n v="2.101"/>
        <n v="4.8357"/>
        <n v="5.0335"/>
        <n v="-2.101"/>
        <n v="-4.8357"/>
        <n v="-5.0335"/>
        <n v="0.0498"/>
        <n v="-0.0498"/>
        <n v="-2.1101"/>
        <n v="27.01"/>
        <n v="175"/>
        <n v="3.0466"/>
        <n v="32.25"/>
        <n v="-0.13"/>
        <n v="2"/>
        <n v="135726.75"/>
        <n v="-62.6261"/>
        <n v="-26.6797"/>
        <n v="-119.7862"/>
        <n v="-0.898"/>
        <n v="62.6261"/>
        <n v="26.6797"/>
        <n v="119.7862"/>
        <n v="0.898"/>
        <n v="0.9913999999999999"/>
        <n v="0.1484"/>
        <n v="0.446"/>
        <n v="6.69"/>
        <n v="4.0996"/>
        <n v="-0.1484"/>
        <n v="-0.446"/>
        <n v="-6.69"/>
        <n v="-4.0996"/>
        <n v="109392"/>
        <n v="109776"/>
        <n v="109333"/>
        <n v="255504"/>
        <n v="273807"/>
        <n v="199659.72"/>
        <n v="46955.28"/>
        <n v="136737"/>
        <n v="222687"/>
        <n v="219747"/>
        <n v="2.115364"/>
        <n v="-0.26"/>
        <n v="32"/>
        <n v="-178.37"/>
        <n v="0.6"/>
        <n v="130000"/>
        <n v="10000"/>
        <n v="25900"/>
        <n v="111370"/>
        <n v="-0.11"/>
        <n v="0.9102"/>
        <n v="1250"/>
        <n v="234.17"/>
        <n v="10.44"/>
        <n v="4.6327"/>
        <n v="8.960000000000001"/>
        <n v="3.35"/>
        <n v="63.1"/>
        <n v="0.4395"/>
        <n v="-236.02"/>
        <n v="-12"/>
        <n v="-100000"/>
        <n v="100000"/>
        <n v="10.051"/>
        <n v="20000"/>
        <n v="-27594.55"/>
        <n v="64.27"/>
        <n v="3.75"/>
        <n v="99990"/>
        <n v="3.1"/>
        <n v="6.5417"/>
        <n v="1.2"/>
        <n v="6.4"/>
        <n v="87.98"/>
        <n v="0.062"/>
        <n v="97695"/>
        <n v="10450"/>
        <n v="0.03593745021234585"/>
        <n v="2.506357738606518"/>
        <n v="1.067745459138733"/>
        <n v="4.793959352042402"/>
        <n v="-113841.65"/>
        <n v="6.9519"/>
        <n v="35300"/>
        <n v="7.6215"/>
        <n v="-0.283"/>
        <n v="-0.4408"/>
        <n v="-12.22"/>
        <n v="840168.03"/>
        <n v="10.224"/>
        <n v="-50000"/>
        <n v="0.4867"/>
        <n v="299915.77"/>
        <n v="3.3"/>
        <n v="78"/>
        <n v="1800.05"/>
        <n v="135003"/>
        <n v="6.234"/>
        <n v="-47908"/>
        <n v="1"/>
        <n v="49000"/>
        <n v="750"/>
        <n v="35"/>
        <n v="0.548"/>
        <n v="50000"/>
        <n v="18000"/>
        <n v="-87937"/>
        <n v="3.411"/>
        <n v="45000"/>
        <n v="33"/>
        <n v="9.143000000000001"/>
        <n v="-1285.66"/>
        <n v="31.37"/>
        <n v="-213501.6"/>
        <n v="46750.8"/>
        <n v="49500"/>
        <n v="770"/>
        <n v="34"/>
        <n v="1.1"/>
        <n v="0.657"/>
        <n v="50100"/>
        <n v="766"/>
        <n v="32.5"/>
        <n v="1.17"/>
        <n v="-4.9895"/>
        <n v="-330500.42"/>
        <n v="-4873.15"/>
        <n v="-213.73"/>
        <n v="-7.7852"/>
        <n v="18"/>
        <n v="-3.4221"/>
        <n v="11.84556"/>
        <n v="2.1577"/>
        <n v="-5115.04"/>
        <n v="-114867.59"/>
        <n v="0.622"/>
        <n v="25.03"/>
        <n v="0.1135766"/>
        <n v="3.9998"/>
        <n v="-0.12"/>
        <n v="4200000"/>
        <n v="-3.99"/>
        <n v="600000"/>
        <n v="400000"/>
        <n v="0.14207"/>
        <n v="750000"/>
        <n v="-47373.77"/>
        <n v="0.60672"/>
        <n v="-20000"/>
        <n v="0.1773"/>
        <n v="550000"/>
        <n v="2.766"/>
        <n v="6"/>
        <n v="47.32"/>
        <n v="103.38"/>
        <n v="393.77"/>
        <n v="826.54"/>
        <n v="0.6555"/>
        <n v="93819.17999999999"/>
        <n v="28567.67"/>
        <n v="-4.3"/>
        <n v="-3.47"/>
        <n v="500000"/>
        <n v="0.15103283"/>
        <n v="-7045353.8"/>
        <m/>
      </sharedItems>
    </cacheField>
    <cacheField name=" " uniqueList="1" numFmtId="0" sqlType="0" hierarchy="0" level="0" databaseField="1">
      <sharedItems count="2" containsBlank="1">
        <m/>
        <s v="Hicham.kabbaj@sgtm-maroc.com 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Invest Value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CL86" firstHeaderRow="0" firstDataRow="2" firstDataCol="1"/>
  <pivotFields count="5">
    <pivotField name="Investment Date" axis="axisCol" showDropDowns="1" compact="0" numFmtId="174" outline="0" subtotalTop="1" dragToRow="1" dragToCol="1" multipleItemSelectionAllowed="1" dragToPage="1" dragToData="1" dragOff="1" showAll="0" topAutoShow="1" itemPageCount="10" sortType="ascending" defaultSubtotal="1">
      <items count="88">
        <item t="data" sd="1" x="86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5"/>
        <item t="data" sd="1" x="14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efault" sd="1"/>
      </items>
    </pivotField>
    <pivotField name="Investor Name" axis="axisRow" showDropDowns="1" compact="0" numFmtId="174" outline="0" subtotalTop="1" dragToRow="1" dragToCol="1" multipleItemSelectionAllowed="1" dragToPage="1" dragToData="1" dragOff="1" showAll="0" topAutoShow="1" itemPageCount="10" sortType="descending" defaultSubtotal="1">
      <items count="4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efault" sd="1"/>
      </items>
      <autoSortScope>
        <pivotArea type="normal" dataOnly="1" outline="1">
          <references count="1">
            <reference field="4294967294">
              <x v="0"/>
            </reference>
          </references>
        </pivotArea>
      </autoSortScope>
    </pivotField>
    <pivotField name="Currency" axis="axisRow" showDropDowns="1" compact="0" numFmtId="174" outline="0" subtotalTop="1" dragToRow="1" dragToCol="1" multipleItemSelectionAllowed="1" dragToPage="1" dragToData="1" dragOff="1" showAll="0" topAutoShow="1" itemPageCount="10" sortType="descending" defaultSubtotal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efault" sd="1"/>
      </items>
      <autoSortScope>
        <pivotArea type="normal" dataOnly="1" outline="1">
          <references count="1">
            <reference field="4294967294">
              <x v="0"/>
            </reference>
          </references>
        </pivotArea>
      </autoSortScope>
    </pivotField>
    <pivotField name="Amount" showDropDowns="1" compact="0" numFmtId="174" outline="0" subtotalTop="1" dragToRow="1" dragToCol="1" multipleItemSelectionAllowed="1" dragToPage="1" dragToData="1" dragOff="1" showAll="0" topAutoShow="1" itemPageCount="10" sortType="manual" defaultSubtotal="1">
      <items count="19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efault" sd="1"/>
      </items>
    </pivotField>
    <pivotField name=" 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2">
    <field x="2"/>
    <field x="1"/>
  </rowFields>
  <colFields count="1">
    <field x="0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tabColor rgb="FFFF00FF"/>
    <outlinePr summaryBelow="0" summaryRight="0"/>
    <pageSetUpPr/>
  </sheetPr>
  <dimension ref="A1:U22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52" min="1" max="1"/>
    <col width="15.75" customWidth="1" style="252" min="2" max="2"/>
    <col width="19.5" customWidth="1" style="252" min="3" max="3"/>
    <col width="21.5" customWidth="1" style="252" min="4" max="4"/>
    <col width="17.38" customWidth="1" style="252" min="5" max="7"/>
    <col width="15.75" customWidth="1" style="252" min="8" max="9"/>
    <col width="9.25" customWidth="1" style="252" min="10" max="10"/>
    <col width="9.380000000000001" customWidth="1" style="252" min="11" max="16"/>
  </cols>
  <sheetData>
    <row r="1" ht="15.75" customHeight="1" s="252">
      <c r="A1" s="1" t="inlineStr">
        <is>
          <t>Date</t>
        </is>
      </c>
      <c r="B1" s="2" t="inlineStr">
        <is>
          <t>AUM</t>
        </is>
      </c>
      <c r="C1" s="2" t="inlineStr">
        <is>
          <t>Gross Performance (%)</t>
        </is>
      </c>
      <c r="D1" s="2" t="inlineStr">
        <is>
          <t>Gross Performance (BTC)</t>
        </is>
      </c>
      <c r="E1" s="2" t="inlineStr">
        <is>
          <t>Net Performance</t>
        </is>
      </c>
      <c r="F1" s="2" t="inlineStr">
        <is>
          <t>Yearly APY</t>
        </is>
      </c>
      <c r="G1" s="2" t="inlineStr">
        <is>
          <t>Comments</t>
        </is>
      </c>
      <c r="I1" s="3" t="inlineStr">
        <is>
          <t>Investors</t>
        </is>
      </c>
      <c r="J1" s="2" t="inlineStr">
        <is>
          <t>Fees</t>
        </is>
      </c>
      <c r="K1" s="4" t="n">
        <v>45640</v>
      </c>
      <c r="L1" s="5" t="n">
        <v>45658</v>
      </c>
      <c r="M1" s="5" t="n">
        <v>45689</v>
      </c>
      <c r="N1" s="5" t="n">
        <v>45717</v>
      </c>
      <c r="O1" s="5" t="n">
        <v>45748</v>
      </c>
      <c r="P1" s="4" t="n">
        <v>45763</v>
      </c>
    </row>
    <row r="2" ht="15.75" customHeight="1" s="252">
      <c r="A2" s="6" t="n">
        <v>45640</v>
      </c>
      <c r="B2" s="7" t="n">
        <v>11.5681</v>
      </c>
      <c r="C2" s="8" t="n">
        <v>1</v>
      </c>
      <c r="D2" s="9" t="n"/>
      <c r="E2" s="9" t="n"/>
      <c r="F2" s="9" t="n"/>
      <c r="G2" s="10" t="inlineStr">
        <is>
          <t>Création du fond</t>
        </is>
      </c>
      <c r="I2" s="11" t="inlineStr">
        <is>
          <t>Indigo</t>
        </is>
      </c>
      <c r="J2" s="12" t="n">
        <v>0</v>
      </c>
      <c r="K2" s="13" t="n">
        <v>0</v>
      </c>
      <c r="L2" s="13">
        <f>K2*$C$3*1+K2+(K3*$C$3*0.15)+(K4*$C$3*0.1)+(K5*$C$3*0.1)</f>
        <v/>
      </c>
      <c r="M2" s="13">
        <f>L2*$C$4*1+L2+(L3*$C$4*0.15)+(L4*$C$4*0.1)+(L5*$C$4*0.1)</f>
        <v/>
      </c>
      <c r="N2" s="13">
        <f>M2*$C$5*1+M2+(M3*$C$5*0.15)+(M4*$C$5*0.1)+(M5*$C$5*0.1)</f>
        <v/>
      </c>
      <c r="O2" s="13">
        <f>N2*$C$6*1+N2+(N3*$C$6*0.15)+(N4*$C$6*0.1)+(N5*$C$6*0.1)</f>
        <v/>
      </c>
      <c r="P2" s="13">
        <f>O2*$C$7*1+O2+(O3*$C$7*0.15)+(O4*$C$7*0.1)+(O5*$C$7*0.1)</f>
        <v/>
      </c>
    </row>
    <row r="3" ht="15.75" customHeight="1" s="252">
      <c r="A3" s="6" t="n">
        <v>45658</v>
      </c>
      <c r="B3" s="7" t="n">
        <v>11.61</v>
      </c>
      <c r="C3" s="14">
        <f>(B3*$C$2/B2)-100%</f>
        <v/>
      </c>
      <c r="D3" s="15">
        <f>B3-B2</f>
        <v/>
      </c>
      <c r="E3" s="14">
        <f>C3*0.8</f>
        <v/>
      </c>
      <c r="F3" s="14">
        <f>C3*12</f>
        <v/>
      </c>
      <c r="G3" s="10" t="n"/>
      <c r="I3" s="11" t="inlineStr">
        <is>
          <t>Kyle Gulamerian</t>
        </is>
      </c>
      <c r="J3" s="12" t="n">
        <v>0.15</v>
      </c>
      <c r="K3" s="13" t="n">
        <v>2.0336</v>
      </c>
      <c r="L3" s="13">
        <f>K3*$C$3*0.85+K3</f>
        <v/>
      </c>
      <c r="M3" s="13">
        <f>L3*$C$4*0.85+L3</f>
        <v/>
      </c>
      <c r="N3" s="13">
        <f>M3*$C$5*0.85+M3</f>
        <v/>
      </c>
      <c r="O3" s="13">
        <f>N3*$C$6*0.85+N3</f>
        <v/>
      </c>
      <c r="P3" s="13">
        <f>O3*$C$7*0.85+O3</f>
        <v/>
      </c>
    </row>
    <row r="4" ht="15.75" customHeight="1" s="252">
      <c r="A4" s="6" t="n">
        <v>45689</v>
      </c>
      <c r="B4" s="7" t="n">
        <v>11.73</v>
      </c>
      <c r="C4" s="14">
        <f>(B4*$C$2/B3)-100%</f>
        <v/>
      </c>
      <c r="D4" s="15">
        <f>B4-B3</f>
        <v/>
      </c>
      <c r="E4" s="14">
        <f>C4*0.8</f>
        <v/>
      </c>
      <c r="F4" s="14">
        <f>C4*12</f>
        <v/>
      </c>
      <c r="G4" s="10" t="n"/>
      <c r="I4" s="11" t="inlineStr">
        <is>
          <t>Matthias Reiser</t>
        </is>
      </c>
      <c r="J4" s="12" t="n">
        <v>0.1</v>
      </c>
      <c r="K4" s="13" t="n">
        <v>4.6717</v>
      </c>
      <c r="L4" s="13">
        <f>K4*$C$3*0.9+K4</f>
        <v/>
      </c>
      <c r="M4" s="13">
        <f>L4*$C$4*0.9+L4</f>
        <v/>
      </c>
      <c r="N4" s="13">
        <f>M4*$C$5*0.9+M4</f>
        <v/>
      </c>
      <c r="O4" s="13">
        <f>N4*$C$6*0.9+N4</f>
        <v/>
      </c>
      <c r="P4" s="13">
        <f>O4*$C$7*0.9+O4</f>
        <v/>
      </c>
    </row>
    <row r="5" ht="15.75" customHeight="1" s="252">
      <c r="A5" s="6" t="n">
        <v>45717</v>
      </c>
      <c r="B5" s="7" t="n">
        <v>11.84</v>
      </c>
      <c r="C5" s="14">
        <f>(B5*$C$2/B4)-100%</f>
        <v/>
      </c>
      <c r="D5" s="15">
        <f>B5-B4</f>
        <v/>
      </c>
      <c r="E5" s="14">
        <f>C5*0.8</f>
        <v/>
      </c>
      <c r="F5" s="14">
        <f>C5*12</f>
        <v/>
      </c>
      <c r="G5" s="10" t="n"/>
      <c r="I5" s="11" t="inlineStr">
        <is>
          <t>Danielle Richetta</t>
        </is>
      </c>
      <c r="J5" s="12" t="n">
        <v>0.1</v>
      </c>
      <c r="K5" s="13" t="n">
        <v>4.8627</v>
      </c>
      <c r="L5" s="13">
        <f>K5*$C$3*0.9+K5</f>
        <v/>
      </c>
      <c r="M5" s="13">
        <f>L5*$C$4*0.9+L5</f>
        <v/>
      </c>
      <c r="N5" s="13">
        <f>M5*$C$5*0.9+M5</f>
        <v/>
      </c>
      <c r="O5" s="13">
        <f>N5*$C$6*0.9+N5</f>
        <v/>
      </c>
      <c r="P5" s="13">
        <f>O5*$C$7*0.9+O5</f>
        <v/>
      </c>
    </row>
    <row r="6" ht="15.75" customHeight="1" s="252">
      <c r="A6" s="6" t="n">
        <v>45747</v>
      </c>
      <c r="B6" s="7" t="n">
        <v>11.95</v>
      </c>
      <c r="C6" s="14">
        <f>(B6*$C$2/B5)-100%</f>
        <v/>
      </c>
      <c r="D6" s="15">
        <f>B6-B5</f>
        <v/>
      </c>
      <c r="E6" s="14">
        <f>C6*0.8</f>
        <v/>
      </c>
      <c r="F6" s="14">
        <f>C6*12</f>
        <v/>
      </c>
      <c r="G6" s="10" t="n"/>
      <c r="I6" s="11" t="inlineStr">
        <is>
          <t>Total AUM</t>
        </is>
      </c>
      <c r="J6" s="7" t="n"/>
      <c r="K6" s="16">
        <f>SUM(K2:K5)</f>
        <v/>
      </c>
      <c r="L6" s="16">
        <f>SUM(L2:L5)</f>
        <v/>
      </c>
      <c r="M6" s="16">
        <f>SUM(M2:M5)</f>
        <v/>
      </c>
      <c r="N6" s="16">
        <f>SUM(N2:N5)</f>
        <v/>
      </c>
      <c r="O6" s="16">
        <f>SUM(O2:O5)</f>
        <v/>
      </c>
      <c r="P6" s="16">
        <f>SUM(P2:P5)</f>
        <v/>
      </c>
    </row>
    <row r="7" ht="15.75" customHeight="1" s="252">
      <c r="A7" s="6" t="n">
        <v>45763</v>
      </c>
      <c r="B7" s="7" t="n">
        <v>12.02</v>
      </c>
      <c r="C7" s="14">
        <f>(B7*$C$2/B6)-100%</f>
        <v/>
      </c>
      <c r="D7" s="15">
        <f>B7-B6</f>
        <v/>
      </c>
      <c r="E7" s="14">
        <f>C7*0.8</f>
        <v/>
      </c>
      <c r="F7" s="14">
        <f>C7*12</f>
        <v/>
      </c>
    </row>
    <row r="8" ht="15.75" customHeight="1" s="252">
      <c r="A8" s="17" t="inlineStr">
        <is>
          <t>Closing the fond + transfert the assets in BTC Yield Fund</t>
        </is>
      </c>
      <c r="I8" s="11" t="inlineStr">
        <is>
          <t>Indigo</t>
        </is>
      </c>
      <c r="K8" s="18">
        <f>IFERROR(K2/K$6,"")</f>
        <v/>
      </c>
      <c r="L8" s="18">
        <f>IFERROR(L2/L$6,"")</f>
        <v/>
      </c>
      <c r="M8" s="18">
        <f>IFERROR(M2/M$6,"")</f>
        <v/>
      </c>
      <c r="N8" s="18">
        <f>IFERROR(N2/N$6,"")</f>
        <v/>
      </c>
      <c r="O8" s="18">
        <f>IFERROR(O2/O$6,"")</f>
        <v/>
      </c>
      <c r="P8" s="18">
        <f>IFERROR(P2/P$6,"")</f>
        <v/>
      </c>
    </row>
    <row r="9" ht="15.75" customHeight="1" s="252">
      <c r="A9" s="6" t="n"/>
      <c r="B9" s="7" t="n"/>
      <c r="C9" s="14" t="n"/>
      <c r="E9" s="10" t="n"/>
      <c r="F9" s="10" t="n"/>
      <c r="G9" s="10" t="n"/>
      <c r="I9" s="11" t="inlineStr">
        <is>
          <t>Kyle</t>
        </is>
      </c>
      <c r="K9" s="18">
        <f>IFERROR(K3/K$6,"")</f>
        <v/>
      </c>
      <c r="L9" s="18">
        <f>IFERROR(L3/L$6,"")</f>
        <v/>
      </c>
      <c r="M9" s="18">
        <f>IFERROR(M3/M$6,"")</f>
        <v/>
      </c>
      <c r="N9" s="18">
        <f>IFERROR(N3/N$6,"")</f>
        <v/>
      </c>
      <c r="O9" s="18">
        <f>IFERROR(O3/O$6,"")</f>
        <v/>
      </c>
      <c r="P9" s="18">
        <f>IFERROR(P3/P$6,"")</f>
        <v/>
      </c>
    </row>
    <row r="10" ht="15.75" customHeight="1" s="252">
      <c r="A10" s="19" t="inlineStr">
        <is>
          <t>Total</t>
        </is>
      </c>
      <c r="B10" s="20" t="inlineStr">
        <is>
          <t>4 Months</t>
        </is>
      </c>
      <c r="C10" s="21">
        <f>(B7-B2)/B2</f>
        <v/>
      </c>
      <c r="D10" s="20">
        <f>B7-B2</f>
        <v/>
      </c>
      <c r="E10" s="21">
        <f>C10*0.8</f>
        <v/>
      </c>
      <c r="F10" s="21">
        <f>E10/4*12</f>
        <v/>
      </c>
      <c r="I10" s="11" t="inlineStr">
        <is>
          <t>Mathias</t>
        </is>
      </c>
      <c r="K10" s="18">
        <f>IFERROR(K4/K$6,"")</f>
        <v/>
      </c>
      <c r="L10" s="18">
        <f>IFERROR(L4/L$6,"")</f>
        <v/>
      </c>
      <c r="M10" s="18">
        <f>IFERROR(M4/M$6,"")</f>
        <v/>
      </c>
      <c r="N10" s="18">
        <f>IFERROR(N4/N$6,"")</f>
        <v/>
      </c>
      <c r="O10" s="18">
        <f>IFERROR(O4/O$6,"")</f>
        <v/>
      </c>
      <c r="P10" s="18">
        <f>IFERROR(P4/P$6,"")</f>
        <v/>
      </c>
    </row>
    <row r="11" ht="15.75" customHeight="1" s="252">
      <c r="A11" s="6" t="n"/>
      <c r="B11" s="7" t="n"/>
      <c r="C11" s="22" t="n"/>
      <c r="E11" s="10" t="n"/>
      <c r="F11" s="10" t="n"/>
      <c r="G11" s="10" t="n"/>
      <c r="I11" s="11" t="inlineStr">
        <is>
          <t>Danielle Richetta</t>
        </is>
      </c>
      <c r="K11" s="18">
        <f>IFERROR(K5/K$6,"")</f>
        <v/>
      </c>
      <c r="L11" s="18">
        <f>IFERROR(L5/L$6,"")</f>
        <v/>
      </c>
      <c r="M11" s="18">
        <f>IFERROR(M5/M$6,"")</f>
        <v/>
      </c>
      <c r="N11" s="18">
        <f>IFERROR(N5/N$6,"")</f>
        <v/>
      </c>
      <c r="O11" s="18">
        <f>IFERROR(O5/O$6,"")</f>
        <v/>
      </c>
      <c r="P11" s="18">
        <f>IFERROR(P5/P$6,"")</f>
        <v/>
      </c>
    </row>
    <row r="12" ht="15.75" customHeight="1" s="252">
      <c r="A12" s="6" t="n"/>
      <c r="B12" s="7" t="n"/>
      <c r="C12" s="14" t="n"/>
      <c r="I12" s="11" t="inlineStr">
        <is>
          <t>Total AUM</t>
        </is>
      </c>
      <c r="J12" s="7" t="n"/>
      <c r="K12" s="23">
        <f>SUM(K8:K11)</f>
        <v/>
      </c>
      <c r="L12" s="23">
        <f>SUM(L8:L11)</f>
        <v/>
      </c>
      <c r="M12" s="23">
        <f>SUM(M8:M11)</f>
        <v/>
      </c>
      <c r="N12" s="23">
        <f>SUM(N8:N11)</f>
        <v/>
      </c>
      <c r="O12" s="23">
        <f>SUM(O8:O11)</f>
        <v/>
      </c>
      <c r="P12" s="23">
        <f>SUM(P8:P11)</f>
        <v/>
      </c>
    </row>
    <row r="13" ht="15.75" customHeight="1" s="252">
      <c r="A13" s="24" t="n"/>
      <c r="C13" s="25" t="n"/>
      <c r="D13" s="14" t="n"/>
    </row>
    <row r="14" ht="15.75" customHeight="1" s="252">
      <c r="A14" s="24" t="n"/>
      <c r="C14" s="22" t="n"/>
      <c r="D14" s="14" t="n"/>
    </row>
    <row r="15" ht="15.75" customHeight="1" s="252">
      <c r="A15" s="26" t="n"/>
      <c r="D15" s="14" t="n"/>
    </row>
    <row r="16" ht="15.75" customHeight="1" s="252">
      <c r="A16" s="26" t="n"/>
      <c r="D16" s="14" t="n"/>
    </row>
    <row r="17" ht="15.75" customHeight="1" s="252">
      <c r="A17" s="26" t="n"/>
      <c r="D17" s="14" t="n"/>
    </row>
    <row r="18" ht="15.75" customHeight="1" s="252">
      <c r="A18" s="26" t="n"/>
      <c r="D18" s="14" t="n"/>
    </row>
    <row r="19" ht="15.75" customHeight="1" s="252">
      <c r="A19" s="26" t="n"/>
    </row>
    <row r="20" ht="15.75" customHeight="1" s="252">
      <c r="A20" s="26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 ht="15.75" customHeight="1" s="252">
      <c r="A21" s="26" t="n"/>
    </row>
    <row r="22" ht="15.75" customHeight="1" s="252">
      <c r="A22" s="26" t="n"/>
    </row>
    <row r="23" ht="15.75" customHeight="1" s="252">
      <c r="A23" s="26" t="n"/>
    </row>
    <row r="24" ht="15.75" customHeight="1" s="252">
      <c r="A24" s="26" t="n"/>
    </row>
    <row r="25" ht="15.75" customHeight="1" s="252">
      <c r="A25" s="26" t="n"/>
    </row>
    <row r="26" ht="15.75" customHeight="1" s="252">
      <c r="A26" s="26" t="n"/>
    </row>
    <row r="27" ht="15.75" customHeight="1" s="252">
      <c r="A27" s="26" t="n"/>
    </row>
    <row r="28" ht="15.75" customHeight="1" s="252">
      <c r="A28" s="26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 ht="15.75" customHeight="1" s="252">
      <c r="A29" s="26" t="n"/>
      <c r="B29" s="7" t="n"/>
      <c r="E29" s="11" t="n"/>
      <c r="F29" s="11" t="n"/>
      <c r="G29" s="11" t="n"/>
      <c r="H29" s="14" t="n"/>
    </row>
    <row r="30" ht="15.75" customHeight="1" s="252">
      <c r="A30" s="26" t="n"/>
      <c r="B30" s="7" t="n"/>
      <c r="E30" s="11" t="n"/>
      <c r="F30" s="11" t="n"/>
      <c r="G30" s="11" t="n"/>
      <c r="H30" s="14" t="n"/>
    </row>
    <row r="31" ht="15.75" customHeight="1" s="252">
      <c r="A31" s="26" t="n"/>
      <c r="B31" s="7" t="n"/>
      <c r="E31" s="11" t="n"/>
      <c r="F31" s="11" t="n"/>
      <c r="G31" s="11" t="n"/>
      <c r="H31" s="14" t="n"/>
    </row>
    <row r="32" ht="15.75" customHeight="1" s="252">
      <c r="A32" s="26" t="n"/>
      <c r="B32" s="7" t="n"/>
      <c r="E32" s="11" t="n"/>
      <c r="F32" s="11" t="n"/>
      <c r="G32" s="11" t="n"/>
      <c r="H32" s="14" t="n"/>
    </row>
    <row r="33" ht="15.75" customHeight="1" s="252">
      <c r="A33" s="26" t="n"/>
      <c r="B33" s="7" t="n"/>
      <c r="E33" s="11" t="n"/>
      <c r="F33" s="11" t="n"/>
      <c r="G33" s="11" t="n"/>
      <c r="H33" s="14" t="n"/>
    </row>
    <row r="34" ht="15.75" customHeight="1" s="252">
      <c r="A34" s="26" t="n"/>
      <c r="B34" s="7" t="n"/>
      <c r="E34" s="11" t="n"/>
      <c r="F34" s="11" t="n"/>
      <c r="G34" s="11" t="n"/>
      <c r="H34" s="14" t="n"/>
    </row>
    <row r="35" ht="15.75" customHeight="1" s="252">
      <c r="A35" s="26" t="n"/>
      <c r="B35" s="7" t="n"/>
      <c r="E35" s="11" t="n"/>
      <c r="F35" s="11" t="n"/>
      <c r="G35" s="11" t="n"/>
      <c r="H35" s="14" t="n"/>
    </row>
    <row r="36" ht="15.75" customHeight="1" s="252">
      <c r="A36" s="26" t="n"/>
      <c r="B36" s="7" t="n"/>
      <c r="E36" s="11" t="n"/>
      <c r="F36" s="11" t="n"/>
      <c r="G36" s="11" t="n"/>
      <c r="H36" s="14" t="n"/>
    </row>
    <row r="37" ht="15.75" customHeight="1" s="252">
      <c r="A37" s="26" t="n"/>
      <c r="B37" s="7" t="n"/>
      <c r="E37" s="11" t="n"/>
      <c r="F37" s="11" t="n"/>
      <c r="G37" s="11" t="n"/>
      <c r="H37" s="14" t="n"/>
    </row>
    <row r="38" ht="15.75" customHeight="1" s="252">
      <c r="A38" s="26" t="n"/>
      <c r="B38" s="7" t="n"/>
      <c r="E38" s="11" t="n"/>
      <c r="F38" s="11" t="n"/>
      <c r="G38" s="11" t="n"/>
      <c r="H38" s="14" t="n"/>
    </row>
    <row r="39" ht="15.75" customHeight="1" s="252">
      <c r="A39" s="26" t="n"/>
      <c r="B39" s="7" t="n"/>
      <c r="E39" s="11" t="n"/>
      <c r="F39" s="11" t="n"/>
      <c r="G39" s="11" t="n"/>
      <c r="H39" s="14" t="n"/>
    </row>
    <row r="40" ht="15.75" customHeight="1" s="252">
      <c r="A40" s="26" t="n"/>
      <c r="B40" s="7" t="n"/>
      <c r="E40" s="11" t="n"/>
      <c r="F40" s="11" t="n"/>
      <c r="G40" s="11" t="n"/>
      <c r="H40" s="14" t="n"/>
    </row>
    <row r="41" ht="15.75" customHeight="1" s="252">
      <c r="A41" s="26" t="n"/>
      <c r="B41" s="7" t="n"/>
      <c r="E41" s="11" t="n"/>
      <c r="F41" s="11" t="n"/>
      <c r="G41" s="11" t="n"/>
      <c r="H41" s="14" t="n"/>
    </row>
    <row r="42" ht="15.75" customHeight="1" s="252">
      <c r="A42" s="26" t="n"/>
      <c r="B42" s="7" t="n"/>
      <c r="E42" s="11" t="n"/>
      <c r="F42" s="11" t="n"/>
      <c r="G42" s="11" t="n"/>
      <c r="H42" s="14" t="n"/>
    </row>
    <row r="43" ht="15.75" customHeight="1" s="252">
      <c r="A43" s="26" t="n"/>
      <c r="B43" s="7" t="n"/>
      <c r="E43" s="11" t="n"/>
      <c r="F43" s="11" t="n"/>
      <c r="G43" s="11" t="n"/>
      <c r="H43" s="14" t="n"/>
    </row>
    <row r="44" ht="15.75" customHeight="1" s="252">
      <c r="A44" s="26" t="n"/>
      <c r="B44" s="7" t="n"/>
      <c r="E44" s="11" t="n"/>
      <c r="F44" s="11" t="n"/>
      <c r="G44" s="11" t="n"/>
      <c r="H44" s="14" t="n"/>
    </row>
    <row r="45" ht="15.75" customHeight="1" s="252">
      <c r="A45" s="26" t="n"/>
      <c r="B45" s="7" t="n"/>
      <c r="E45" s="11" t="n"/>
      <c r="F45" s="11" t="n"/>
      <c r="G45" s="11" t="n"/>
      <c r="H45" s="14" t="n"/>
    </row>
    <row r="46" ht="15.75" customHeight="1" s="252">
      <c r="A46" s="26" t="n"/>
      <c r="B46" s="7" t="n"/>
      <c r="E46" s="11" t="n"/>
      <c r="F46" s="11" t="n"/>
      <c r="G46" s="11" t="n"/>
      <c r="H46" s="14" t="n"/>
    </row>
    <row r="47" ht="15.75" customHeight="1" s="252">
      <c r="A47" s="26" t="n"/>
      <c r="B47" s="7" t="n"/>
      <c r="E47" s="11" t="n"/>
      <c r="F47" s="11" t="n"/>
      <c r="G47" s="11" t="n"/>
      <c r="H47" s="14" t="n"/>
    </row>
    <row r="48" ht="15.75" customHeight="1" s="252">
      <c r="A48" s="26" t="n"/>
      <c r="B48" s="7" t="n"/>
      <c r="E48" s="11" t="n"/>
      <c r="F48" s="11" t="n"/>
      <c r="G48" s="11" t="n"/>
      <c r="H48" s="14" t="n"/>
    </row>
    <row r="49" ht="15.75" customHeight="1" s="252">
      <c r="A49" s="26" t="n"/>
      <c r="B49" s="7" t="n"/>
      <c r="E49" s="11" t="n"/>
      <c r="F49" s="11" t="n"/>
      <c r="G49" s="11" t="n"/>
      <c r="H49" s="14" t="n"/>
    </row>
    <row r="50" ht="15.75" customHeight="1" s="252">
      <c r="A50" s="26" t="n"/>
      <c r="B50" s="7" t="n"/>
      <c r="E50" s="11" t="n"/>
      <c r="F50" s="11" t="n"/>
      <c r="G50" s="11" t="n"/>
      <c r="H50" s="14" t="n"/>
    </row>
    <row r="51" ht="15.75" customHeight="1" s="252">
      <c r="A51" s="26" t="n"/>
      <c r="B51" s="7" t="n"/>
      <c r="E51" s="11" t="n"/>
      <c r="F51" s="11" t="n"/>
      <c r="G51" s="11" t="n"/>
      <c r="H51" s="14" t="n"/>
    </row>
    <row r="52" ht="15.75" customHeight="1" s="252">
      <c r="A52" s="26" t="n"/>
      <c r="B52" s="7" t="n"/>
      <c r="E52" s="11" t="n"/>
      <c r="F52" s="11" t="n"/>
      <c r="G52" s="11" t="n"/>
      <c r="H52" s="14" t="n"/>
    </row>
    <row r="53" ht="15.75" customHeight="1" s="252">
      <c r="A53" s="26" t="n"/>
      <c r="B53" s="7" t="n"/>
      <c r="E53" s="11" t="n"/>
      <c r="F53" s="11" t="n"/>
      <c r="G53" s="11" t="n"/>
      <c r="H53" s="14" t="n"/>
    </row>
    <row r="54" ht="15.75" customHeight="1" s="252">
      <c r="A54" s="26" t="n"/>
      <c r="B54" s="7" t="n"/>
      <c r="E54" s="11" t="n"/>
      <c r="F54" s="11" t="n"/>
      <c r="G54" s="11" t="n"/>
      <c r="H54" s="14" t="n"/>
    </row>
    <row r="55" ht="15.75" customHeight="1" s="252">
      <c r="A55" s="26" t="n"/>
      <c r="B55" s="7" t="n"/>
      <c r="E55" s="11" t="n"/>
      <c r="F55" s="11" t="n"/>
      <c r="G55" s="11" t="n"/>
      <c r="H55" s="14" t="n"/>
    </row>
    <row r="56" ht="15.75" customHeight="1" s="252">
      <c r="A56" s="26" t="n"/>
      <c r="B56" s="7" t="n"/>
      <c r="E56" s="11" t="n"/>
      <c r="F56" s="11" t="n"/>
      <c r="G56" s="11" t="n"/>
      <c r="H56" s="14" t="n"/>
    </row>
    <row r="57" ht="15.75" customHeight="1" s="252">
      <c r="A57" s="26" t="n"/>
      <c r="B57" s="7" t="n"/>
      <c r="E57" s="11" t="n"/>
      <c r="F57" s="11" t="n"/>
      <c r="G57" s="11" t="n"/>
      <c r="H57" s="14" t="n"/>
    </row>
    <row r="58" ht="15.75" customHeight="1" s="252">
      <c r="A58" s="26" t="n"/>
      <c r="B58" s="7" t="n"/>
      <c r="E58" s="11" t="n"/>
      <c r="F58" s="11" t="n"/>
      <c r="G58" s="11" t="n"/>
      <c r="H58" s="14" t="n"/>
    </row>
    <row r="59" ht="15.75" customHeight="1" s="252">
      <c r="A59" s="26" t="n"/>
      <c r="B59" s="7" t="n"/>
      <c r="E59" s="11" t="n"/>
      <c r="F59" s="11" t="n"/>
      <c r="G59" s="11" t="n"/>
      <c r="H59" s="14" t="n"/>
    </row>
    <row r="60" ht="15.75" customHeight="1" s="252">
      <c r="A60" s="26" t="n"/>
      <c r="B60" s="7" t="n"/>
      <c r="E60" s="11" t="n"/>
      <c r="F60" s="11" t="n"/>
      <c r="G60" s="11" t="n"/>
      <c r="H60" s="14" t="n"/>
    </row>
    <row r="61" ht="15.75" customHeight="1" s="252">
      <c r="A61" s="26" t="n"/>
      <c r="B61" s="7" t="n"/>
      <c r="E61" s="11" t="n"/>
      <c r="F61" s="11" t="n"/>
      <c r="G61" s="11" t="n"/>
      <c r="H61" s="14" t="n"/>
    </row>
    <row r="62" ht="15.75" customHeight="1" s="252">
      <c r="A62" s="26" t="n"/>
      <c r="B62" s="7" t="n"/>
      <c r="E62" s="11" t="n"/>
      <c r="F62" s="11" t="n"/>
      <c r="G62" s="11" t="n"/>
      <c r="H62" s="14" t="n"/>
    </row>
    <row r="63" ht="15.75" customHeight="1" s="252">
      <c r="A63" s="26" t="n"/>
      <c r="B63" s="7" t="n"/>
      <c r="E63" s="11" t="n"/>
      <c r="F63" s="11" t="n"/>
      <c r="G63" s="11" t="n"/>
      <c r="H63" s="14" t="n"/>
    </row>
    <row r="64" ht="15.75" customHeight="1" s="252">
      <c r="A64" s="26" t="n"/>
      <c r="B64" s="7" t="n"/>
      <c r="E64" s="11" t="n"/>
      <c r="F64" s="11" t="n"/>
      <c r="G64" s="11" t="n"/>
      <c r="H64" s="14" t="n"/>
    </row>
    <row r="65" ht="15.75" customHeight="1" s="252">
      <c r="A65" s="26" t="n"/>
      <c r="B65" s="7" t="n"/>
      <c r="E65" s="11" t="n"/>
      <c r="F65" s="11" t="n"/>
      <c r="G65" s="11" t="n"/>
      <c r="H65" s="14" t="n"/>
    </row>
    <row r="66" ht="15.75" customHeight="1" s="252">
      <c r="A66" s="26" t="n"/>
      <c r="B66" s="7" t="n"/>
      <c r="E66" s="11" t="n"/>
      <c r="F66" s="11" t="n"/>
      <c r="G66" s="11" t="n"/>
      <c r="H66" s="14" t="n"/>
    </row>
    <row r="67" ht="15.75" customHeight="1" s="252">
      <c r="A67" s="26" t="n"/>
      <c r="B67" s="7" t="n"/>
      <c r="E67" s="11" t="n"/>
      <c r="F67" s="11" t="n"/>
      <c r="G67" s="11" t="n"/>
      <c r="H67" s="14" t="n"/>
    </row>
    <row r="68" ht="15.75" customHeight="1" s="252">
      <c r="A68" s="26" t="n"/>
      <c r="B68" s="7" t="n"/>
      <c r="E68" s="11" t="n"/>
      <c r="F68" s="11" t="n"/>
      <c r="G68" s="11" t="n"/>
      <c r="H68" s="14" t="n"/>
    </row>
    <row r="69" ht="15.75" customHeight="1" s="252">
      <c r="A69" s="26" t="n"/>
      <c r="B69" s="7" t="n"/>
      <c r="E69" s="11" t="n"/>
      <c r="F69" s="11" t="n"/>
      <c r="G69" s="11" t="n"/>
      <c r="H69" s="14" t="n"/>
    </row>
    <row r="70" ht="15.75" customHeight="1" s="252">
      <c r="A70" s="26" t="n"/>
      <c r="B70" s="7" t="n"/>
      <c r="E70" s="11" t="n"/>
      <c r="F70" s="11" t="n"/>
      <c r="G70" s="11" t="n"/>
      <c r="H70" s="14" t="n"/>
    </row>
    <row r="71" ht="15.75" customHeight="1" s="252">
      <c r="A71" s="26" t="n"/>
      <c r="B71" s="7" t="n"/>
      <c r="E71" s="11" t="n"/>
      <c r="F71" s="11" t="n"/>
      <c r="G71" s="11" t="n"/>
      <c r="H71" s="14" t="n"/>
    </row>
    <row r="72" ht="15.75" customHeight="1" s="252">
      <c r="A72" s="26" t="n"/>
      <c r="B72" s="7" t="n"/>
      <c r="E72" s="11" t="n"/>
      <c r="F72" s="11" t="n"/>
      <c r="G72" s="11" t="n"/>
      <c r="H72" s="14" t="n"/>
    </row>
    <row r="73" ht="15.75" customHeight="1" s="252">
      <c r="A73" s="26" t="n"/>
      <c r="B73" s="7" t="n"/>
      <c r="E73" s="11" t="n"/>
      <c r="F73" s="11" t="n"/>
      <c r="G73" s="11" t="n"/>
      <c r="H73" s="14" t="n"/>
    </row>
    <row r="74" ht="15.75" customHeight="1" s="252">
      <c r="A74" s="26" t="n"/>
      <c r="B74" s="7" t="n"/>
      <c r="E74" s="11" t="n"/>
      <c r="F74" s="11" t="n"/>
      <c r="G74" s="11" t="n"/>
      <c r="H74" s="14" t="n"/>
    </row>
    <row r="75" ht="15.75" customHeight="1" s="252">
      <c r="A75" s="26" t="n"/>
      <c r="B75" s="7" t="n"/>
      <c r="E75" s="11" t="n"/>
      <c r="F75" s="11" t="n"/>
      <c r="G75" s="11" t="n"/>
      <c r="H75" s="14" t="n"/>
    </row>
    <row r="76" ht="15.75" customHeight="1" s="252">
      <c r="A76" s="26" t="n"/>
      <c r="B76" s="7" t="n"/>
      <c r="E76" s="11" t="n"/>
      <c r="F76" s="11" t="n"/>
      <c r="G76" s="11" t="n"/>
      <c r="H76" s="14" t="n"/>
    </row>
    <row r="77" ht="15.75" customHeight="1" s="252">
      <c r="A77" s="26" t="n"/>
      <c r="B77" s="7" t="n"/>
      <c r="E77" s="11" t="n"/>
      <c r="F77" s="11" t="n"/>
      <c r="G77" s="11" t="n"/>
      <c r="H77" s="14" t="n"/>
    </row>
    <row r="78" ht="15.75" customHeight="1" s="252">
      <c r="A78" s="26" t="n"/>
      <c r="B78" s="7" t="n"/>
      <c r="E78" s="11" t="n"/>
      <c r="F78" s="11" t="n"/>
      <c r="G78" s="11" t="n"/>
      <c r="H78" s="14" t="n"/>
    </row>
    <row r="79" ht="15.75" customHeight="1" s="252">
      <c r="A79" s="26" t="n"/>
      <c r="B79" s="7" t="n"/>
      <c r="E79" s="11" t="n"/>
      <c r="F79" s="11" t="n"/>
      <c r="G79" s="11" t="n"/>
      <c r="H79" s="14" t="n"/>
    </row>
    <row r="80" ht="15.75" customHeight="1" s="252">
      <c r="A80" s="26" t="n"/>
      <c r="B80" s="7" t="n"/>
      <c r="E80" s="11" t="n"/>
      <c r="F80" s="11" t="n"/>
      <c r="G80" s="11" t="n"/>
      <c r="H80" s="14" t="n"/>
    </row>
    <row r="81" ht="15.75" customHeight="1" s="252">
      <c r="A81" s="26" t="n"/>
      <c r="B81" s="7" t="n"/>
      <c r="E81" s="11" t="n"/>
      <c r="F81" s="11" t="n"/>
      <c r="G81" s="11" t="n"/>
      <c r="H81" s="14" t="n"/>
    </row>
    <row r="82" ht="15.75" customHeight="1" s="252">
      <c r="A82" s="26" t="n"/>
      <c r="B82" s="7" t="n"/>
      <c r="E82" s="11" t="n"/>
      <c r="F82" s="11" t="n"/>
      <c r="G82" s="11" t="n"/>
      <c r="H82" s="14" t="n"/>
    </row>
    <row r="83" ht="15.75" customHeight="1" s="252">
      <c r="A83" s="26" t="n"/>
      <c r="B83" s="7" t="n"/>
      <c r="E83" s="11" t="n"/>
      <c r="F83" s="11" t="n"/>
      <c r="G83" s="11" t="n"/>
      <c r="H83" s="14" t="n"/>
    </row>
    <row r="84" ht="15.75" customHeight="1" s="252">
      <c r="A84" s="26" t="n"/>
      <c r="B84" s="7" t="n"/>
      <c r="E84" s="11" t="n"/>
      <c r="F84" s="11" t="n"/>
      <c r="G84" s="11" t="n"/>
      <c r="H84" s="14" t="n"/>
    </row>
    <row r="85" ht="15.75" customHeight="1" s="252">
      <c r="A85" s="26" t="n"/>
      <c r="B85" s="7" t="n"/>
      <c r="E85" s="11" t="n"/>
      <c r="F85" s="11" t="n"/>
      <c r="G85" s="11" t="n"/>
      <c r="H85" s="14" t="n"/>
    </row>
    <row r="86" ht="15.75" customHeight="1" s="252">
      <c r="A86" s="26" t="n"/>
      <c r="B86" s="7" t="n"/>
      <c r="E86" s="11" t="n"/>
      <c r="F86" s="11" t="n"/>
      <c r="G86" s="11" t="n"/>
      <c r="H86" s="14" t="n"/>
    </row>
    <row r="87" ht="15.75" customHeight="1" s="252">
      <c r="A87" s="26" t="n"/>
      <c r="B87" s="7" t="n"/>
      <c r="E87" s="11" t="n"/>
      <c r="F87" s="11" t="n"/>
      <c r="G87" s="11" t="n"/>
      <c r="H87" s="14" t="n"/>
    </row>
    <row r="88" ht="15.75" customHeight="1" s="252">
      <c r="A88" s="26" t="n"/>
      <c r="B88" s="7" t="n"/>
      <c r="E88" s="11" t="n"/>
      <c r="F88" s="11" t="n"/>
      <c r="G88" s="11" t="n"/>
      <c r="H88" s="14" t="n"/>
    </row>
    <row r="89" ht="15.75" customHeight="1" s="252">
      <c r="A89" s="26" t="n"/>
      <c r="B89" s="7" t="n"/>
      <c r="E89" s="11" t="n"/>
      <c r="F89" s="11" t="n"/>
      <c r="G89" s="11" t="n"/>
      <c r="H89" s="14" t="n"/>
    </row>
    <row r="90" ht="15.75" customHeight="1" s="252">
      <c r="A90" s="26" t="n"/>
      <c r="B90" s="7" t="n"/>
      <c r="E90" s="11" t="n"/>
      <c r="F90" s="11" t="n"/>
      <c r="G90" s="11" t="n"/>
      <c r="H90" s="14" t="n"/>
    </row>
    <row r="91" ht="15.75" customHeight="1" s="252">
      <c r="A91" s="26" t="n"/>
      <c r="B91" s="7" t="n"/>
      <c r="E91" s="11" t="n"/>
      <c r="F91" s="11" t="n"/>
      <c r="G91" s="11" t="n"/>
      <c r="H91" s="14" t="n"/>
    </row>
    <row r="92" ht="15.75" customHeight="1" s="252">
      <c r="A92" s="26" t="n"/>
      <c r="B92" s="7" t="n"/>
      <c r="E92" s="11" t="n"/>
      <c r="F92" s="11" t="n"/>
      <c r="G92" s="11" t="n"/>
      <c r="H92" s="14" t="n"/>
    </row>
    <row r="93" ht="15.75" customHeight="1" s="252">
      <c r="A93" s="26" t="n"/>
      <c r="B93" s="7" t="n"/>
      <c r="E93" s="11" t="n"/>
      <c r="F93" s="11" t="n"/>
      <c r="G93" s="11" t="n"/>
      <c r="H93" s="14" t="n"/>
    </row>
    <row r="94" ht="15.75" customHeight="1" s="252">
      <c r="A94" s="26" t="n"/>
      <c r="B94" s="7" t="n"/>
      <c r="E94" s="11" t="n"/>
      <c r="F94" s="11" t="n"/>
      <c r="G94" s="11" t="n"/>
      <c r="H94" s="14" t="n"/>
    </row>
    <row r="95" ht="15.75" customHeight="1" s="252">
      <c r="A95" s="26" t="n"/>
      <c r="B95" s="7" t="n"/>
      <c r="E95" s="11" t="n"/>
      <c r="F95" s="11" t="n"/>
      <c r="G95" s="11" t="n"/>
      <c r="H95" s="14" t="n"/>
    </row>
    <row r="96" ht="15.75" customHeight="1" s="252">
      <c r="A96" s="26" t="n"/>
      <c r="B96" s="7" t="n"/>
      <c r="E96" s="11" t="n"/>
      <c r="F96" s="11" t="n"/>
      <c r="G96" s="11" t="n"/>
      <c r="H96" s="14" t="n"/>
    </row>
    <row r="97" ht="15.75" customHeight="1" s="252">
      <c r="A97" s="26" t="n"/>
      <c r="B97" s="7" t="n"/>
      <c r="E97" s="11" t="n"/>
      <c r="F97" s="11" t="n"/>
      <c r="G97" s="11" t="n"/>
      <c r="H97" s="14" t="n"/>
    </row>
    <row r="98" ht="15.75" customHeight="1" s="252">
      <c r="A98" s="26" t="n"/>
      <c r="B98" s="7" t="n"/>
      <c r="E98" s="11" t="n"/>
      <c r="F98" s="11" t="n"/>
      <c r="G98" s="11" t="n"/>
      <c r="H98" s="14" t="n"/>
    </row>
    <row r="99" ht="15.75" customHeight="1" s="252">
      <c r="A99" s="26" t="n"/>
      <c r="B99" s="7" t="n"/>
      <c r="E99" s="11" t="n"/>
      <c r="F99" s="11" t="n"/>
      <c r="G99" s="11" t="n"/>
      <c r="H99" s="14" t="n"/>
    </row>
    <row r="100" ht="15.75" customHeight="1" s="252">
      <c r="A100" s="26" t="n"/>
      <c r="B100" s="7" t="n"/>
      <c r="E100" s="11" t="n"/>
      <c r="F100" s="11" t="n"/>
      <c r="G100" s="11" t="n"/>
      <c r="H100" s="14" t="n"/>
    </row>
    <row r="101" ht="15.75" customHeight="1" s="252">
      <c r="A101" s="26" t="n"/>
      <c r="B101" s="7" t="n"/>
      <c r="E101" s="11" t="n"/>
      <c r="F101" s="11" t="n"/>
      <c r="G101" s="11" t="n"/>
      <c r="H101" s="14" t="n"/>
    </row>
    <row r="102" ht="15.75" customHeight="1" s="252">
      <c r="A102" s="26" t="n"/>
      <c r="B102" s="7" t="n"/>
      <c r="E102" s="11" t="n"/>
      <c r="F102" s="11" t="n"/>
      <c r="G102" s="11" t="n"/>
      <c r="H102" s="14" t="n"/>
    </row>
    <row r="103" ht="15.75" customHeight="1" s="252">
      <c r="A103" s="26" t="n"/>
      <c r="B103" s="7" t="n"/>
      <c r="E103" s="11" t="n"/>
      <c r="F103" s="11" t="n"/>
      <c r="G103" s="11" t="n"/>
      <c r="H103" s="14" t="n"/>
    </row>
    <row r="104" ht="15.75" customHeight="1" s="252">
      <c r="A104" s="26" t="n"/>
      <c r="B104" s="7" t="n"/>
      <c r="E104" s="11" t="n"/>
      <c r="F104" s="11" t="n"/>
      <c r="G104" s="11" t="n"/>
      <c r="H104" s="14" t="n"/>
    </row>
    <row r="105" ht="15.75" customHeight="1" s="252">
      <c r="A105" s="26" t="n"/>
      <c r="B105" s="7" t="n"/>
      <c r="E105" s="11" t="n"/>
      <c r="F105" s="11" t="n"/>
      <c r="G105" s="11" t="n"/>
      <c r="H105" s="14" t="n"/>
    </row>
    <row r="106" ht="15.75" customHeight="1" s="252">
      <c r="A106" s="26" t="n"/>
      <c r="B106" s="7" t="n"/>
      <c r="E106" s="11" t="n"/>
      <c r="F106" s="11" t="n"/>
      <c r="G106" s="11" t="n"/>
      <c r="H106" s="14" t="n"/>
    </row>
    <row r="107" ht="15.75" customHeight="1" s="252">
      <c r="A107" s="26" t="n"/>
      <c r="B107" s="7" t="n"/>
      <c r="E107" s="11" t="n"/>
      <c r="F107" s="11" t="n"/>
      <c r="G107" s="11" t="n"/>
      <c r="H107" s="14" t="n"/>
    </row>
    <row r="108" ht="15.75" customHeight="1" s="252">
      <c r="A108" s="26" t="n"/>
      <c r="B108" s="7" t="n"/>
      <c r="E108" s="11" t="n"/>
      <c r="F108" s="11" t="n"/>
      <c r="G108" s="11" t="n"/>
      <c r="H108" s="14" t="n"/>
    </row>
    <row r="109" ht="15.75" customHeight="1" s="252">
      <c r="A109" s="26" t="n"/>
      <c r="B109" s="7" t="n"/>
      <c r="E109" s="11" t="n"/>
      <c r="F109" s="11" t="n"/>
      <c r="G109" s="11" t="n"/>
      <c r="H109" s="14" t="n"/>
    </row>
    <row r="110" ht="15.75" customHeight="1" s="252">
      <c r="A110" s="26" t="n"/>
      <c r="B110" s="7" t="n"/>
      <c r="E110" s="11" t="n"/>
      <c r="F110" s="11" t="n"/>
      <c r="G110" s="11" t="n"/>
      <c r="H110" s="14" t="n"/>
    </row>
    <row r="111" ht="15.75" customHeight="1" s="252">
      <c r="A111" s="26" t="n"/>
      <c r="B111" s="7" t="n"/>
      <c r="E111" s="11" t="n"/>
      <c r="F111" s="11" t="n"/>
      <c r="G111" s="11" t="n"/>
      <c r="H111" s="14" t="n"/>
    </row>
    <row r="112" ht="15.75" customHeight="1" s="252">
      <c r="A112" s="26" t="n"/>
      <c r="B112" s="7" t="n"/>
      <c r="E112" s="11" t="n"/>
      <c r="F112" s="11" t="n"/>
      <c r="G112" s="11" t="n"/>
      <c r="H112" s="14" t="n"/>
    </row>
    <row r="113" ht="15.75" customHeight="1" s="252">
      <c r="A113" s="26" t="n"/>
      <c r="B113" s="7" t="n"/>
      <c r="E113" s="11" t="n"/>
      <c r="F113" s="11" t="n"/>
      <c r="G113" s="11" t="n"/>
      <c r="H113" s="14" t="n"/>
    </row>
    <row r="114" ht="15.75" customHeight="1" s="252">
      <c r="A114" s="26" t="n"/>
      <c r="B114" s="7" t="n"/>
      <c r="E114" s="11" t="n"/>
      <c r="F114" s="11" t="n"/>
      <c r="G114" s="11" t="n"/>
      <c r="H114" s="14" t="n"/>
    </row>
    <row r="115" ht="15.75" customHeight="1" s="252">
      <c r="A115" s="26" t="n"/>
      <c r="B115" s="7" t="n"/>
      <c r="E115" s="11" t="n"/>
      <c r="F115" s="11" t="n"/>
      <c r="G115" s="11" t="n"/>
      <c r="H115" s="14" t="n"/>
    </row>
    <row r="116" ht="15.75" customHeight="1" s="252">
      <c r="A116" s="26" t="n"/>
      <c r="B116" s="7" t="n"/>
      <c r="E116" s="11" t="n"/>
      <c r="F116" s="11" t="n"/>
      <c r="G116" s="11" t="n"/>
      <c r="H116" s="14" t="n"/>
    </row>
    <row r="117" ht="15.75" customHeight="1" s="252">
      <c r="A117" s="26" t="n"/>
      <c r="B117" s="7" t="n"/>
      <c r="E117" s="11" t="n"/>
      <c r="F117" s="11" t="n"/>
      <c r="G117" s="11" t="n"/>
      <c r="H117" s="14" t="n"/>
    </row>
    <row r="118" ht="15.75" customHeight="1" s="252">
      <c r="A118" s="26" t="n"/>
      <c r="B118" s="7" t="n"/>
      <c r="E118" s="11" t="n"/>
      <c r="F118" s="11" t="n"/>
      <c r="G118" s="11" t="n"/>
      <c r="H118" s="14" t="n"/>
    </row>
    <row r="119" ht="15.75" customHeight="1" s="252">
      <c r="A119" s="26" t="n"/>
      <c r="B119" s="7" t="n"/>
      <c r="E119" s="11" t="n"/>
      <c r="F119" s="11" t="n"/>
      <c r="G119" s="11" t="n"/>
      <c r="H119" s="14" t="n"/>
    </row>
    <row r="120" ht="15.75" customHeight="1" s="252">
      <c r="A120" s="26" t="n"/>
      <c r="B120" s="7" t="n"/>
      <c r="E120" s="11" t="n"/>
      <c r="F120" s="11" t="n"/>
      <c r="G120" s="11" t="n"/>
      <c r="H120" s="14" t="n"/>
    </row>
    <row r="121" ht="15.75" customHeight="1" s="252">
      <c r="A121" s="26" t="n"/>
      <c r="B121" s="7" t="n"/>
      <c r="E121" s="11" t="n"/>
      <c r="F121" s="11" t="n"/>
      <c r="G121" s="11" t="n"/>
      <c r="H121" s="14" t="n"/>
    </row>
    <row r="122" ht="15.75" customHeight="1" s="252">
      <c r="A122" s="26" t="n"/>
      <c r="B122" s="7" t="n"/>
      <c r="E122" s="11" t="n"/>
      <c r="F122" s="11" t="n"/>
      <c r="G122" s="11" t="n"/>
      <c r="H122" s="14" t="n"/>
    </row>
    <row r="123" ht="15.75" customHeight="1" s="252">
      <c r="A123" s="26" t="n"/>
      <c r="B123" s="7" t="n"/>
      <c r="E123" s="11" t="n"/>
      <c r="F123" s="11" t="n"/>
      <c r="G123" s="11" t="n"/>
      <c r="H123" s="14" t="n"/>
    </row>
    <row r="124" ht="15.75" customHeight="1" s="252">
      <c r="A124" s="26" t="n"/>
      <c r="B124" s="7" t="n"/>
      <c r="E124" s="11" t="n"/>
      <c r="F124" s="11" t="n"/>
      <c r="G124" s="11" t="n"/>
      <c r="H124" s="14" t="n"/>
    </row>
    <row r="125" ht="15.75" customHeight="1" s="252">
      <c r="A125" s="26" t="n"/>
      <c r="B125" s="7" t="n"/>
      <c r="E125" s="11" t="n"/>
      <c r="F125" s="11" t="n"/>
      <c r="G125" s="11" t="n"/>
      <c r="H125" s="14" t="n"/>
    </row>
    <row r="126" ht="15.75" customHeight="1" s="252">
      <c r="A126" s="26" t="n"/>
      <c r="B126" s="7" t="n"/>
      <c r="E126" s="11" t="n"/>
      <c r="F126" s="11" t="n"/>
      <c r="G126" s="11" t="n"/>
      <c r="H126" s="14" t="n"/>
    </row>
    <row r="127" ht="15.75" customHeight="1" s="252">
      <c r="A127" s="26" t="n"/>
      <c r="B127" s="7" t="n"/>
      <c r="E127" s="11" t="n"/>
      <c r="F127" s="11" t="n"/>
      <c r="G127" s="11" t="n"/>
      <c r="H127" s="14" t="n"/>
    </row>
    <row r="128" ht="15.75" customHeight="1" s="252">
      <c r="A128" s="26" t="n"/>
      <c r="B128" s="7" t="n"/>
      <c r="E128" s="11" t="n"/>
      <c r="F128" s="11" t="n"/>
      <c r="G128" s="11" t="n"/>
      <c r="H128" s="14" t="n"/>
    </row>
    <row r="129" ht="15.75" customHeight="1" s="252">
      <c r="A129" s="26" t="n"/>
      <c r="B129" s="7" t="n"/>
      <c r="E129" s="11" t="n"/>
      <c r="F129" s="11" t="n"/>
      <c r="G129" s="11" t="n"/>
      <c r="H129" s="14" t="n"/>
    </row>
    <row r="130" ht="15.75" customHeight="1" s="252">
      <c r="A130" s="26" t="n"/>
      <c r="B130" s="7" t="n"/>
      <c r="E130" s="11" t="n"/>
      <c r="F130" s="11" t="n"/>
      <c r="G130" s="11" t="n"/>
      <c r="H130" s="14" t="n"/>
    </row>
    <row r="131" ht="15.75" customHeight="1" s="252">
      <c r="A131" s="26" t="n"/>
      <c r="B131" s="7" t="n"/>
      <c r="E131" s="11" t="n"/>
      <c r="F131" s="11" t="n"/>
      <c r="G131" s="11" t="n"/>
      <c r="H131" s="14" t="n"/>
    </row>
    <row r="132" ht="15.75" customHeight="1" s="252">
      <c r="A132" s="26" t="n"/>
      <c r="B132" s="7" t="n"/>
      <c r="E132" s="11" t="n"/>
      <c r="F132" s="11" t="n"/>
      <c r="G132" s="11" t="n"/>
      <c r="H132" s="14" t="n"/>
    </row>
    <row r="133" ht="15.75" customHeight="1" s="252">
      <c r="A133" s="26" t="n"/>
      <c r="B133" s="7" t="n"/>
      <c r="E133" s="11" t="n"/>
      <c r="F133" s="11" t="n"/>
      <c r="G133" s="11" t="n"/>
      <c r="H133" s="14" t="n"/>
    </row>
    <row r="134" ht="15.75" customHeight="1" s="252">
      <c r="A134" s="26" t="n"/>
      <c r="B134" s="7" t="n"/>
      <c r="E134" s="11" t="n"/>
      <c r="F134" s="11" t="n"/>
      <c r="G134" s="11" t="n"/>
      <c r="H134" s="14" t="n"/>
    </row>
    <row r="135" ht="15.75" customHeight="1" s="252">
      <c r="A135" s="26" t="n"/>
      <c r="B135" s="7" t="n"/>
      <c r="E135" s="11" t="n"/>
      <c r="F135" s="11" t="n"/>
      <c r="G135" s="11" t="n"/>
      <c r="H135" s="14" t="n"/>
    </row>
    <row r="136" ht="15.75" customHeight="1" s="252">
      <c r="A136" s="26" t="n"/>
      <c r="B136" s="7" t="n"/>
      <c r="E136" s="11" t="n"/>
      <c r="F136" s="11" t="n"/>
      <c r="G136" s="11" t="n"/>
      <c r="H136" s="14" t="n"/>
    </row>
    <row r="137" ht="15.75" customHeight="1" s="252">
      <c r="A137" s="26" t="n"/>
      <c r="B137" s="7" t="n"/>
      <c r="E137" s="11" t="n"/>
      <c r="F137" s="11" t="n"/>
      <c r="G137" s="11" t="n"/>
      <c r="H137" s="14" t="n"/>
    </row>
    <row r="138" ht="15.75" customHeight="1" s="252">
      <c r="A138" s="26" t="n"/>
      <c r="B138" s="7" t="n"/>
      <c r="E138" s="11" t="n"/>
      <c r="F138" s="11" t="n"/>
      <c r="G138" s="11" t="n"/>
      <c r="H138" s="14" t="n"/>
    </row>
    <row r="139" ht="15.75" customHeight="1" s="252">
      <c r="A139" s="26" t="n"/>
      <c r="B139" s="7" t="n"/>
      <c r="E139" s="11" t="n"/>
      <c r="F139" s="11" t="n"/>
      <c r="G139" s="11" t="n"/>
      <c r="H139" s="14" t="n"/>
    </row>
    <row r="140" ht="15.75" customHeight="1" s="252">
      <c r="A140" s="26" t="n"/>
      <c r="B140" s="7" t="n"/>
      <c r="E140" s="11" t="n"/>
      <c r="F140" s="11" t="n"/>
      <c r="G140" s="11" t="n"/>
      <c r="H140" s="14" t="n"/>
    </row>
    <row r="141" ht="15.75" customHeight="1" s="252">
      <c r="A141" s="26" t="n"/>
      <c r="B141" s="7" t="n"/>
      <c r="E141" s="11" t="n"/>
      <c r="F141" s="11" t="n"/>
      <c r="G141" s="11" t="n"/>
      <c r="H141" s="14" t="n"/>
    </row>
    <row r="142" ht="15.75" customHeight="1" s="252">
      <c r="A142" s="26" t="n"/>
      <c r="B142" s="7" t="n"/>
      <c r="E142" s="11" t="n"/>
      <c r="F142" s="11" t="n"/>
      <c r="G142" s="11" t="n"/>
      <c r="H142" s="14" t="n"/>
    </row>
    <row r="143" ht="15.75" customHeight="1" s="252">
      <c r="A143" s="26" t="n"/>
      <c r="B143" s="7" t="n"/>
      <c r="E143" s="11" t="n"/>
      <c r="F143" s="11" t="n"/>
      <c r="G143" s="11" t="n"/>
      <c r="H143" s="14" t="n"/>
    </row>
    <row r="144" ht="15.75" customHeight="1" s="252">
      <c r="A144" s="26" t="n"/>
      <c r="B144" s="7" t="n"/>
      <c r="E144" s="11" t="n"/>
      <c r="F144" s="11" t="n"/>
      <c r="G144" s="11" t="n"/>
      <c r="H144" s="14" t="n"/>
    </row>
    <row r="145" ht="15.75" customHeight="1" s="252">
      <c r="A145" s="26" t="n"/>
      <c r="B145" s="7" t="n"/>
      <c r="E145" s="11" t="n"/>
      <c r="F145" s="11" t="n"/>
      <c r="G145" s="11" t="n"/>
      <c r="H145" s="14" t="n"/>
    </row>
    <row r="146" ht="15.75" customHeight="1" s="252">
      <c r="A146" s="26" t="n"/>
      <c r="B146" s="7" t="n"/>
      <c r="E146" s="11" t="n"/>
      <c r="F146" s="11" t="n"/>
      <c r="G146" s="11" t="n"/>
      <c r="H146" s="14" t="n"/>
    </row>
    <row r="147" ht="15.75" customHeight="1" s="252">
      <c r="A147" s="26" t="n"/>
      <c r="B147" s="7" t="n"/>
      <c r="E147" s="11" t="n"/>
      <c r="F147" s="11" t="n"/>
      <c r="G147" s="11" t="n"/>
      <c r="H147" s="14" t="n"/>
    </row>
    <row r="148" ht="15.75" customHeight="1" s="252">
      <c r="A148" s="26" t="n"/>
      <c r="B148" s="7" t="n"/>
      <c r="E148" s="11" t="n"/>
      <c r="F148" s="11" t="n"/>
      <c r="G148" s="11" t="n"/>
      <c r="H148" s="14" t="n"/>
    </row>
    <row r="149" ht="15.75" customHeight="1" s="252">
      <c r="A149" s="26" t="n"/>
      <c r="B149" s="7" t="n"/>
      <c r="E149" s="11" t="n"/>
      <c r="F149" s="11" t="n"/>
      <c r="G149" s="11" t="n"/>
      <c r="H149" s="14" t="n"/>
    </row>
    <row r="150" ht="15.75" customHeight="1" s="252">
      <c r="A150" s="26" t="n"/>
      <c r="B150" s="7" t="n"/>
      <c r="E150" s="11" t="n"/>
      <c r="F150" s="11" t="n"/>
      <c r="G150" s="11" t="n"/>
      <c r="H150" s="14" t="n"/>
    </row>
    <row r="151" ht="15.75" customHeight="1" s="252">
      <c r="A151" s="26" t="n"/>
      <c r="B151" s="7" t="n"/>
      <c r="E151" s="11" t="n"/>
      <c r="F151" s="11" t="n"/>
      <c r="G151" s="11" t="n"/>
      <c r="H151" s="14" t="n"/>
    </row>
    <row r="152" ht="15.75" customHeight="1" s="252">
      <c r="A152" s="26" t="n"/>
      <c r="B152" s="7" t="n"/>
      <c r="E152" s="11" t="n"/>
      <c r="F152" s="11" t="n"/>
      <c r="G152" s="11" t="n"/>
      <c r="H152" s="14" t="n"/>
    </row>
    <row r="153" ht="15.75" customHeight="1" s="252">
      <c r="A153" s="26" t="n"/>
      <c r="B153" s="7" t="n"/>
      <c r="E153" s="11" t="n"/>
      <c r="F153" s="11" t="n"/>
      <c r="G153" s="11" t="n"/>
      <c r="H153" s="14" t="n"/>
    </row>
    <row r="154" ht="15.75" customHeight="1" s="252">
      <c r="A154" s="26" t="n"/>
      <c r="B154" s="7" t="n"/>
      <c r="E154" s="11" t="n"/>
      <c r="F154" s="11" t="n"/>
      <c r="G154" s="11" t="n"/>
      <c r="H154" s="14" t="n"/>
    </row>
    <row r="155" ht="15.75" customHeight="1" s="252">
      <c r="A155" s="26" t="n"/>
      <c r="B155" s="7" t="n"/>
      <c r="E155" s="11" t="n"/>
      <c r="F155" s="11" t="n"/>
      <c r="G155" s="11" t="n"/>
      <c r="H155" s="14" t="n"/>
    </row>
    <row r="156" ht="15.75" customHeight="1" s="252">
      <c r="A156" s="26" t="n"/>
      <c r="B156" s="7" t="n"/>
      <c r="E156" s="11" t="n"/>
      <c r="F156" s="11" t="n"/>
      <c r="G156" s="11" t="n"/>
      <c r="H156" s="14" t="n"/>
    </row>
    <row r="157" ht="15.75" customHeight="1" s="252">
      <c r="A157" s="26" t="n"/>
      <c r="B157" s="7" t="n"/>
      <c r="E157" s="11" t="n"/>
      <c r="F157" s="11" t="n"/>
      <c r="G157" s="11" t="n"/>
      <c r="H157" s="14" t="n"/>
    </row>
    <row r="158" ht="15.75" customHeight="1" s="252">
      <c r="A158" s="26" t="n"/>
      <c r="B158" s="7" t="n"/>
      <c r="E158" s="11" t="n"/>
      <c r="F158" s="11" t="n"/>
      <c r="G158" s="11" t="n"/>
      <c r="H158" s="14" t="n"/>
    </row>
    <row r="159" ht="15.75" customHeight="1" s="252">
      <c r="A159" s="26" t="n"/>
      <c r="B159" s="7" t="n"/>
      <c r="E159" s="11" t="n"/>
      <c r="F159" s="11" t="n"/>
      <c r="G159" s="11" t="n"/>
      <c r="H159" s="14" t="n"/>
    </row>
    <row r="160" ht="15.75" customHeight="1" s="252">
      <c r="A160" s="26" t="n"/>
      <c r="B160" s="7" t="n"/>
      <c r="E160" s="11" t="n"/>
      <c r="F160" s="11" t="n"/>
      <c r="G160" s="11" t="n"/>
      <c r="H160" s="14" t="n"/>
    </row>
    <row r="161" ht="15.75" customHeight="1" s="252">
      <c r="A161" s="26" t="n"/>
      <c r="B161" s="7" t="n"/>
      <c r="E161" s="11" t="n"/>
      <c r="F161" s="11" t="n"/>
      <c r="G161" s="11" t="n"/>
      <c r="H161" s="14" t="n"/>
    </row>
    <row r="162" ht="15.75" customHeight="1" s="252">
      <c r="A162" s="26" t="n"/>
      <c r="B162" s="7" t="n"/>
      <c r="E162" s="11" t="n"/>
      <c r="F162" s="11" t="n"/>
      <c r="G162" s="11" t="n"/>
      <c r="H162" s="14" t="n"/>
    </row>
    <row r="163" ht="15.75" customHeight="1" s="252">
      <c r="A163" s="26" t="n"/>
      <c r="B163" s="7" t="n"/>
      <c r="E163" s="11" t="n"/>
      <c r="F163" s="11" t="n"/>
      <c r="G163" s="11" t="n"/>
      <c r="H163" s="14" t="n"/>
    </row>
    <row r="164" ht="15.75" customHeight="1" s="252">
      <c r="A164" s="26" t="n"/>
      <c r="B164" s="7" t="n"/>
      <c r="E164" s="11" t="n"/>
      <c r="F164" s="11" t="n"/>
      <c r="G164" s="11" t="n"/>
      <c r="H164" s="14" t="n"/>
    </row>
    <row r="165" ht="15.75" customHeight="1" s="252">
      <c r="A165" s="26" t="n"/>
      <c r="B165" s="7" t="n"/>
      <c r="E165" s="11" t="n"/>
      <c r="F165" s="11" t="n"/>
      <c r="G165" s="11" t="n"/>
      <c r="H165" s="14" t="n"/>
    </row>
    <row r="166" ht="15.75" customHeight="1" s="252">
      <c r="A166" s="26" t="n"/>
      <c r="B166" s="7" t="n"/>
      <c r="E166" s="11" t="n"/>
      <c r="F166" s="11" t="n"/>
      <c r="G166" s="11" t="n"/>
      <c r="H166" s="14" t="n"/>
    </row>
    <row r="167" ht="15.75" customHeight="1" s="252">
      <c r="A167" s="26" t="n"/>
      <c r="B167" s="7" t="n"/>
      <c r="E167" s="11" t="n"/>
      <c r="F167" s="11" t="n"/>
      <c r="G167" s="11" t="n"/>
      <c r="H167" s="14" t="n"/>
    </row>
    <row r="168" ht="15.75" customHeight="1" s="252">
      <c r="A168" s="26" t="n"/>
      <c r="B168" s="7" t="n"/>
      <c r="E168" s="11" t="n"/>
      <c r="F168" s="11" t="n"/>
      <c r="G168" s="11" t="n"/>
      <c r="H168" s="14" t="n"/>
    </row>
    <row r="169" ht="15.75" customHeight="1" s="252">
      <c r="A169" s="26" t="n"/>
      <c r="B169" s="7" t="n"/>
      <c r="E169" s="11" t="n"/>
      <c r="F169" s="11" t="n"/>
      <c r="G169" s="11" t="n"/>
      <c r="H169" s="14" t="n"/>
    </row>
    <row r="170" ht="15.75" customHeight="1" s="252">
      <c r="A170" s="26" t="n"/>
      <c r="B170" s="7" t="n"/>
      <c r="E170" s="11" t="n"/>
      <c r="F170" s="11" t="n"/>
      <c r="G170" s="11" t="n"/>
      <c r="H170" s="14" t="n"/>
    </row>
    <row r="171" ht="15.75" customHeight="1" s="252">
      <c r="A171" s="26" t="n"/>
      <c r="B171" s="7" t="n"/>
      <c r="E171" s="11" t="n"/>
      <c r="F171" s="11" t="n"/>
      <c r="G171" s="11" t="n"/>
      <c r="H171" s="14" t="n"/>
    </row>
    <row r="172" ht="15.75" customHeight="1" s="252">
      <c r="A172" s="26" t="n"/>
      <c r="B172" s="7" t="n"/>
      <c r="E172" s="11" t="n"/>
      <c r="F172" s="11" t="n"/>
      <c r="G172" s="11" t="n"/>
      <c r="H172" s="14" t="n"/>
    </row>
    <row r="173" ht="15.75" customHeight="1" s="252">
      <c r="A173" s="26" t="n"/>
      <c r="B173" s="7" t="n"/>
      <c r="E173" s="11" t="n"/>
      <c r="F173" s="11" t="n"/>
      <c r="G173" s="11" t="n"/>
      <c r="H173" s="14" t="n"/>
    </row>
    <row r="174" ht="15.75" customHeight="1" s="252">
      <c r="A174" s="26" t="n"/>
      <c r="B174" s="7" t="n"/>
      <c r="E174" s="11" t="n"/>
      <c r="F174" s="11" t="n"/>
      <c r="G174" s="11" t="n"/>
      <c r="H174" s="14" t="n"/>
    </row>
    <row r="175" ht="15.75" customHeight="1" s="252">
      <c r="A175" s="26" t="n"/>
      <c r="B175" s="7" t="n"/>
      <c r="E175" s="11" t="n"/>
      <c r="F175" s="11" t="n"/>
      <c r="G175" s="11" t="n"/>
      <c r="H175" s="14" t="n"/>
    </row>
    <row r="176" ht="15.75" customHeight="1" s="252">
      <c r="A176" s="26" t="n"/>
      <c r="B176" s="7" t="n"/>
      <c r="E176" s="11" t="n"/>
      <c r="F176" s="11" t="n"/>
      <c r="G176" s="11" t="n"/>
      <c r="H176" s="14" t="n"/>
    </row>
    <row r="177" ht="15.75" customHeight="1" s="252">
      <c r="A177" s="26" t="n"/>
      <c r="B177" s="7" t="n"/>
      <c r="E177" s="11" t="n"/>
      <c r="F177" s="11" t="n"/>
      <c r="G177" s="11" t="n"/>
      <c r="H177" s="14" t="n"/>
    </row>
    <row r="178" ht="15.75" customHeight="1" s="252">
      <c r="A178" s="26" t="n"/>
      <c r="B178" s="7" t="n"/>
      <c r="E178" s="11" t="n"/>
      <c r="F178" s="11" t="n"/>
      <c r="G178" s="11" t="n"/>
      <c r="H178" s="14" t="n"/>
    </row>
    <row r="179" ht="15.75" customHeight="1" s="252">
      <c r="A179" s="26" t="n"/>
      <c r="B179" s="7" t="n"/>
      <c r="E179" s="11" t="n"/>
      <c r="F179" s="11" t="n"/>
      <c r="G179" s="11" t="n"/>
      <c r="H179" s="14" t="n"/>
    </row>
    <row r="180" ht="15.75" customHeight="1" s="252">
      <c r="A180" s="26" t="n"/>
      <c r="B180" s="7" t="n"/>
      <c r="E180" s="11" t="n"/>
      <c r="F180" s="11" t="n"/>
      <c r="G180" s="11" t="n"/>
      <c r="H180" s="14" t="n"/>
    </row>
    <row r="181" ht="15.75" customHeight="1" s="252">
      <c r="A181" s="26" t="n"/>
      <c r="B181" s="7" t="n"/>
      <c r="E181" s="11" t="n"/>
      <c r="F181" s="11" t="n"/>
      <c r="G181" s="11" t="n"/>
      <c r="H181" s="14" t="n"/>
    </row>
    <row r="182" ht="15.75" customHeight="1" s="252">
      <c r="A182" s="26" t="n"/>
      <c r="B182" s="7" t="n"/>
      <c r="E182" s="11" t="n"/>
      <c r="F182" s="11" t="n"/>
      <c r="G182" s="11" t="n"/>
      <c r="H182" s="14" t="n"/>
    </row>
    <row r="183" ht="15.75" customHeight="1" s="252">
      <c r="A183" s="26" t="n"/>
      <c r="B183" s="7" t="n"/>
      <c r="E183" s="11" t="n"/>
      <c r="F183" s="11" t="n"/>
      <c r="G183" s="11" t="n"/>
      <c r="H183" s="14" t="n"/>
    </row>
    <row r="184" ht="15.75" customHeight="1" s="252">
      <c r="A184" s="26" t="n"/>
      <c r="B184" s="7" t="n"/>
      <c r="E184" s="11" t="n"/>
      <c r="F184" s="11" t="n"/>
      <c r="G184" s="11" t="n"/>
      <c r="H184" s="14" t="n"/>
    </row>
    <row r="185" ht="15.75" customHeight="1" s="252">
      <c r="A185" s="26" t="n"/>
      <c r="B185" s="7" t="n"/>
      <c r="E185" s="11" t="n"/>
      <c r="F185" s="11" t="n"/>
      <c r="G185" s="11" t="n"/>
      <c r="H185" s="14" t="n"/>
    </row>
    <row r="186" ht="15.75" customHeight="1" s="252">
      <c r="A186" s="26" t="n"/>
      <c r="B186" s="7" t="n"/>
      <c r="E186" s="11" t="n"/>
      <c r="F186" s="11" t="n"/>
      <c r="G186" s="11" t="n"/>
      <c r="H186" s="14" t="n"/>
    </row>
    <row r="187" ht="15.75" customHeight="1" s="252">
      <c r="A187" s="26" t="n"/>
      <c r="B187" s="7" t="n"/>
      <c r="E187" s="11" t="n"/>
      <c r="F187" s="11" t="n"/>
      <c r="G187" s="11" t="n"/>
      <c r="H187" s="14" t="n"/>
    </row>
    <row r="188" ht="15.75" customHeight="1" s="252">
      <c r="A188" s="26" t="n"/>
      <c r="B188" s="7" t="n"/>
      <c r="E188" s="11" t="n"/>
      <c r="F188" s="11" t="n"/>
      <c r="G188" s="11" t="n"/>
      <c r="H188" s="14" t="n"/>
    </row>
    <row r="189" ht="15.75" customHeight="1" s="252">
      <c r="A189" s="26" t="n"/>
      <c r="B189" s="7" t="n"/>
      <c r="E189" s="11" t="n"/>
      <c r="F189" s="11" t="n"/>
      <c r="G189" s="11" t="n"/>
      <c r="H189" s="14" t="n"/>
    </row>
    <row r="190" ht="15.75" customHeight="1" s="252">
      <c r="A190" s="26" t="n"/>
      <c r="B190" s="7" t="n"/>
      <c r="E190" s="11" t="n"/>
      <c r="F190" s="11" t="n"/>
      <c r="G190" s="11" t="n"/>
      <c r="H190" s="14" t="n"/>
    </row>
    <row r="191" ht="15.75" customHeight="1" s="252">
      <c r="A191" s="26" t="n"/>
      <c r="B191" s="7" t="n"/>
      <c r="E191" s="11" t="n"/>
      <c r="F191" s="11" t="n"/>
      <c r="G191" s="11" t="n"/>
      <c r="H191" s="14" t="n"/>
    </row>
    <row r="192" ht="15.75" customHeight="1" s="252">
      <c r="A192" s="26" t="n"/>
      <c r="B192" s="7" t="n"/>
      <c r="E192" s="11" t="n"/>
      <c r="F192" s="11" t="n"/>
      <c r="G192" s="11" t="n"/>
      <c r="H192" s="14" t="n"/>
    </row>
    <row r="193" ht="15.75" customHeight="1" s="252">
      <c r="A193" s="26" t="n"/>
      <c r="B193" s="7" t="n"/>
      <c r="E193" s="11" t="n"/>
      <c r="F193" s="11" t="n"/>
      <c r="G193" s="11" t="n"/>
      <c r="H193" s="14" t="n"/>
    </row>
    <row r="194" ht="15.75" customHeight="1" s="252">
      <c r="A194" s="26" t="n"/>
      <c r="B194" s="7" t="n"/>
      <c r="E194" s="11" t="n"/>
      <c r="F194" s="11" t="n"/>
      <c r="G194" s="11" t="n"/>
      <c r="H194" s="14" t="n"/>
    </row>
    <row r="195" ht="15.75" customHeight="1" s="252">
      <c r="A195" s="26" t="n"/>
      <c r="B195" s="7" t="n"/>
      <c r="E195" s="11" t="n"/>
      <c r="F195" s="11" t="n"/>
      <c r="G195" s="11" t="n"/>
      <c r="H195" s="14" t="n"/>
    </row>
    <row r="196" ht="15.75" customHeight="1" s="252">
      <c r="A196" s="26" t="n"/>
      <c r="B196" s="7" t="n"/>
      <c r="E196" s="11" t="n"/>
      <c r="F196" s="11" t="n"/>
      <c r="G196" s="11" t="n"/>
      <c r="H196" s="14" t="n"/>
    </row>
    <row r="197" ht="15.75" customHeight="1" s="252">
      <c r="A197" s="26" t="n"/>
      <c r="B197" s="7" t="n"/>
      <c r="E197" s="11" t="n"/>
      <c r="F197" s="11" t="n"/>
      <c r="G197" s="11" t="n"/>
      <c r="H197" s="14" t="n"/>
    </row>
    <row r="198" ht="15.75" customHeight="1" s="252">
      <c r="A198" s="26" t="n"/>
      <c r="B198" s="7" t="n"/>
      <c r="E198" s="11" t="n"/>
      <c r="F198" s="11" t="n"/>
      <c r="G198" s="11" t="n"/>
      <c r="H198" s="14" t="n"/>
    </row>
    <row r="199" ht="15.75" customHeight="1" s="252">
      <c r="A199" s="26" t="n"/>
      <c r="B199" s="7" t="n"/>
      <c r="E199" s="11" t="n"/>
      <c r="F199" s="11" t="n"/>
      <c r="G199" s="11" t="n"/>
      <c r="H199" s="14" t="n"/>
    </row>
    <row r="200" ht="15.75" customHeight="1" s="252">
      <c r="A200" s="26" t="n"/>
      <c r="B200" s="7" t="n"/>
      <c r="E200" s="11" t="n"/>
      <c r="F200" s="11" t="n"/>
      <c r="G200" s="11" t="n"/>
      <c r="H200" s="14" t="n"/>
    </row>
    <row r="201" ht="15.75" customHeight="1" s="252">
      <c r="A201" s="26" t="n"/>
      <c r="B201" s="7" t="n"/>
      <c r="E201" s="11" t="n"/>
      <c r="F201" s="11" t="n"/>
      <c r="G201" s="11" t="n"/>
      <c r="H201" s="14" t="n"/>
    </row>
    <row r="202" ht="15.75" customHeight="1" s="252">
      <c r="A202" s="26" t="n"/>
      <c r="B202" s="7" t="n"/>
      <c r="E202" s="11" t="n"/>
      <c r="F202" s="11" t="n"/>
      <c r="G202" s="11" t="n"/>
      <c r="H202" s="14" t="n"/>
    </row>
    <row r="203" ht="15.75" customHeight="1" s="252">
      <c r="A203" s="26" t="n"/>
      <c r="B203" s="7" t="n"/>
      <c r="E203" s="11" t="n"/>
      <c r="F203" s="11" t="n"/>
      <c r="G203" s="11" t="n"/>
      <c r="H203" s="14" t="n"/>
    </row>
    <row r="204" ht="15.75" customHeight="1" s="252">
      <c r="A204" s="26" t="n"/>
      <c r="B204" s="7" t="n"/>
      <c r="E204" s="11" t="n"/>
      <c r="F204" s="11" t="n"/>
      <c r="G204" s="11" t="n"/>
      <c r="H204" s="14" t="n"/>
    </row>
    <row r="205" ht="15.75" customHeight="1" s="252">
      <c r="A205" s="26" t="n"/>
      <c r="B205" s="7" t="n"/>
      <c r="E205" s="11" t="n"/>
      <c r="F205" s="11" t="n"/>
      <c r="G205" s="11" t="n"/>
      <c r="H205" s="14" t="n"/>
    </row>
    <row r="206" ht="15.75" customHeight="1" s="252">
      <c r="A206" s="26" t="n"/>
      <c r="B206" s="7" t="n"/>
      <c r="E206" s="11" t="n"/>
      <c r="F206" s="11" t="n"/>
      <c r="G206" s="11" t="n"/>
      <c r="H206" s="14" t="n"/>
    </row>
    <row r="207" ht="15.75" customHeight="1" s="252">
      <c r="A207" s="26" t="n"/>
      <c r="B207" s="7" t="n"/>
      <c r="E207" s="11" t="n"/>
      <c r="F207" s="11" t="n"/>
      <c r="G207" s="11" t="n"/>
      <c r="H207" s="14" t="n"/>
    </row>
    <row r="208" ht="15.75" customHeight="1" s="252">
      <c r="A208" s="26" t="n"/>
      <c r="B208" s="7" t="n"/>
      <c r="E208" s="11" t="n"/>
      <c r="F208" s="11" t="n"/>
      <c r="G208" s="11" t="n"/>
      <c r="H208" s="14" t="n"/>
    </row>
    <row r="209" ht="15.75" customHeight="1" s="252">
      <c r="A209" s="26" t="n"/>
      <c r="B209" s="7" t="n"/>
      <c r="E209" s="11" t="n"/>
      <c r="F209" s="11" t="n"/>
      <c r="G209" s="11" t="n"/>
      <c r="H209" s="14" t="n"/>
    </row>
    <row r="210" ht="15.75" customHeight="1" s="252">
      <c r="A210" s="26" t="n"/>
      <c r="B210" s="7" t="n"/>
      <c r="E210" s="11" t="n"/>
      <c r="F210" s="11" t="n"/>
      <c r="G210" s="11" t="n"/>
      <c r="H210" s="14" t="n"/>
    </row>
    <row r="211" ht="15.75" customHeight="1" s="252">
      <c r="A211" s="26" t="n"/>
      <c r="B211" s="7" t="n"/>
      <c r="E211" s="11" t="n"/>
      <c r="F211" s="11" t="n"/>
      <c r="G211" s="11" t="n"/>
      <c r="H211" s="14" t="n"/>
    </row>
    <row r="212" ht="15.75" customHeight="1" s="252">
      <c r="A212" s="26" t="n"/>
      <c r="B212" s="7" t="n"/>
      <c r="E212" s="11" t="n"/>
      <c r="F212" s="11" t="n"/>
      <c r="G212" s="11" t="n"/>
      <c r="H212" s="14" t="n"/>
    </row>
    <row r="213" ht="15.75" customHeight="1" s="252">
      <c r="A213" s="26" t="n"/>
      <c r="B213" s="7" t="n"/>
      <c r="E213" s="11" t="n"/>
      <c r="F213" s="11" t="n"/>
      <c r="G213" s="11" t="n"/>
      <c r="H213" s="14" t="n"/>
    </row>
    <row r="214" ht="15.75" customHeight="1" s="252">
      <c r="A214" s="26" t="n"/>
      <c r="B214" s="7" t="n"/>
      <c r="E214" s="11" t="n"/>
      <c r="F214" s="11" t="n"/>
      <c r="G214" s="11" t="n"/>
      <c r="H214" s="14" t="n"/>
    </row>
    <row r="215" ht="15.75" customHeight="1" s="252">
      <c r="A215" s="26" t="n"/>
      <c r="B215" s="7" t="n"/>
      <c r="E215" s="11" t="n"/>
      <c r="F215" s="11" t="n"/>
      <c r="G215" s="11" t="n"/>
      <c r="H215" s="14" t="n"/>
    </row>
    <row r="216" ht="15.75" customHeight="1" s="252">
      <c r="A216" s="26" t="n"/>
      <c r="B216" s="7" t="n"/>
      <c r="E216" s="11" t="n"/>
      <c r="F216" s="11" t="n"/>
      <c r="G216" s="11" t="n"/>
      <c r="H216" s="14" t="n"/>
    </row>
    <row r="217" ht="15.75" customHeight="1" s="252">
      <c r="A217" s="26" t="n"/>
      <c r="B217" s="7" t="n"/>
      <c r="E217" s="11" t="n"/>
      <c r="F217" s="11" t="n"/>
      <c r="G217" s="11" t="n"/>
      <c r="H217" s="14" t="n"/>
    </row>
    <row r="218" ht="15.75" customHeight="1" s="252">
      <c r="A218" s="26" t="n"/>
      <c r="B218" s="7" t="n"/>
      <c r="E218" s="11" t="n"/>
      <c r="F218" s="11" t="n"/>
      <c r="G218" s="11" t="n"/>
      <c r="H218" s="14" t="n"/>
    </row>
    <row r="219" ht="15.75" customHeight="1" s="252">
      <c r="A219" s="26" t="n"/>
      <c r="B219" s="7" t="n"/>
      <c r="E219" s="11" t="n"/>
      <c r="F219" s="11" t="n"/>
      <c r="G219" s="11" t="n"/>
      <c r="H219" s="14" t="n"/>
    </row>
    <row r="220" ht="15.75" customHeight="1" s="252">
      <c r="A220" s="26" t="n"/>
      <c r="B220" s="7" t="n"/>
      <c r="E220" s="11" t="n"/>
      <c r="F220" s="11" t="n"/>
      <c r="G220" s="11" t="n"/>
      <c r="H220" s="14" t="n"/>
    </row>
    <row r="221" ht="15.75" customHeight="1" s="252"/>
    <row r="222" ht="15.75" customHeight="1" s="252"/>
    <row r="223" ht="15.75" customHeight="1" s="252"/>
    <row r="224" ht="15.75" customHeight="1" s="252"/>
    <row r="225" ht="15.75" customHeight="1" s="252"/>
    <row r="226" ht="15.75" customHeight="1" s="252"/>
    <row r="227" ht="15.75" customHeight="1" s="252"/>
    <row r="228" ht="15.75" customHeight="1" s="252"/>
    <row r="229" ht="15.75" customHeight="1" s="252"/>
    <row r="230" ht="15.75" customHeight="1" s="252"/>
    <row r="231" ht="15.75" customHeight="1" s="252"/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mergeCells count="1">
    <mergeCell ref="A8:G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00FF"/>
    <outlinePr summaryBelow="0" summaryRight="0"/>
    <pageSetUpPr/>
  </sheetPr>
  <dimension ref="A1:W1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52" min="1" max="6"/>
    <col width="49.5" customWidth="1" style="252" min="7" max="7"/>
    <col width="16" customWidth="1" style="252" min="9" max="9"/>
  </cols>
  <sheetData>
    <row r="1" ht="15.75" customHeight="1" s="252">
      <c r="A1" s="1" t="inlineStr">
        <is>
          <t>Date</t>
        </is>
      </c>
      <c r="B1" s="2" t="inlineStr">
        <is>
          <t>AUM</t>
        </is>
      </c>
      <c r="C1" s="2" t="inlineStr">
        <is>
          <t>Gross Performance (%)</t>
        </is>
      </c>
      <c r="D1" s="2" t="inlineStr">
        <is>
          <t>Gross Performance (BTC)</t>
        </is>
      </c>
      <c r="E1" s="2" t="inlineStr">
        <is>
          <t>Net Performance</t>
        </is>
      </c>
      <c r="F1" s="2" t="inlineStr">
        <is>
          <t>Yearly APY</t>
        </is>
      </c>
      <c r="G1" s="2" t="inlineStr">
        <is>
          <t>Comments</t>
        </is>
      </c>
      <c r="I1" s="3" t="inlineStr">
        <is>
          <t>Investors</t>
        </is>
      </c>
      <c r="J1" s="2" t="inlineStr">
        <is>
          <t>Fees</t>
        </is>
      </c>
      <c r="K1" s="4" t="n">
        <v>45748</v>
      </c>
      <c r="L1" s="5" t="n">
        <v>45778</v>
      </c>
      <c r="M1" s="5" t="n">
        <v>45809</v>
      </c>
      <c r="N1" s="5" t="n">
        <v>45839</v>
      </c>
      <c r="O1" s="4" t="n">
        <v>45849</v>
      </c>
    </row>
    <row r="2" ht="15.75" customHeight="1" s="252">
      <c r="A2" s="27" t="n">
        <v>45748</v>
      </c>
      <c r="B2" s="28" t="n">
        <v>11.4434</v>
      </c>
      <c r="C2" s="29" t="n">
        <v>1</v>
      </c>
      <c r="D2" s="30" t="n"/>
      <c r="E2" s="30" t="n"/>
      <c r="F2" s="30" t="n"/>
      <c r="G2" s="31" t="inlineStr">
        <is>
          <t>Création du fond : Invest :
Victoria : 0.1492
Nathanaël : 0.4483
Blondish : 4.1210</t>
        </is>
      </c>
      <c r="H2" s="32" t="n"/>
      <c r="I2" s="33" t="inlineStr">
        <is>
          <t>Indigo</t>
        </is>
      </c>
      <c r="J2" s="34" t="n">
        <v>0</v>
      </c>
      <c r="K2" s="35" t="n">
        <v>0</v>
      </c>
      <c r="L2" s="35">
        <f>K2*$C$3*1+K2+(K3*$C$3*$J$3)+(K4*$C$3*$J$4)+(K5*$C$3*$J$5)+(K6*$C$3*$J$6)</f>
        <v/>
      </c>
      <c r="M2" s="35">
        <f>L2*$C$4*1+L2+(L3*$C$4*$J$3)+(L4*$C$4*$J$4)+(L5*$C$4*$J$5)+(L6*$C$4*$J$6)</f>
        <v/>
      </c>
      <c r="N2" s="35">
        <f>M2*$C$5*1+M2+(M3*$C$5*$J$3)+(M4*$C$5*$J$4)+(M5*$C$5*$J$5)+(M6*$C$5*$J$6)</f>
        <v/>
      </c>
      <c r="O2" s="35">
        <f>N2*$C$5*1+N2+(N3*$C$5*$J$3)+(N4*$C$5*$J$4)+(N5*$C$5*$J$5)+(N6*$C$5*$J$6)</f>
        <v/>
      </c>
      <c r="P2" s="32" t="n"/>
      <c r="Q2" s="32" t="n"/>
      <c r="R2" s="32" t="n"/>
      <c r="S2" s="32" t="n"/>
      <c r="T2" s="32" t="n"/>
      <c r="U2" s="32" t="n"/>
      <c r="V2" s="32" t="n"/>
      <c r="W2" s="32" t="n"/>
    </row>
    <row r="3" ht="15.75" customHeight="1" s="252">
      <c r="A3" s="6" t="n">
        <v>45778</v>
      </c>
      <c r="B3" s="7" t="n">
        <v>11.394</v>
      </c>
      <c r="C3" s="14">
        <f>(B3*$C$2/B2)-100%</f>
        <v/>
      </c>
      <c r="D3" s="15">
        <f>B3-B2</f>
        <v/>
      </c>
      <c r="E3" s="14">
        <f>C3*0.8</f>
        <v/>
      </c>
      <c r="F3" s="14">
        <f>C3*12</f>
        <v/>
      </c>
      <c r="G3" s="10" t="n"/>
      <c r="I3" s="11" t="inlineStr">
        <is>
          <t>Victoria Pariente-Cohen</t>
        </is>
      </c>
      <c r="J3" s="12" t="n">
        <v>0</v>
      </c>
      <c r="K3" s="13" t="n">
        <v>0.1492</v>
      </c>
      <c r="L3" s="13">
        <f>K3*$C$3*(1-$J3)+K3</f>
        <v/>
      </c>
      <c r="M3" s="13">
        <f>L3*$C$4*(1-$J3)+L3</f>
        <v/>
      </c>
      <c r="N3" s="13">
        <f>M3*$C$5*(1-$J3)+M3</f>
        <v/>
      </c>
      <c r="O3" s="13">
        <f>N3*$C$6*(1-$J3)+N3</f>
        <v/>
      </c>
    </row>
    <row r="4" ht="15.75" customHeight="1" s="252">
      <c r="A4" s="6" t="n">
        <v>45807</v>
      </c>
      <c r="B4" s="7" t="n">
        <v>11.3943</v>
      </c>
      <c r="C4" s="14">
        <f>(B4*$C$2/B3)-100%</f>
        <v/>
      </c>
      <c r="D4" s="15">
        <f>B4-B3</f>
        <v/>
      </c>
      <c r="E4" s="14">
        <f>C4*0.8</f>
        <v/>
      </c>
      <c r="F4" s="14">
        <f>C4*12</f>
        <v/>
      </c>
      <c r="G4" s="10" t="n"/>
      <c r="I4" s="11" t="inlineStr">
        <is>
          <t>Nathanaël Cohen</t>
        </is>
      </c>
      <c r="J4" s="12" t="n">
        <v>0</v>
      </c>
      <c r="K4" s="13" t="n">
        <v>0.4483</v>
      </c>
      <c r="L4" s="13">
        <f>K4*$C$3*(1-$J4)+K4</f>
        <v/>
      </c>
      <c r="M4" s="13">
        <f>L4*$C$4*(1-$J4)+L4</f>
        <v/>
      </c>
      <c r="N4" s="13">
        <f>M4*$C$5*(1-$J4)+M4</f>
        <v/>
      </c>
      <c r="O4" s="13">
        <f>N4*$C$6*(1-$J4)+N4</f>
        <v/>
      </c>
    </row>
    <row r="5" ht="15.75" customHeight="1" s="252">
      <c r="A5" s="6" t="n">
        <v>45838</v>
      </c>
      <c r="B5" s="7" t="n">
        <v>11.3943</v>
      </c>
      <c r="C5" s="14">
        <f>(B5*$C$2/B4)-100%</f>
        <v/>
      </c>
      <c r="D5" s="15">
        <f>B5-B4</f>
        <v/>
      </c>
      <c r="E5" s="14">
        <f>C5*0.8</f>
        <v/>
      </c>
      <c r="F5" s="14">
        <f>C5*12</f>
        <v/>
      </c>
      <c r="G5" s="10" t="n"/>
      <c r="I5" s="11" t="inlineStr">
        <is>
          <t>Thomas Puech</t>
        </is>
      </c>
      <c r="J5" s="12" t="n">
        <v>0</v>
      </c>
      <c r="K5" s="13" t="n">
        <v>6.7249</v>
      </c>
      <c r="L5" s="13">
        <f>K5*$C$3*(1-$J5)+K5</f>
        <v/>
      </c>
      <c r="M5" s="13">
        <f>L5*$C$4*(1-$J5)+L5</f>
        <v/>
      </c>
      <c r="N5" s="13">
        <f>M5*$C$5*(1-$J5)+M5</f>
        <v/>
      </c>
      <c r="O5" s="13">
        <f>N5*$C$6*(1-$J5)+N5</f>
        <v/>
      </c>
    </row>
    <row r="6" ht="15.75" customHeight="1" s="252">
      <c r="A6" s="6" t="n">
        <v>45849</v>
      </c>
      <c r="B6" s="7" t="n">
        <v>11.384</v>
      </c>
      <c r="C6" s="14">
        <f>(B6*$C$2/B5)-100%</f>
        <v/>
      </c>
      <c r="D6" s="15">
        <f>B6-B5</f>
        <v/>
      </c>
      <c r="E6" s="14">
        <f>C6*0.8</f>
        <v/>
      </c>
      <c r="F6" s="14">
        <f>C6*12</f>
        <v/>
      </c>
      <c r="G6" s="10" t="inlineStr">
        <is>
          <t>End of fund and transfert to BTC Yield Fund</t>
        </is>
      </c>
      <c r="I6" s="11" t="inlineStr">
        <is>
          <t>Blondish</t>
        </is>
      </c>
      <c r="J6" s="12" t="n">
        <v>0</v>
      </c>
      <c r="K6" s="13" t="n">
        <v>4.121</v>
      </c>
      <c r="L6" s="13">
        <f>K6*$C$3*(1-$J6)+K6</f>
        <v/>
      </c>
      <c r="M6" s="13">
        <f>L6*$C$4*(1-$J6)+L6</f>
        <v/>
      </c>
      <c r="N6" s="13">
        <f>M6*$C$5*(1-$J6)+M6</f>
        <v/>
      </c>
      <c r="O6" s="13">
        <f>N6*$C$6*(1-$J6)+N6</f>
        <v/>
      </c>
    </row>
    <row r="7" ht="15.75" customHeight="1" s="252">
      <c r="A7" s="17" t="inlineStr">
        <is>
          <t>Closing the fond + transfert the assets in BTC Yield Fund</t>
        </is>
      </c>
      <c r="I7" s="11" t="inlineStr">
        <is>
          <t>Total</t>
        </is>
      </c>
      <c r="J7" s="7" t="n"/>
      <c r="K7" s="16">
        <f>SUM(K2:K6)</f>
        <v/>
      </c>
      <c r="L7" s="16">
        <f>SUM(L2:L6)</f>
        <v/>
      </c>
      <c r="M7" s="16">
        <f>SUM(M2:M6)</f>
        <v/>
      </c>
      <c r="N7" s="16">
        <f>SUM(N2:N6)</f>
        <v/>
      </c>
      <c r="O7" s="16">
        <f>SUM(O2:O6)</f>
        <v/>
      </c>
    </row>
    <row r="8" ht="15.75" customHeight="1" s="252">
      <c r="A8" s="6" t="n"/>
      <c r="B8" s="7" t="n"/>
      <c r="C8" s="22" t="n"/>
      <c r="E8" s="10" t="n"/>
      <c r="F8" s="10" t="n"/>
      <c r="G8" s="10" t="n"/>
    </row>
    <row r="9" ht="15.75" customHeight="1" s="252">
      <c r="A9" s="19" t="inlineStr">
        <is>
          <t>Total</t>
        </is>
      </c>
      <c r="B9" s="20" t="inlineStr">
        <is>
          <t>3.5 Months</t>
        </is>
      </c>
      <c r="C9" s="21">
        <f>(B6-B2)/B2</f>
        <v/>
      </c>
      <c r="D9" s="20">
        <f>B6-B2</f>
        <v/>
      </c>
      <c r="E9" s="21">
        <f>C9*0.8</f>
        <v/>
      </c>
      <c r="F9" s="21">
        <f>E9/3.5*12</f>
        <v/>
      </c>
      <c r="G9" s="10" t="n"/>
      <c r="I9" s="11" t="inlineStr">
        <is>
          <t>Indigo</t>
        </is>
      </c>
      <c r="K9" s="18">
        <f>IFERROR(K2/K$7,"")</f>
        <v/>
      </c>
      <c r="L9" s="18">
        <f>IFERROR(L2/L$7,"")</f>
        <v/>
      </c>
      <c r="M9" s="18">
        <f>IFERROR(M2/M$7,"")</f>
        <v/>
      </c>
      <c r="N9" s="18">
        <f>IFERROR(N2/N$7,"")</f>
        <v/>
      </c>
      <c r="O9" s="18">
        <f>IFERROR(O2/O$7,"")</f>
        <v/>
      </c>
    </row>
    <row r="10" ht="15.75" customHeight="1" s="252">
      <c r="A10" s="6" t="n"/>
      <c r="B10" s="7" t="n"/>
      <c r="C10" s="14" t="n"/>
      <c r="I10" s="11" t="inlineStr">
        <is>
          <t>Maman</t>
        </is>
      </c>
      <c r="K10" s="18">
        <f>IFERROR(K3/K$7,"")</f>
        <v/>
      </c>
      <c r="L10" s="18">
        <f>IFERROR(L3/L$7,"")</f>
        <v/>
      </c>
      <c r="M10" s="18">
        <f>IFERROR(M3/M$7,"")</f>
        <v/>
      </c>
      <c r="N10" s="18">
        <f>IFERROR(N3/N$7,"")</f>
        <v/>
      </c>
      <c r="O10" s="18">
        <f>IFERROR(O3/O$7,"")</f>
        <v/>
      </c>
    </row>
    <row r="11" ht="15.75" customHeight="1" s="252">
      <c r="A11" s="6" t="n"/>
      <c r="B11" s="7" t="n"/>
      <c r="C11" s="22" t="n"/>
      <c r="E11" s="10" t="n"/>
      <c r="F11" s="10" t="n"/>
      <c r="G11" s="10" t="n"/>
      <c r="I11" s="11" t="inlineStr">
        <is>
          <t>Nathanael</t>
        </is>
      </c>
      <c r="K11" s="18">
        <f>IFERROR(K4/K$7,"")</f>
        <v/>
      </c>
      <c r="L11" s="18">
        <f>IFERROR(L4/L$7,"")</f>
        <v/>
      </c>
      <c r="M11" s="18">
        <f>IFERROR(M4/M$7,"")</f>
        <v/>
      </c>
      <c r="N11" s="18">
        <f>IFERROR(N4/N$7,"")</f>
        <v/>
      </c>
      <c r="O11" s="18">
        <f>IFERROR(O4/O$7,"")</f>
        <v/>
      </c>
    </row>
    <row r="12" ht="15.75" customHeight="1" s="252">
      <c r="A12" s="6" t="n"/>
      <c r="B12" s="7" t="n"/>
      <c r="C12" s="14" t="n"/>
      <c r="I12" s="11" t="inlineStr">
        <is>
          <t>Thomas</t>
        </is>
      </c>
      <c r="K12" s="18">
        <f>IFERROR(K5/K$7,"")</f>
        <v/>
      </c>
      <c r="L12" s="18">
        <f>IFERROR(L5/L$7,"")</f>
        <v/>
      </c>
      <c r="M12" s="18">
        <f>IFERROR(M5/M$7,"")</f>
        <v/>
      </c>
      <c r="N12" s="18">
        <f>IFERROR(N5/N$7,"")</f>
        <v/>
      </c>
      <c r="O12" s="18">
        <f>IFERROR(O5/O$7,"")</f>
        <v/>
      </c>
    </row>
    <row r="13" ht="15.75" customHeight="1" s="252">
      <c r="I13" s="11" t="inlineStr">
        <is>
          <t>Vivie</t>
        </is>
      </c>
      <c r="K13" s="18">
        <f>IFERROR(K6/K$7,"")</f>
        <v/>
      </c>
      <c r="L13" s="18">
        <f>IFERROR(L6/L$7,"")</f>
        <v/>
      </c>
      <c r="M13" s="18">
        <f>IFERROR(M6/M$7,"")</f>
        <v/>
      </c>
      <c r="N13" s="18">
        <f>IFERROR(N6/N$7,"")</f>
        <v/>
      </c>
      <c r="O13" s="18">
        <f>IFERROR(O6/O$7,"")</f>
        <v/>
      </c>
    </row>
    <row r="14" ht="15.75" customHeight="1" s="252">
      <c r="I14" s="11" t="inlineStr">
        <is>
          <t>Total AUM</t>
        </is>
      </c>
      <c r="J14" s="7" t="n"/>
      <c r="K14" s="23">
        <f>SUM(K9:K13)</f>
        <v/>
      </c>
      <c r="L14" s="23">
        <f>SUM(L9:L13)</f>
        <v/>
      </c>
      <c r="M14" s="23">
        <f>SUM(M9:M13)</f>
        <v/>
      </c>
      <c r="N14" s="23">
        <f>SUM(N9:N13)</f>
        <v/>
      </c>
      <c r="O14" s="23">
        <f>SUM(O9:O13)</f>
        <v/>
      </c>
    </row>
    <row r="15" ht="15.75" customHeight="1" s="252"/>
    <row r="16" ht="15.75" customHeight="1" s="252"/>
    <row r="17" ht="15.75" customHeight="1" s="252"/>
    <row r="18" ht="15.75" customHeight="1" s="252"/>
    <row r="19" ht="15.75" customHeight="1" s="252"/>
    <row r="20" ht="15.75" customHeight="1" s="252"/>
    <row r="21" ht="15.75" customHeight="1" s="252"/>
    <row r="22" ht="15.75" customHeight="1" s="252"/>
    <row r="23" ht="15.75" customHeight="1" s="252"/>
    <row r="24" ht="15.75" customHeight="1" s="252"/>
    <row r="25" ht="15.75" customHeight="1" s="252"/>
    <row r="26" ht="15.75" customHeight="1" s="252"/>
    <row r="27" ht="15.75" customHeight="1" s="252"/>
    <row r="28" ht="15.75" customHeight="1" s="252"/>
    <row r="29" ht="15.75" customHeight="1" s="252"/>
    <row r="30" ht="15.75" customHeight="1" s="252"/>
    <row r="31" ht="15.75" customHeight="1" s="252"/>
    <row r="32" ht="15.75" customHeight="1" s="252"/>
    <row r="33" ht="15.75" customHeight="1" s="252"/>
    <row r="34" ht="15.75" customHeight="1" s="252"/>
    <row r="35" ht="15.75" customHeight="1" s="252"/>
    <row r="36" ht="15.75" customHeight="1" s="252"/>
    <row r="37" ht="15.75" customHeight="1" s="252"/>
    <row r="38" ht="15.75" customHeight="1" s="252"/>
    <row r="39" ht="15.75" customHeight="1" s="252"/>
    <row r="40" ht="15.75" customHeight="1" s="252"/>
    <row r="41" ht="15.75" customHeight="1" s="252"/>
    <row r="42" ht="15.75" customHeight="1" s="252"/>
    <row r="43" ht="15.75" customHeight="1" s="252"/>
    <row r="44" ht="15.75" customHeight="1" s="252"/>
    <row r="45" ht="15.75" customHeight="1" s="252"/>
    <row r="46" ht="15.75" customHeight="1" s="252"/>
    <row r="47" ht="15.75" customHeight="1" s="252"/>
    <row r="48" ht="15.75" customHeight="1" s="252"/>
    <row r="49" ht="15.75" customHeight="1" s="252"/>
    <row r="50" ht="15.75" customHeight="1" s="252"/>
    <row r="51" ht="15.75" customHeight="1" s="252"/>
    <row r="52" ht="15.75" customHeight="1" s="252"/>
    <row r="53" ht="15.75" customHeight="1" s="252"/>
    <row r="54" ht="15.75" customHeight="1" s="252"/>
    <row r="55" ht="15.75" customHeight="1" s="252"/>
    <row r="56" ht="15.75" customHeight="1" s="252"/>
    <row r="57" ht="15.75" customHeight="1" s="252"/>
    <row r="58" ht="15.75" customHeight="1" s="252"/>
    <row r="59" ht="15.75" customHeight="1" s="252"/>
    <row r="60" ht="15.75" customHeight="1" s="252"/>
    <row r="61" ht="15.75" customHeight="1" s="252"/>
    <row r="62" ht="15.75" customHeight="1" s="252"/>
    <row r="63" ht="15.75" customHeight="1" s="252"/>
    <row r="64" ht="15.75" customHeight="1" s="252"/>
    <row r="65" ht="15.75" customHeight="1" s="252"/>
    <row r="66" ht="15.75" customHeight="1" s="252"/>
    <row r="67" ht="15.75" customHeight="1" s="252"/>
    <row r="68" ht="15.75" customHeight="1" s="252"/>
    <row r="69" ht="15.75" customHeight="1" s="252"/>
    <row r="70" ht="15.75" customHeight="1" s="252"/>
    <row r="71" ht="15.75" customHeight="1" s="252"/>
    <row r="72" ht="15.75" customHeight="1" s="252"/>
    <row r="73" ht="15.75" customHeight="1" s="252"/>
    <row r="74" ht="15.75" customHeight="1" s="252"/>
    <row r="75" ht="15.75" customHeight="1" s="252"/>
    <row r="76" ht="15.75" customHeight="1" s="252"/>
    <row r="77" ht="15.75" customHeight="1" s="252"/>
    <row r="78" ht="15.75" customHeight="1" s="252"/>
    <row r="79" ht="15.75" customHeight="1" s="252"/>
    <row r="80" ht="15.75" customHeight="1" s="252"/>
    <row r="81" ht="15.75" customHeight="1" s="252"/>
    <row r="82" ht="15.75" customHeight="1" s="252"/>
    <row r="83" ht="15.75" customHeight="1" s="252"/>
    <row r="84" ht="15.75" customHeight="1" s="252"/>
    <row r="85" ht="15.75" customHeight="1" s="252"/>
    <row r="86" ht="15.75" customHeight="1" s="252"/>
    <row r="87" ht="15.75" customHeight="1" s="252"/>
    <row r="88" ht="15.75" customHeight="1" s="252"/>
    <row r="89" ht="15.75" customHeight="1" s="252"/>
    <row r="90" ht="15.75" customHeight="1" s="252"/>
    <row r="91" ht="15.75" customHeight="1" s="252"/>
    <row r="92" ht="15.75" customHeight="1" s="252"/>
    <row r="93" ht="15.75" customHeight="1" s="252"/>
    <row r="94" ht="15.75" customHeight="1" s="252"/>
    <row r="95" ht="15.75" customHeight="1" s="252"/>
    <row r="96" ht="15.75" customHeight="1" s="252"/>
    <row r="97" ht="15.75" customHeight="1" s="252"/>
    <row r="98" ht="15.75" customHeight="1" s="252"/>
    <row r="99" ht="15.75" customHeight="1" s="252"/>
    <row r="100" ht="15.75" customHeight="1" s="252"/>
    <row r="101" ht="15.75" customHeight="1" s="252"/>
    <row r="102" ht="15.75" customHeight="1" s="252"/>
    <row r="103" ht="15.75" customHeight="1" s="252"/>
    <row r="104" ht="15.75" customHeight="1" s="252"/>
    <row r="105" ht="15.75" customHeight="1" s="252"/>
    <row r="106" ht="15.75" customHeight="1" s="252"/>
    <row r="107" ht="15.75" customHeight="1" s="252"/>
    <row r="108" ht="15.75" customHeight="1" s="252"/>
    <row r="109" ht="15.75" customHeight="1" s="252"/>
    <row r="110" ht="15.75" customHeight="1" s="252"/>
    <row r="111" ht="15.75" customHeight="1" s="252"/>
    <row r="112" ht="15.75" customHeight="1" s="252"/>
    <row r="113" ht="15.75" customHeight="1" s="252"/>
    <row r="114" ht="15.75" customHeight="1" s="252"/>
    <row r="115" ht="15.75" customHeight="1" s="252"/>
    <row r="116" ht="15.75" customHeight="1" s="252"/>
    <row r="117" ht="15.75" customHeight="1" s="252"/>
    <row r="118" ht="15.75" customHeight="1" s="252"/>
    <row r="119" ht="15.75" customHeight="1" s="252"/>
    <row r="120" ht="15.75" customHeight="1" s="252"/>
    <row r="121" ht="15.75" customHeight="1" s="252"/>
    <row r="122" ht="15.75" customHeight="1" s="252"/>
    <row r="123" ht="15.75" customHeight="1" s="252"/>
    <row r="124" ht="15.75" customHeight="1" s="252"/>
    <row r="125" ht="15.75" customHeight="1" s="252"/>
    <row r="126" ht="15.75" customHeight="1" s="252"/>
    <row r="127" ht="15.75" customHeight="1" s="252"/>
    <row r="128" ht="15.75" customHeight="1" s="252"/>
    <row r="129" ht="15.75" customHeight="1" s="252"/>
    <row r="130" ht="15.75" customHeight="1" s="252"/>
    <row r="131" ht="15.75" customHeight="1" s="252"/>
    <row r="132" ht="15.75" customHeight="1" s="252"/>
    <row r="133" ht="15.75" customHeight="1" s="252"/>
    <row r="134" ht="15.75" customHeight="1" s="252"/>
    <row r="135" ht="15.75" customHeight="1" s="252"/>
    <row r="136" ht="15.75" customHeight="1" s="252"/>
    <row r="137" ht="15.75" customHeight="1" s="252"/>
    <row r="138" ht="15.75" customHeight="1" s="252"/>
    <row r="139" ht="15.75" customHeight="1" s="252"/>
    <row r="140" ht="15.75" customHeight="1" s="252"/>
    <row r="141" ht="15.75" customHeight="1" s="252"/>
    <row r="142" ht="15.75" customHeight="1" s="252"/>
    <row r="143" ht="15.75" customHeight="1" s="252"/>
    <row r="144" ht="15.75" customHeight="1" s="252"/>
    <row r="145" ht="15.75" customHeight="1" s="252"/>
    <row r="146" ht="15.75" customHeight="1" s="252"/>
    <row r="147" ht="15.75" customHeight="1" s="252"/>
    <row r="148" ht="15.75" customHeight="1" s="252"/>
    <row r="149" ht="15.75" customHeight="1" s="252"/>
    <row r="150" ht="15.75" customHeight="1" s="252"/>
    <row r="151" ht="15.75" customHeight="1" s="252"/>
    <row r="152" ht="15.75" customHeight="1" s="252"/>
    <row r="153" ht="15.75" customHeight="1" s="252"/>
    <row r="154" ht="15.75" customHeight="1" s="252"/>
    <row r="155" ht="15.75" customHeight="1" s="252"/>
    <row r="156" ht="15.75" customHeight="1" s="252"/>
    <row r="157" ht="15.75" customHeight="1" s="252"/>
    <row r="158" ht="15.75" customHeight="1" s="252"/>
    <row r="159" ht="15.75" customHeight="1" s="252"/>
    <row r="160" ht="15.75" customHeight="1" s="252"/>
    <row r="161" ht="15.75" customHeight="1" s="252"/>
    <row r="162" ht="15.75" customHeight="1" s="252"/>
    <row r="163" ht="15.75" customHeight="1" s="252"/>
    <row r="164" ht="15.75" customHeight="1" s="252"/>
    <row r="165" ht="15.75" customHeight="1" s="252"/>
    <row r="166" ht="15.75" customHeight="1" s="252"/>
    <row r="167" ht="15.75" customHeight="1" s="252"/>
    <row r="168" ht="15.75" customHeight="1" s="252"/>
    <row r="169" ht="15.75" customHeight="1" s="252"/>
    <row r="170" ht="15.75" customHeight="1" s="252"/>
    <row r="171" ht="15.75" customHeight="1" s="252"/>
    <row r="172" ht="15.75" customHeight="1" s="252"/>
    <row r="173" ht="15.75" customHeight="1" s="252"/>
    <row r="174" ht="15.75" customHeight="1" s="252"/>
    <row r="175" ht="15.75" customHeight="1" s="252"/>
    <row r="176" ht="15.75" customHeight="1" s="252"/>
    <row r="177" ht="15.75" customHeight="1" s="252"/>
    <row r="178" ht="15.75" customHeight="1" s="252"/>
    <row r="179" ht="15.75" customHeight="1" s="252"/>
    <row r="180" ht="15.75" customHeight="1" s="252"/>
    <row r="181" ht="15.75" customHeight="1" s="252"/>
    <row r="182" ht="15.75" customHeight="1" s="252"/>
    <row r="183" ht="15.75" customHeight="1" s="252"/>
    <row r="184" ht="15.75" customHeight="1" s="252"/>
    <row r="185" ht="15.75" customHeight="1" s="252"/>
    <row r="186" ht="15.75" customHeight="1" s="252"/>
    <row r="187" ht="15.75" customHeight="1" s="252"/>
    <row r="188" ht="15.75" customHeight="1" s="252"/>
    <row r="189" ht="15.75" customHeight="1" s="252"/>
    <row r="190" ht="15.75" customHeight="1" s="252"/>
    <row r="191" ht="15.75" customHeight="1" s="252"/>
    <row r="192" ht="15.75" customHeight="1" s="252"/>
    <row r="193" ht="15.75" customHeight="1" s="252"/>
    <row r="194" ht="15.75" customHeight="1" s="252"/>
    <row r="195" ht="15.75" customHeight="1" s="252"/>
    <row r="196" ht="15.75" customHeight="1" s="252"/>
    <row r="197" ht="15.75" customHeight="1" s="252"/>
    <row r="198" ht="15.75" customHeight="1" s="252"/>
    <row r="199" ht="15.75" customHeight="1" s="252"/>
    <row r="200" ht="15.75" customHeight="1" s="252"/>
    <row r="201" ht="15.75" customHeight="1" s="252"/>
    <row r="202" ht="15.75" customHeight="1" s="252"/>
    <row r="203" ht="15.75" customHeight="1" s="252"/>
    <row r="204" ht="15.75" customHeight="1" s="252"/>
    <row r="205" ht="15.75" customHeight="1" s="252"/>
    <row r="206" ht="15.75" customHeight="1" s="252"/>
    <row r="207" ht="15.75" customHeight="1" s="252"/>
    <row r="208" ht="15.75" customHeight="1" s="252"/>
    <row r="209" ht="15.75" customHeight="1" s="252"/>
    <row r="210" ht="15.75" customHeight="1" s="252"/>
    <row r="211" ht="15.75" customHeight="1" s="252"/>
    <row r="212" ht="15.75" customHeight="1" s="252"/>
    <row r="213" ht="15.75" customHeight="1" s="252"/>
    <row r="214" ht="15.75" customHeight="1" s="252"/>
    <row r="215" ht="15.75" customHeight="1" s="252"/>
    <row r="216" ht="15.75" customHeight="1" s="252"/>
    <row r="217" ht="15.75" customHeight="1" s="252"/>
    <row r="218" ht="15.75" customHeight="1" s="252"/>
    <row r="219" ht="15.75" customHeight="1" s="252"/>
    <row r="220" ht="15.75" customHeight="1" s="252"/>
    <row r="221" ht="15.75" customHeight="1" s="252"/>
    <row r="222" ht="15.75" customHeight="1" s="252"/>
    <row r="223" ht="15.75" customHeight="1" s="252"/>
    <row r="224" ht="15.75" customHeight="1" s="252"/>
    <row r="225" ht="15.75" customHeight="1" s="252"/>
    <row r="226" ht="15.75" customHeight="1" s="252"/>
    <row r="227" ht="15.75" customHeight="1" s="252"/>
    <row r="228" ht="15.75" customHeight="1" s="252"/>
    <row r="229" ht="15.75" customHeight="1" s="252"/>
    <row r="230" ht="15.75" customHeight="1" s="252"/>
    <row r="231" ht="15.75" customHeight="1" s="252"/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mergeCells count="1"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FF"/>
    <outlinePr summaryBelow="0" summaryRight="0"/>
    <pageSetUpPr/>
  </sheetPr>
  <dimension ref="A1:AC23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52" min="1" max="2"/>
    <col width="19.5" customWidth="1" style="252" min="3" max="3"/>
    <col width="21.5" customWidth="1" style="252" min="4" max="4"/>
    <col width="14.38" customWidth="1" style="252" min="5" max="5"/>
    <col width="13" customWidth="1" style="252" min="6" max="6"/>
    <col width="28.88" customWidth="1" style="252" min="7" max="7"/>
    <col width="11.63" customWidth="1" style="252" min="8" max="8"/>
    <col width="16" customWidth="1" style="252" min="9" max="9"/>
    <col width="7.38" customWidth="1" style="252" min="10" max="10"/>
    <col width="10.25" customWidth="1" style="252" min="11" max="15"/>
    <col width="10.5" customWidth="1" style="252" min="19" max="19"/>
    <col width="10.38" customWidth="1" style="252" min="21" max="21"/>
  </cols>
  <sheetData>
    <row r="1" ht="15.75" customHeight="1" s="252">
      <c r="A1" s="1" t="inlineStr">
        <is>
          <t>Date</t>
        </is>
      </c>
      <c r="B1" s="36" t="inlineStr">
        <is>
          <t>AUM</t>
        </is>
      </c>
      <c r="C1" s="2" t="inlineStr">
        <is>
          <t>Gross Performance (%)</t>
        </is>
      </c>
      <c r="D1" s="2" t="inlineStr">
        <is>
          <t>Gross Performance (ETH)</t>
        </is>
      </c>
      <c r="E1" s="2" t="inlineStr">
        <is>
          <t>Net Performance</t>
        </is>
      </c>
      <c r="F1" s="2" t="inlineStr">
        <is>
          <t>Yearly APY</t>
        </is>
      </c>
      <c r="G1" s="2" t="inlineStr">
        <is>
          <t>Comments</t>
        </is>
      </c>
      <c r="H1" s="37" t="n"/>
      <c r="I1" s="3" t="inlineStr">
        <is>
          <t>Investors</t>
        </is>
      </c>
      <c r="J1" s="2" t="inlineStr">
        <is>
          <t>Fees</t>
        </is>
      </c>
      <c r="K1" s="38" t="n">
        <v>45505</v>
      </c>
      <c r="L1" s="38" t="n">
        <v>45536</v>
      </c>
      <c r="M1" s="38" t="n">
        <v>45566</v>
      </c>
      <c r="N1" s="39" t="n">
        <v>45589</v>
      </c>
      <c r="O1" s="38" t="n">
        <v>45597</v>
      </c>
      <c r="P1" s="38" t="n">
        <v>45627</v>
      </c>
      <c r="Q1" s="38" t="n">
        <v>45658</v>
      </c>
      <c r="R1" s="38" t="n">
        <v>45689</v>
      </c>
      <c r="S1" s="38" t="n">
        <v>45717</v>
      </c>
      <c r="T1" s="38" t="n">
        <v>45748</v>
      </c>
      <c r="U1" s="38" t="n">
        <v>45778</v>
      </c>
      <c r="V1" s="38" t="n">
        <v>45809</v>
      </c>
      <c r="W1" s="38" t="n">
        <v>45839</v>
      </c>
      <c r="X1" s="39" t="n">
        <v>45849</v>
      </c>
    </row>
    <row r="2" ht="15.75" customHeight="1" s="252">
      <c r="A2" s="6" t="n">
        <v>45474</v>
      </c>
      <c r="B2" s="11" t="n">
        <v>61.5</v>
      </c>
      <c r="C2" s="8" t="n">
        <v>1</v>
      </c>
      <c r="D2" s="9" t="n"/>
      <c r="E2" s="9" t="n"/>
      <c r="F2" s="9" t="n"/>
      <c r="G2" s="10" t="inlineStr">
        <is>
          <t>Creation du fond</t>
        </is>
      </c>
      <c r="H2" s="10" t="n"/>
      <c r="I2" s="11" t="inlineStr">
        <is>
          <t>Indigo Fees</t>
        </is>
      </c>
      <c r="J2" s="12" t="n">
        <v>0</v>
      </c>
      <c r="K2" s="13">
        <f>B2*C3*0.2</f>
        <v/>
      </c>
      <c r="L2" s="13">
        <f>K2*$C$4*1+K2+(K3*$C$4*0.2)</f>
        <v/>
      </c>
      <c r="M2" s="13">
        <f>L2*$C$5*1+L2+(L3*$C$5*0.2)</f>
        <v/>
      </c>
      <c r="N2" s="13">
        <f>M2*$C$7*1+M2+(M3*$C$7*0.2)</f>
        <v/>
      </c>
      <c r="O2" s="13">
        <f>N2*$C$9*1+N2+(N3*$C$9*0.2)</f>
        <v/>
      </c>
      <c r="P2" s="13">
        <f>O2*$C$10*1+O2+(O3*$C$10*0.2)</f>
        <v/>
      </c>
      <c r="Q2" s="13">
        <f>P2*$C$11*1+P2+(P3*$C$11*0.2)</f>
        <v/>
      </c>
      <c r="R2" s="13">
        <f>Q2*$C$12*1+Q2+(Q3*$C$12*0.2)</f>
        <v/>
      </c>
      <c r="S2" s="13">
        <f>R2*$C$13*1+R2+(R3*$C$13*0.2)</f>
        <v/>
      </c>
      <c r="T2" s="13">
        <f>S2*$C$15*1+S2+(S3*$C$15*0.2)</f>
        <v/>
      </c>
      <c r="U2" s="13">
        <f>T2*$C$17*1+T2+(T3*$C$17*0.2)</f>
        <v/>
      </c>
      <c r="V2" s="13">
        <f>U2*$C$18*1+U2+(U3*$C$18*0.2)</f>
        <v/>
      </c>
      <c r="W2" s="13">
        <f>V2*$C$19*1+V2+(V3*$C$19*0.2)</f>
        <v/>
      </c>
      <c r="X2" s="13">
        <f>W2*$C$20*1+W2</f>
        <v/>
      </c>
    </row>
    <row r="3" ht="15.75" customHeight="1" s="252">
      <c r="A3" s="6" t="n">
        <v>45505</v>
      </c>
      <c r="B3" s="11" t="n">
        <v>62.27</v>
      </c>
      <c r="C3" s="14">
        <f>(B3*$C$2/B2)-100%</f>
        <v/>
      </c>
      <c r="D3" s="15">
        <f>B3-B2</f>
        <v/>
      </c>
      <c r="E3" s="14">
        <f>C3*0.8</f>
        <v/>
      </c>
      <c r="F3" s="14">
        <f>C3*12</f>
        <v/>
      </c>
      <c r="G3" s="10" t="n"/>
      <c r="H3" s="10" t="n"/>
      <c r="I3" s="11" t="inlineStr">
        <is>
          <t>Jose Molla</t>
        </is>
      </c>
      <c r="J3" s="12" t="n">
        <v>0.2</v>
      </c>
      <c r="K3" s="13">
        <f>B2*C3*0.8+B2</f>
        <v/>
      </c>
      <c r="L3" s="13">
        <f>K3*$C$4*0.8+K3</f>
        <v/>
      </c>
      <c r="M3" s="13">
        <f>L3*$C$5*0.8+L3</f>
        <v/>
      </c>
      <c r="N3" s="13">
        <f>M3*$C$7*0.8+M3</f>
        <v/>
      </c>
      <c r="O3" s="13">
        <f>N3*$C$9*0.8+N3</f>
        <v/>
      </c>
      <c r="P3" s="13">
        <f>O3*$C$10*0.8+O3</f>
        <v/>
      </c>
      <c r="Q3" s="13">
        <f>P3*$C$11*0.8+P3</f>
        <v/>
      </c>
      <c r="R3" s="13">
        <f>Q3*$C$12*0.8+Q3</f>
        <v/>
      </c>
      <c r="S3" s="13">
        <f>R3*$C$13*0.8+R3</f>
        <v/>
      </c>
      <c r="T3" s="13">
        <f>S3*$C$15*0.8+S3</f>
        <v/>
      </c>
      <c r="U3" s="13">
        <f>T3*$C$17*0.8+T3</f>
        <v/>
      </c>
      <c r="V3" s="13">
        <f>U3*$C$18*0.8+U3</f>
        <v/>
      </c>
      <c r="W3" s="13">
        <f>V3*$C$19*0.8+V3</f>
        <v/>
      </c>
      <c r="X3" s="13">
        <f>W3*$C$20+W3</f>
        <v/>
      </c>
    </row>
    <row r="4" ht="15.75" customHeight="1" s="252">
      <c r="A4" s="6" t="n">
        <v>45537</v>
      </c>
      <c r="B4" s="11" t="n">
        <v>62.82</v>
      </c>
      <c r="C4" s="14">
        <f>(B4*$C$2/B3)-100%</f>
        <v/>
      </c>
      <c r="D4" s="15">
        <f>B4-B3</f>
        <v/>
      </c>
      <c r="E4" s="14">
        <f>C4*0.8</f>
        <v/>
      </c>
      <c r="F4" s="14">
        <f>C4*12</f>
        <v/>
      </c>
      <c r="G4" s="10" t="n"/>
      <c r="H4" s="10" t="n"/>
      <c r="I4" s="11" t="inlineStr">
        <is>
          <t>Nathanael Cohen</t>
        </is>
      </c>
      <c r="J4" s="12" t="n">
        <v>0</v>
      </c>
      <c r="K4" s="13" t="n">
        <v>0</v>
      </c>
      <c r="L4" s="13" t="n">
        <v>0</v>
      </c>
      <c r="M4" s="13" t="n">
        <v>17</v>
      </c>
      <c r="N4" s="13">
        <f>M4*$C$7+M4</f>
        <v/>
      </c>
      <c r="O4" s="13">
        <f>N4*$C$9+N4</f>
        <v/>
      </c>
      <c r="P4" s="13">
        <f>O4*$C$10+O4</f>
        <v/>
      </c>
      <c r="Q4" s="13">
        <f>P4*$C$11+P4</f>
        <v/>
      </c>
      <c r="R4" s="13">
        <f>Q4*$C$12+Q4</f>
        <v/>
      </c>
      <c r="S4" s="13">
        <f>R4*$C$13+R4+4.608</f>
        <v/>
      </c>
      <c r="T4" s="13">
        <f>S4*$C$15+S4+5.226</f>
        <v/>
      </c>
      <c r="U4" s="13">
        <f>T4*$C$17+T4</f>
        <v/>
      </c>
      <c r="V4" s="13">
        <f>U4*$C$18+U4</f>
        <v/>
      </c>
      <c r="W4" s="13">
        <f>V4*$C$19+V4</f>
        <v/>
      </c>
      <c r="X4" s="13">
        <f>W4*$C$20+W4</f>
        <v/>
      </c>
    </row>
    <row r="5" ht="15.75" customHeight="1" s="252">
      <c r="A5" s="6" t="n">
        <v>45566</v>
      </c>
      <c r="B5" s="11" t="n">
        <v>63.33</v>
      </c>
      <c r="C5" s="14">
        <f>(B5/B4)-100%</f>
        <v/>
      </c>
      <c r="D5" s="15">
        <f>B5-B4</f>
        <v/>
      </c>
      <c r="E5" s="14">
        <f>C5*0.8</f>
        <v/>
      </c>
      <c r="F5" s="14">
        <f>C5*12</f>
        <v/>
      </c>
      <c r="G5" s="10" t="n"/>
      <c r="H5" s="10" t="n"/>
      <c r="I5" s="11" t="inlineStr">
        <is>
          <t>Blondish</t>
        </is>
      </c>
      <c r="J5" s="12" t="n">
        <v>0</v>
      </c>
      <c r="K5" s="13" t="n">
        <v>0</v>
      </c>
      <c r="L5" s="13" t="n">
        <v>0</v>
      </c>
      <c r="M5" s="13" t="n">
        <v>0</v>
      </c>
      <c r="N5" s="13" t="n">
        <v>120</v>
      </c>
      <c r="O5" s="13">
        <f>N5*$C$9+N5</f>
        <v/>
      </c>
      <c r="P5" s="13">
        <f>O5*$C$10+O5</f>
        <v/>
      </c>
      <c r="Q5" s="13">
        <f>P5*$C$11+P5</f>
        <v/>
      </c>
      <c r="R5" s="13">
        <f>Q5*$C$12+Q5</f>
        <v/>
      </c>
      <c r="S5" s="13">
        <f>R5*$C$13+R5</f>
        <v/>
      </c>
      <c r="T5" s="13">
        <f>S5*$C$15+S5</f>
        <v/>
      </c>
      <c r="U5" s="13">
        <f>T5*$C$17+T5</f>
        <v/>
      </c>
      <c r="V5" s="13">
        <f>U5*$C$18+U5</f>
        <v/>
      </c>
      <c r="W5" s="13">
        <f>V5*$C$19+V5</f>
        <v/>
      </c>
      <c r="X5" s="13">
        <f>W5*$C$20+W5</f>
        <v/>
      </c>
    </row>
    <row r="6" ht="15.75" customHeight="1" s="252">
      <c r="A6" s="6" t="n">
        <v>45565</v>
      </c>
      <c r="B6" s="11">
        <f>17+B5</f>
        <v/>
      </c>
      <c r="C6" s="8" t="n">
        <v>1</v>
      </c>
      <c r="D6" s="9" t="n"/>
      <c r="E6" s="9" t="n"/>
      <c r="F6" s="9" t="n"/>
      <c r="G6" s="10" t="inlineStr">
        <is>
          <t>Entrée de Nathanael avec 17 ETH</t>
        </is>
      </c>
      <c r="H6" s="10" t="n"/>
      <c r="I6" s="11" t="inlineStr">
        <is>
          <t>Total AUM</t>
        </is>
      </c>
      <c r="J6" s="7" t="n"/>
      <c r="K6" s="16">
        <f>SUM(K2:K5)</f>
        <v/>
      </c>
      <c r="L6" s="16">
        <f>SUM(L2:L5)</f>
        <v/>
      </c>
      <c r="M6" s="16">
        <f>SUM(M2:M5)</f>
        <v/>
      </c>
      <c r="N6" s="16">
        <f>SUM(N2:N5)</f>
        <v/>
      </c>
      <c r="O6" s="16">
        <f>SUM(O2:O5)</f>
        <v/>
      </c>
      <c r="P6" s="16">
        <f>SUM(P2:P5)</f>
        <v/>
      </c>
      <c r="Q6" s="16">
        <f>SUM(Q2:Q5)</f>
        <v/>
      </c>
      <c r="R6" s="16">
        <f>SUM(R2:R5)</f>
        <v/>
      </c>
      <c r="S6" s="16">
        <f>SUM(S2:S5)</f>
        <v/>
      </c>
      <c r="T6" s="16">
        <f>SUM(T2:T5)</f>
        <v/>
      </c>
      <c r="U6" s="16">
        <f>SUM(U2:U5)</f>
        <v/>
      </c>
      <c r="V6" s="16">
        <f>SUM(V2:V5)</f>
        <v/>
      </c>
      <c r="W6" s="16">
        <f>SUM(W2:W5)</f>
        <v/>
      </c>
      <c r="X6" s="16">
        <f>SUM(X2:X5)</f>
        <v/>
      </c>
    </row>
    <row r="7" ht="15.75" customHeight="1" s="252">
      <c r="A7" s="6" t="n">
        <v>45589</v>
      </c>
      <c r="B7" s="11" t="n">
        <v>80.72</v>
      </c>
      <c r="C7" s="14">
        <f>(B7/B6)-100%</f>
        <v/>
      </c>
      <c r="D7" s="15">
        <f>B7-B6</f>
        <v/>
      </c>
      <c r="E7" s="14">
        <f>C7*0.8</f>
        <v/>
      </c>
      <c r="F7" s="14">
        <f>C7*12</f>
        <v/>
      </c>
      <c r="G7" s="10" t="n"/>
      <c r="H7" s="10" t="n"/>
    </row>
    <row r="8" ht="15.75" customHeight="1" s="252">
      <c r="A8" s="6" t="n">
        <v>45590</v>
      </c>
      <c r="B8" s="11">
        <f>B7+120</f>
        <v/>
      </c>
      <c r="C8" s="8" t="n">
        <v>1</v>
      </c>
      <c r="D8" s="9" t="n"/>
      <c r="E8" s="9" t="n"/>
      <c r="F8" s="9" t="n"/>
      <c r="G8" s="10" t="inlineStr">
        <is>
          <t>Entrée de Blondish avec 120 ETH</t>
        </is>
      </c>
      <c r="H8" s="10" t="n"/>
      <c r="I8" s="11" t="inlineStr">
        <is>
          <t>Indigo</t>
        </is>
      </c>
      <c r="K8" s="18">
        <f>IFERROR(K2/K$6,"")</f>
        <v/>
      </c>
      <c r="L8" s="18">
        <f>IFERROR(L2/L$6,"")</f>
        <v/>
      </c>
      <c r="M8" s="18">
        <f>IFERROR(M2/M$6,"")</f>
        <v/>
      </c>
      <c r="N8" s="18">
        <f>IFERROR(N2/N$6,"")</f>
        <v/>
      </c>
      <c r="O8" s="18">
        <f>IFERROR(O2/O$6,"")</f>
        <v/>
      </c>
      <c r="P8" s="18">
        <f>IFERROR(P2/P$6,"")</f>
        <v/>
      </c>
      <c r="Q8" s="18">
        <f>IFERROR(Q2/Q$6,"")</f>
        <v/>
      </c>
      <c r="R8" s="18">
        <f>IFERROR(R2/R$6,"")</f>
        <v/>
      </c>
      <c r="S8" s="18">
        <f>IFERROR(S2/S$6,"")</f>
        <v/>
      </c>
      <c r="T8" s="18">
        <f>IFERROR(T2/T$6,"")</f>
        <v/>
      </c>
      <c r="U8" s="18">
        <f>IFERROR(U2/U$6,"")</f>
        <v/>
      </c>
      <c r="V8" s="18">
        <f>IFERROR(V2/V$6,"")</f>
        <v/>
      </c>
      <c r="W8" s="18">
        <f>IFERROR(W2/W$6,"")</f>
        <v/>
      </c>
      <c r="X8" s="18">
        <f>IFERROR(X2/X$6,"")</f>
        <v/>
      </c>
    </row>
    <row r="9" ht="15.75" customHeight="1" s="252">
      <c r="A9" s="6" t="n">
        <v>45597</v>
      </c>
      <c r="B9" s="11" t="n">
        <v>200.72</v>
      </c>
      <c r="C9" s="14">
        <f>(B9/B8)-100%</f>
        <v/>
      </c>
      <c r="D9" s="15">
        <f>B9-B8</f>
        <v/>
      </c>
      <c r="E9" s="14">
        <f>C9*0.8</f>
        <v/>
      </c>
      <c r="F9" s="14">
        <f>C9*12</f>
        <v/>
      </c>
      <c r="G9" s="10" t="n"/>
      <c r="H9" s="10" t="n"/>
      <c r="I9" s="11" t="inlineStr">
        <is>
          <t>Jose</t>
        </is>
      </c>
      <c r="K9" s="18">
        <f>IFERROR(K3/K$6,"")</f>
        <v/>
      </c>
      <c r="L9" s="18">
        <f>IFERROR(L3/L$6,"")</f>
        <v/>
      </c>
      <c r="M9" s="18">
        <f>IFERROR(M3/M$6,"")</f>
        <v/>
      </c>
      <c r="N9" s="18">
        <f>IFERROR(N3/N$6,"")</f>
        <v/>
      </c>
      <c r="O9" s="18">
        <f>IFERROR(O3/O$6,"")</f>
        <v/>
      </c>
      <c r="P9" s="18">
        <f>IFERROR(P3/P$6,"")</f>
        <v/>
      </c>
      <c r="Q9" s="18">
        <f>IFERROR(Q3/Q$6,"")</f>
        <v/>
      </c>
      <c r="R9" s="18">
        <f>IFERROR(R3/R$6,"")</f>
        <v/>
      </c>
      <c r="S9" s="18">
        <f>IFERROR(S3/S$6,"")</f>
        <v/>
      </c>
      <c r="T9" s="18">
        <f>IFERROR(T3/T$6,"")</f>
        <v/>
      </c>
      <c r="U9" s="18">
        <f>IFERROR(U3/U$6,"")</f>
        <v/>
      </c>
      <c r="V9" s="18">
        <f>IFERROR(V3/V$6,"")</f>
        <v/>
      </c>
      <c r="W9" s="18">
        <f>IFERROR(W3/W$6,"")</f>
        <v/>
      </c>
      <c r="X9" s="18">
        <f>IFERROR(X3/X$6,"")</f>
        <v/>
      </c>
    </row>
    <row r="10" ht="15.75" customHeight="1" s="252">
      <c r="A10" s="6" t="n">
        <v>45627</v>
      </c>
      <c r="B10" s="11" t="n">
        <v>200.72</v>
      </c>
      <c r="C10" s="14">
        <f>(B10/B9)-100%</f>
        <v/>
      </c>
      <c r="D10" s="15">
        <f>B10-B9</f>
        <v/>
      </c>
      <c r="E10" s="14">
        <f>C10*0.8</f>
        <v/>
      </c>
      <c r="F10" s="14">
        <f>C10*12</f>
        <v/>
      </c>
      <c r="I10" s="11" t="inlineStr">
        <is>
          <t>Nathanael</t>
        </is>
      </c>
      <c r="K10" s="18">
        <f>IFERROR(K4/K$6,"")</f>
        <v/>
      </c>
      <c r="L10" s="18">
        <f>IFERROR(L4/L$6,"")</f>
        <v/>
      </c>
      <c r="M10" s="18">
        <f>IFERROR(M4/M$6,"")</f>
        <v/>
      </c>
      <c r="N10" s="18">
        <f>IFERROR(N4/N$6,"")</f>
        <v/>
      </c>
      <c r="O10" s="18">
        <f>IFERROR(O4/O$6,"")</f>
        <v/>
      </c>
      <c r="P10" s="18">
        <f>IFERROR(P4/P$6,"")</f>
        <v/>
      </c>
      <c r="Q10" s="18">
        <f>IFERROR(Q4/Q$6,"")</f>
        <v/>
      </c>
      <c r="R10" s="18">
        <f>IFERROR(R4/R$6,"")</f>
        <v/>
      </c>
      <c r="S10" s="18">
        <f>IFERROR(S4/S$6,"")</f>
        <v/>
      </c>
      <c r="T10" s="18">
        <f>IFERROR(T4/T$6,"")</f>
        <v/>
      </c>
      <c r="U10" s="18">
        <f>IFERROR(U4/U$6,"")</f>
        <v/>
      </c>
      <c r="V10" s="18">
        <f>IFERROR(V4/V$6,"")</f>
        <v/>
      </c>
      <c r="W10" s="18">
        <f>IFERROR(W4/W$6,"")</f>
        <v/>
      </c>
      <c r="X10" s="18">
        <f>IFERROR(X4/X$6,"")</f>
        <v/>
      </c>
    </row>
    <row r="11" ht="15.75" customHeight="1" s="252">
      <c r="A11" s="6" t="n">
        <v>45658</v>
      </c>
      <c r="B11" s="11" t="n">
        <v>200.72</v>
      </c>
      <c r="C11" s="14">
        <f>(B11/B10)-100%</f>
        <v/>
      </c>
      <c r="D11" s="15">
        <f>B11-B10</f>
        <v/>
      </c>
      <c r="E11" s="14">
        <f>C11*0.8</f>
        <v/>
      </c>
      <c r="F11" s="14">
        <f>C11*12</f>
        <v/>
      </c>
      <c r="I11" s="11" t="inlineStr">
        <is>
          <t>Blondish</t>
        </is>
      </c>
      <c r="K11" s="18">
        <f>IFERROR(K5/K$6,"")</f>
        <v/>
      </c>
      <c r="L11" s="18">
        <f>IFERROR(L5/L$6,"")</f>
        <v/>
      </c>
      <c r="M11" s="18">
        <f>IFERROR(M5/M$6,"")</f>
        <v/>
      </c>
      <c r="N11" s="18">
        <f>IFERROR(N5/N$6,"")</f>
        <v/>
      </c>
      <c r="O11" s="18">
        <f>IFERROR(O5/O$6,"")</f>
        <v/>
      </c>
      <c r="P11" s="18">
        <f>IFERROR(P5/P$6,"")</f>
        <v/>
      </c>
      <c r="Q11" s="18">
        <f>IFERROR(Q5/Q$6,"")</f>
        <v/>
      </c>
      <c r="R11" s="18">
        <f>IFERROR(R5/R$6,"")</f>
        <v/>
      </c>
      <c r="S11" s="18">
        <f>IFERROR(S5/S$6,"")</f>
        <v/>
      </c>
      <c r="T11" s="18">
        <f>IFERROR(T5/T$6,"")</f>
        <v/>
      </c>
      <c r="U11" s="18">
        <f>IFERROR(U5/U$6,"")</f>
        <v/>
      </c>
      <c r="V11" s="18">
        <f>IFERROR(V5/V$6,"")</f>
        <v/>
      </c>
      <c r="W11" s="18">
        <f>IFERROR(W5/W$6,"")</f>
        <v/>
      </c>
      <c r="X11" s="18">
        <f>IFERROR(X5/X$6,"")</f>
        <v/>
      </c>
    </row>
    <row r="12" ht="15.75" customHeight="1" s="252">
      <c r="A12" s="6" t="n">
        <v>45689</v>
      </c>
      <c r="B12" s="11" t="n">
        <v>201.847</v>
      </c>
      <c r="C12" s="14">
        <f>(B12/B11)-100%</f>
        <v/>
      </c>
      <c r="D12" s="15">
        <f>B12-B11</f>
        <v/>
      </c>
      <c r="E12" s="14">
        <f>C12*0.8</f>
        <v/>
      </c>
      <c r="F12" s="14">
        <f>C12*12</f>
        <v/>
      </c>
      <c r="I12" s="11" t="inlineStr">
        <is>
          <t>Total AUM</t>
        </is>
      </c>
      <c r="J12" s="7" t="n"/>
      <c r="K12" s="23">
        <f>SUM(K8:K11)</f>
        <v/>
      </c>
      <c r="L12" s="23">
        <f>SUM(L8:L11)</f>
        <v/>
      </c>
      <c r="M12" s="23">
        <f>SUM(M8:M11)</f>
        <v/>
      </c>
      <c r="N12" s="23">
        <f>SUM(N8:N11)</f>
        <v/>
      </c>
      <c r="O12" s="23">
        <f>SUM(O8:O11)</f>
        <v/>
      </c>
      <c r="P12" s="23">
        <f>SUM(P8:P11)</f>
        <v/>
      </c>
      <c r="Q12" s="23">
        <f>SUM(Q8:Q11)</f>
        <v/>
      </c>
      <c r="R12" s="23">
        <f>SUM(R8:R11)</f>
        <v/>
      </c>
      <c r="S12" s="23">
        <f>SUM(S8:S11)</f>
        <v/>
      </c>
      <c r="T12" s="23">
        <f>SUM(T8:T11)</f>
        <v/>
      </c>
      <c r="U12" s="23">
        <f>SUM(U8:U11)</f>
        <v/>
      </c>
      <c r="V12" s="23">
        <f>SUM(V8:V11)</f>
        <v/>
      </c>
      <c r="W12" s="23">
        <f>SUM(W8:W11)</f>
        <v/>
      </c>
      <c r="X12" s="23">
        <f>SUM(X8:X11)</f>
        <v/>
      </c>
    </row>
    <row r="13" ht="15.75" customHeight="1" s="252">
      <c r="A13" s="6" t="n">
        <v>45717</v>
      </c>
      <c r="B13" s="11" t="n">
        <v>204.35</v>
      </c>
      <c r="C13" s="14">
        <f>(B13/B12)-100%</f>
        <v/>
      </c>
      <c r="D13" s="15">
        <f>B13-B12</f>
        <v/>
      </c>
      <c r="E13" s="14">
        <f>C13*0.8</f>
        <v/>
      </c>
      <c r="F13" s="14">
        <f>C13*12</f>
        <v/>
      </c>
    </row>
    <row r="14" ht="15.75" customHeight="1" s="252">
      <c r="A14" s="6" t="n">
        <v>45717</v>
      </c>
      <c r="B14" s="11">
        <f>B13+4.608</f>
        <v/>
      </c>
      <c r="C14" s="8" t="n">
        <v>1</v>
      </c>
      <c r="D14" s="9" t="n"/>
      <c r="E14" s="9" t="n"/>
      <c r="F14" s="9" t="n"/>
      <c r="G14" s="10" t="inlineStr">
        <is>
          <t>Top up de Nathanael avec 4.608 ETH</t>
        </is>
      </c>
      <c r="K14" s="40" t="n"/>
      <c r="W14" s="15" t="n">
        <v>8.404</v>
      </c>
      <c r="X14" s="15" t="inlineStr">
        <is>
          <t>Refund Tea-Fi hack</t>
        </is>
      </c>
    </row>
    <row r="15" ht="15.75" customHeight="1" s="252">
      <c r="A15" s="6" t="n">
        <v>45747</v>
      </c>
      <c r="B15" s="11" t="n">
        <v>209.553</v>
      </c>
      <c r="C15" s="14">
        <f>(B15/B14)-100%</f>
        <v/>
      </c>
      <c r="D15" s="15">
        <f>B15-B14</f>
        <v/>
      </c>
      <c r="E15" s="14">
        <f>C15*0.8</f>
        <v/>
      </c>
      <c r="F15" s="14">
        <f>C15*12</f>
        <v/>
      </c>
      <c r="K15" s="40" t="n"/>
    </row>
    <row r="16" ht="15.75" customHeight="1" s="252">
      <c r="A16" s="6" t="n">
        <v>45748</v>
      </c>
      <c r="B16" s="11">
        <f>B15+5.226</f>
        <v/>
      </c>
      <c r="C16" s="8" t="n">
        <v>1</v>
      </c>
      <c r="D16" s="9" t="n"/>
      <c r="E16" s="9" t="n"/>
      <c r="F16" s="9" t="n"/>
      <c r="G16" s="10" t="inlineStr">
        <is>
          <t>Top up de Nathanael avec 5.226 ETH</t>
        </is>
      </c>
      <c r="K16" s="40" t="n"/>
    </row>
    <row r="17" ht="15.75" customHeight="1" s="252">
      <c r="A17" s="6" t="n">
        <v>45778</v>
      </c>
      <c r="B17" s="11" t="n">
        <v>217.3475</v>
      </c>
      <c r="C17" s="14">
        <f>(B17/B16)-100%</f>
        <v/>
      </c>
      <c r="D17" s="15">
        <f>B17-B16</f>
        <v/>
      </c>
      <c r="E17" s="14">
        <f>C17*0.8</f>
        <v/>
      </c>
      <c r="F17" s="14">
        <f>C17*12</f>
        <v/>
      </c>
    </row>
    <row r="18" ht="15.75" customHeight="1" s="252">
      <c r="A18" s="6" t="n">
        <v>45807</v>
      </c>
      <c r="B18" s="11" t="n">
        <v>217.8624</v>
      </c>
      <c r="C18" s="14">
        <f>(B18/B17)-100%</f>
        <v/>
      </c>
      <c r="D18" s="15">
        <f>B18-B17</f>
        <v/>
      </c>
      <c r="E18" s="14">
        <f>C18*0.8</f>
        <v/>
      </c>
      <c r="F18" s="14">
        <f>C18*12</f>
        <v/>
      </c>
    </row>
    <row r="19" ht="15.75" customHeight="1" s="252">
      <c r="A19" s="6" t="n">
        <v>45838</v>
      </c>
      <c r="B19" s="11" t="n">
        <v>218.3559</v>
      </c>
      <c r="C19" s="14">
        <f>(B19/B18)-100%</f>
        <v/>
      </c>
      <c r="D19" s="15">
        <f>B19-B18</f>
        <v/>
      </c>
      <c r="E19" s="14">
        <f>C19*0.8</f>
        <v/>
      </c>
      <c r="F19" s="14">
        <f>C19*12</f>
        <v/>
      </c>
    </row>
    <row r="20" ht="16.5" customHeight="1" s="252">
      <c r="A20" s="6" t="n">
        <v>45849</v>
      </c>
      <c r="B20" s="11">
        <f>209.85+0.14</f>
        <v/>
      </c>
      <c r="C20" s="14">
        <f>(B20/B19)-100%</f>
        <v/>
      </c>
      <c r="D20" s="15">
        <f>B20-B19</f>
        <v/>
      </c>
      <c r="E20" s="14">
        <f>C20*0.8</f>
        <v/>
      </c>
      <c r="F20" s="14">
        <f>C20*12</f>
        <v/>
      </c>
      <c r="G20" s="10" t="inlineStr">
        <is>
          <t>End of fund and transfert to ETH Yield Fund</t>
        </is>
      </c>
    </row>
    <row r="21" ht="16.5" customHeight="1" s="252">
      <c r="A21" s="17" t="inlineStr">
        <is>
          <t>Closing the fond + transfert the assets in ETH Yield Fund</t>
        </is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</row>
    <row r="22" ht="15.75" customHeight="1" s="252">
      <c r="A22" s="26" t="n"/>
      <c r="B22" s="11" t="n"/>
    </row>
    <row r="23" ht="15.75" customHeight="1" s="252">
      <c r="A23" s="19" t="inlineStr">
        <is>
          <t>Total</t>
        </is>
      </c>
      <c r="B23" s="20" t="inlineStr">
        <is>
          <t>11.5 Months</t>
        </is>
      </c>
      <c r="C23" s="21">
        <f>(B20-(B2+17+120+4.608+5.226))/(B2+17+120+4.608+5.226)</f>
        <v/>
      </c>
      <c r="D23" s="20">
        <f>B20-(B2+17+120+4.608+5.226)</f>
        <v/>
      </c>
      <c r="E23" s="21">
        <f>C23*0.8</f>
        <v/>
      </c>
      <c r="F23" s="21">
        <f>E23/11.5*12</f>
        <v/>
      </c>
    </row>
    <row r="24" ht="15.75" customHeight="1" s="252">
      <c r="A24" s="26" t="n"/>
      <c r="B24" s="11" t="n"/>
    </row>
    <row r="25" ht="15.75" customHeight="1" s="252">
      <c r="A25" s="17" t="inlineStr">
        <is>
          <t>Refund Tea-Fi hack for 8.404 ETH on 03/11/2025</t>
        </is>
      </c>
    </row>
    <row r="26" ht="15.75" customHeight="1" s="252">
      <c r="A26" s="11" t="inlineStr">
        <is>
          <t>Indigo</t>
        </is>
      </c>
      <c r="B26" s="41" t="n">
        <v>0.004276231581668949</v>
      </c>
      <c r="C26" s="40">
        <f>B26*$C$31</f>
        <v/>
      </c>
    </row>
    <row r="27" ht="15.75" customHeight="1" s="252">
      <c r="A27" s="11" t="inlineStr">
        <is>
          <t>Jose</t>
        </is>
      </c>
      <c r="B27" s="41" t="n">
        <v>0.2982339051173867</v>
      </c>
      <c r="C27" s="40">
        <f>B27*$C$31</f>
        <v/>
      </c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</row>
    <row r="28" ht="15.75" customHeight="1" s="252">
      <c r="A28" s="11" t="inlineStr">
        <is>
          <t>Nathanael</t>
        </is>
      </c>
      <c r="B28" s="41" t="n">
        <v>0.1270520536814294</v>
      </c>
      <c r="C28" s="40">
        <f>B28*$C$31</f>
        <v/>
      </c>
      <c r="E28" s="11" t="n"/>
      <c r="F28" s="11" t="n"/>
      <c r="G28" s="11" t="n"/>
      <c r="H28" s="11" t="n"/>
      <c r="I28" s="14" t="n"/>
      <c r="K28" s="40" t="n"/>
    </row>
    <row r="29" ht="15.75" customHeight="1" s="252">
      <c r="A29" s="11" t="inlineStr">
        <is>
          <t>Blondish</t>
        </is>
      </c>
      <c r="B29" s="41" t="n">
        <v>0.5704378096195148</v>
      </c>
      <c r="C29" s="40">
        <f>B29*$C$31</f>
        <v/>
      </c>
      <c r="E29" s="11" t="n"/>
      <c r="F29" s="11" t="n"/>
      <c r="G29" s="11" t="n"/>
      <c r="H29" s="11" t="n"/>
      <c r="I29" s="14" t="n"/>
      <c r="K29" s="40" t="n"/>
    </row>
    <row r="30" ht="6.75" customHeight="1" s="252">
      <c r="A30" s="26" t="n"/>
      <c r="B30" s="11" t="n"/>
      <c r="E30" s="11" t="n"/>
      <c r="F30" s="11" t="n"/>
      <c r="G30" s="11" t="n"/>
      <c r="H30" s="11" t="n"/>
      <c r="I30" s="14" t="n"/>
      <c r="K30" s="40" t="n"/>
    </row>
    <row r="31" ht="15.75" customHeight="1" s="252">
      <c r="A31" s="19" t="inlineStr">
        <is>
          <t>Total</t>
        </is>
      </c>
      <c r="B31" s="42">
        <f>SUM(B26:B29)</f>
        <v/>
      </c>
      <c r="C31" s="43" t="n">
        <v>8.404</v>
      </c>
      <c r="D31" s="7" t="n"/>
      <c r="E31" s="44" t="n"/>
      <c r="F31" s="44" t="n"/>
      <c r="G31" s="26" t="n"/>
      <c r="H31" s="7" t="n"/>
      <c r="I31" s="44" t="n"/>
      <c r="J31" s="7" t="n"/>
      <c r="K31" s="44" t="n"/>
      <c r="L31" s="44" t="n"/>
      <c r="M31" s="26" t="n"/>
      <c r="N31" s="7" t="n"/>
      <c r="O31" s="44" t="n"/>
      <c r="P31" s="7" t="n"/>
      <c r="Q31" s="44" t="n"/>
      <c r="R31" s="44" t="n"/>
      <c r="S31" s="26" t="n"/>
      <c r="T31" s="7" t="n"/>
      <c r="U31" s="44" t="n"/>
      <c r="V31" s="7" t="n"/>
      <c r="W31" s="44" t="n"/>
      <c r="X31" s="44" t="n"/>
    </row>
    <row r="32" ht="15.75" customHeight="1" s="252">
      <c r="A32" s="26" t="n"/>
      <c r="B32" s="11" t="n"/>
      <c r="E32" s="11" t="n"/>
      <c r="F32" s="11" t="n"/>
      <c r="G32" s="11" t="n"/>
      <c r="H32" s="11" t="n"/>
      <c r="I32" s="14" t="n"/>
      <c r="K32" s="40" t="n"/>
    </row>
    <row r="33" ht="15.75" customHeight="1" s="252">
      <c r="A33" s="26" t="n"/>
      <c r="B33" s="11" t="n"/>
      <c r="E33" s="11" t="n"/>
      <c r="F33" s="11" t="n"/>
      <c r="G33" s="11" t="n"/>
      <c r="H33" s="11" t="n"/>
      <c r="I33" s="14" t="n"/>
      <c r="K33" s="40" t="n"/>
    </row>
    <row r="34" ht="15.75" customHeight="1" s="252">
      <c r="A34" s="26" t="n"/>
      <c r="B34" s="11" t="n"/>
      <c r="E34" s="11" t="n"/>
      <c r="F34" s="11" t="n"/>
      <c r="G34" s="11" t="n"/>
      <c r="H34" s="11" t="n"/>
      <c r="I34" s="14" t="n"/>
      <c r="K34" s="40" t="n"/>
    </row>
    <row r="35" ht="15.75" customHeight="1" s="252">
      <c r="A35" s="26" t="n"/>
      <c r="B35" s="11" t="n"/>
      <c r="E35" s="11" t="n"/>
      <c r="F35" s="11" t="n"/>
      <c r="G35" s="11" t="n"/>
      <c r="H35" s="11" t="n"/>
      <c r="I35" s="14" t="n"/>
      <c r="K35" s="40" t="n"/>
    </row>
    <row r="36" ht="15.75" customHeight="1" s="252">
      <c r="A36" s="26" t="n"/>
      <c r="B36" s="11" t="n"/>
      <c r="E36" s="11" t="n"/>
      <c r="F36" s="11" t="n"/>
      <c r="G36" s="11" t="n"/>
      <c r="H36" s="11" t="n"/>
      <c r="I36" s="14" t="n"/>
      <c r="K36" s="40" t="n"/>
    </row>
    <row r="37" ht="15.75" customHeight="1" s="252">
      <c r="A37" s="26" t="n"/>
      <c r="B37" s="11" t="n"/>
      <c r="E37" s="11" t="n"/>
      <c r="F37" s="11" t="n"/>
      <c r="G37" s="11" t="n"/>
      <c r="H37" s="11" t="n"/>
      <c r="I37" s="14" t="n"/>
      <c r="K37" s="40" t="n"/>
    </row>
    <row r="38" ht="15.75" customHeight="1" s="252">
      <c r="A38" s="26" t="n"/>
      <c r="B38" s="11" t="n"/>
      <c r="E38" s="11" t="n"/>
      <c r="F38" s="11" t="n"/>
      <c r="G38" s="11" t="n"/>
      <c r="H38" s="11" t="n"/>
      <c r="I38" s="14" t="n"/>
      <c r="K38" s="40" t="n"/>
    </row>
    <row r="39" ht="15.75" customHeight="1" s="252">
      <c r="A39" s="26" t="n"/>
      <c r="B39" s="11" t="n"/>
      <c r="E39" s="11" t="n"/>
      <c r="F39" s="11" t="n"/>
      <c r="G39" s="11" t="n"/>
      <c r="H39" s="11" t="n"/>
      <c r="I39" s="14" t="n"/>
      <c r="K39" s="40" t="n"/>
    </row>
    <row r="40" ht="15.75" customHeight="1" s="252">
      <c r="A40" s="26" t="n"/>
      <c r="B40" s="11" t="n"/>
      <c r="E40" s="11" t="n"/>
      <c r="F40" s="11" t="n"/>
      <c r="G40" s="11" t="n"/>
      <c r="H40" s="11" t="n"/>
      <c r="I40" s="14" t="n"/>
      <c r="K40" s="40" t="n"/>
    </row>
    <row r="41" ht="15.75" customHeight="1" s="252">
      <c r="A41" s="26" t="n"/>
      <c r="B41" s="11" t="n"/>
      <c r="E41" s="11" t="n"/>
      <c r="F41" s="11" t="n"/>
      <c r="G41" s="11" t="n"/>
      <c r="H41" s="11" t="n"/>
      <c r="I41" s="14" t="n"/>
      <c r="K41" s="40" t="n"/>
    </row>
    <row r="42" ht="15.75" customHeight="1" s="252">
      <c r="A42" s="26" t="n"/>
      <c r="B42" s="11" t="n"/>
      <c r="E42" s="11" t="n"/>
      <c r="F42" s="11" t="n"/>
      <c r="G42" s="11" t="n"/>
      <c r="H42" s="11" t="n"/>
      <c r="I42" s="14" t="n"/>
      <c r="K42" s="40" t="n"/>
    </row>
    <row r="43" ht="15.75" customHeight="1" s="252">
      <c r="A43" s="26" t="n"/>
      <c r="B43" s="11" t="n"/>
      <c r="E43" s="11" t="n"/>
      <c r="F43" s="11" t="n"/>
      <c r="G43" s="11" t="n"/>
      <c r="H43" s="11" t="n"/>
      <c r="I43" s="14" t="n"/>
      <c r="K43" s="40" t="n"/>
    </row>
    <row r="44" ht="15.75" customHeight="1" s="252">
      <c r="A44" s="26" t="n"/>
      <c r="B44" s="11" t="n"/>
      <c r="E44" s="11" t="n"/>
      <c r="F44" s="11" t="n"/>
      <c r="G44" s="11" t="n"/>
      <c r="H44" s="11" t="n"/>
      <c r="I44" s="14" t="n"/>
      <c r="K44" s="40" t="n"/>
    </row>
    <row r="45" ht="15.75" customHeight="1" s="252">
      <c r="A45" s="26" t="n"/>
      <c r="B45" s="11" t="n"/>
      <c r="E45" s="11" t="n"/>
      <c r="F45" s="11" t="n"/>
      <c r="G45" s="11" t="n"/>
      <c r="H45" s="11" t="n"/>
      <c r="I45" s="14" t="n"/>
      <c r="K45" s="40" t="n"/>
    </row>
    <row r="46" ht="15.75" customHeight="1" s="252">
      <c r="A46" s="26" t="n"/>
      <c r="B46" s="11" t="n"/>
      <c r="E46" s="11" t="n"/>
      <c r="F46" s="11" t="n"/>
      <c r="G46" s="11" t="n"/>
      <c r="H46" s="11" t="n"/>
      <c r="I46" s="14" t="n"/>
      <c r="K46" s="40" t="n"/>
    </row>
    <row r="47" ht="15.75" customHeight="1" s="252">
      <c r="A47" s="26" t="n"/>
      <c r="B47" s="11" t="n"/>
      <c r="E47" s="11" t="n"/>
      <c r="F47" s="11" t="n"/>
      <c r="G47" s="11" t="n"/>
      <c r="H47" s="11" t="n"/>
      <c r="I47" s="14" t="n"/>
      <c r="K47" s="40" t="n"/>
    </row>
    <row r="48" ht="15.75" customHeight="1" s="252">
      <c r="A48" s="26" t="n"/>
      <c r="B48" s="11" t="n"/>
      <c r="E48" s="11" t="n"/>
      <c r="F48" s="11" t="n"/>
      <c r="G48" s="11" t="n"/>
      <c r="H48" s="11" t="n"/>
      <c r="I48" s="14" t="n"/>
      <c r="K48" s="40" t="n"/>
    </row>
    <row r="49" ht="15.75" customHeight="1" s="252">
      <c r="A49" s="26" t="n"/>
      <c r="B49" s="11" t="n"/>
      <c r="E49" s="11" t="n"/>
      <c r="F49" s="11" t="n"/>
      <c r="G49" s="11" t="n"/>
      <c r="H49" s="11" t="n"/>
      <c r="I49" s="14" t="n"/>
      <c r="K49" s="40" t="n"/>
    </row>
    <row r="50" ht="15.75" customHeight="1" s="252">
      <c r="A50" s="26" t="n"/>
      <c r="B50" s="11" t="n"/>
      <c r="E50" s="11" t="n"/>
      <c r="F50" s="11" t="n"/>
      <c r="G50" s="11" t="n"/>
      <c r="H50" s="11" t="n"/>
      <c r="I50" s="14" t="n"/>
      <c r="K50" s="40" t="n"/>
    </row>
    <row r="51" ht="15.75" customHeight="1" s="252">
      <c r="A51" s="26" t="n"/>
      <c r="B51" s="11" t="n"/>
      <c r="E51" s="11" t="n"/>
      <c r="F51" s="11" t="n"/>
      <c r="G51" s="11" t="n"/>
      <c r="H51" s="11" t="n"/>
      <c r="I51" s="14" t="n"/>
      <c r="K51" s="40" t="n"/>
    </row>
    <row r="52" ht="15.75" customHeight="1" s="252">
      <c r="A52" s="26" t="n"/>
      <c r="B52" s="11" t="n"/>
      <c r="E52" s="11" t="n"/>
      <c r="F52" s="11" t="n"/>
      <c r="G52" s="11" t="n"/>
      <c r="H52" s="11" t="n"/>
      <c r="I52" s="14" t="n"/>
      <c r="K52" s="40" t="n"/>
    </row>
    <row r="53" ht="15.75" customHeight="1" s="252">
      <c r="A53" s="26" t="n"/>
      <c r="B53" s="11" t="n"/>
      <c r="E53" s="11" t="n"/>
      <c r="F53" s="11" t="n"/>
      <c r="G53" s="11" t="n"/>
      <c r="H53" s="11" t="n"/>
      <c r="I53" s="14" t="n"/>
      <c r="K53" s="40" t="n"/>
    </row>
    <row r="54" ht="15.75" customHeight="1" s="252">
      <c r="A54" s="26" t="n"/>
      <c r="B54" s="11" t="n"/>
      <c r="E54" s="11" t="n"/>
      <c r="F54" s="11" t="n"/>
      <c r="G54" s="11" t="n"/>
      <c r="H54" s="11" t="n"/>
      <c r="I54" s="14" t="n"/>
      <c r="K54" s="40" t="n"/>
    </row>
    <row r="55" ht="15.75" customHeight="1" s="252">
      <c r="A55" s="26" t="n"/>
      <c r="B55" s="11" t="n"/>
      <c r="E55" s="11" t="n"/>
      <c r="F55" s="11" t="n"/>
      <c r="G55" s="11" t="n"/>
      <c r="H55" s="11" t="n"/>
      <c r="I55" s="14" t="n"/>
      <c r="K55" s="40" t="n"/>
    </row>
    <row r="56" ht="15.75" customHeight="1" s="252">
      <c r="A56" s="26" t="n"/>
      <c r="B56" s="11" t="n"/>
      <c r="E56" s="11" t="n"/>
      <c r="F56" s="11" t="n"/>
      <c r="G56" s="11" t="n"/>
      <c r="H56" s="11" t="n"/>
      <c r="I56" s="14" t="n"/>
      <c r="K56" s="40" t="n"/>
    </row>
    <row r="57" ht="15.75" customHeight="1" s="252">
      <c r="A57" s="26" t="n"/>
      <c r="B57" s="11" t="n"/>
      <c r="E57" s="11" t="n"/>
      <c r="F57" s="11" t="n"/>
      <c r="G57" s="11" t="n"/>
      <c r="H57" s="11" t="n"/>
      <c r="I57" s="14" t="n"/>
      <c r="K57" s="40" t="n"/>
    </row>
    <row r="58" ht="15.75" customHeight="1" s="252">
      <c r="A58" s="26" t="n"/>
      <c r="B58" s="11" t="n"/>
      <c r="E58" s="11" t="n"/>
      <c r="F58" s="11" t="n"/>
      <c r="G58" s="11" t="n"/>
      <c r="H58" s="11" t="n"/>
      <c r="I58" s="14" t="n"/>
      <c r="K58" s="40" t="n"/>
    </row>
    <row r="59" ht="15.75" customHeight="1" s="252">
      <c r="A59" s="26" t="n"/>
      <c r="B59" s="11" t="n"/>
      <c r="E59" s="11" t="n"/>
      <c r="F59" s="11" t="n"/>
      <c r="G59" s="11" t="n"/>
      <c r="H59" s="11" t="n"/>
      <c r="I59" s="14" t="n"/>
      <c r="K59" s="40" t="n"/>
    </row>
    <row r="60" ht="15.75" customHeight="1" s="252">
      <c r="A60" s="26" t="n"/>
      <c r="B60" s="11" t="n"/>
      <c r="E60" s="11" t="n"/>
      <c r="F60" s="11" t="n"/>
      <c r="G60" s="11" t="n"/>
      <c r="H60" s="11" t="n"/>
      <c r="I60" s="14" t="n"/>
      <c r="K60" s="40" t="n"/>
    </row>
    <row r="61" ht="15.75" customHeight="1" s="252">
      <c r="A61" s="26" t="n"/>
      <c r="B61" s="11" t="n"/>
      <c r="E61" s="11" t="n"/>
      <c r="F61" s="11" t="n"/>
      <c r="G61" s="11" t="n"/>
      <c r="H61" s="11" t="n"/>
      <c r="I61" s="14" t="n"/>
      <c r="K61" s="40" t="n"/>
    </row>
    <row r="62" ht="15.75" customHeight="1" s="252">
      <c r="A62" s="26" t="n"/>
      <c r="B62" s="11" t="n"/>
      <c r="E62" s="11" t="n"/>
      <c r="F62" s="11" t="n"/>
      <c r="G62" s="11" t="n"/>
      <c r="H62" s="11" t="n"/>
      <c r="I62" s="14" t="n"/>
      <c r="K62" s="40" t="n"/>
    </row>
    <row r="63" ht="15.75" customHeight="1" s="252">
      <c r="A63" s="26" t="n"/>
      <c r="B63" s="11" t="n"/>
      <c r="E63" s="11" t="n"/>
      <c r="F63" s="11" t="n"/>
      <c r="G63" s="11" t="n"/>
      <c r="H63" s="11" t="n"/>
      <c r="I63" s="14" t="n"/>
      <c r="K63" s="40" t="n"/>
    </row>
    <row r="64" ht="15.75" customHeight="1" s="252">
      <c r="A64" s="26" t="n"/>
      <c r="B64" s="11" t="n"/>
      <c r="E64" s="11" t="n"/>
      <c r="F64" s="11" t="n"/>
      <c r="G64" s="11" t="n"/>
      <c r="H64" s="11" t="n"/>
      <c r="I64" s="14" t="n"/>
      <c r="K64" s="40" t="n"/>
    </row>
    <row r="65" ht="15.75" customHeight="1" s="252">
      <c r="A65" s="26" t="n"/>
      <c r="B65" s="11" t="n"/>
      <c r="E65" s="11" t="n"/>
      <c r="F65" s="11" t="n"/>
      <c r="G65" s="11" t="n"/>
      <c r="H65" s="11" t="n"/>
      <c r="I65" s="14" t="n"/>
      <c r="K65" s="40" t="n"/>
    </row>
    <row r="66" ht="15.75" customHeight="1" s="252">
      <c r="A66" s="26" t="n"/>
      <c r="B66" s="11" t="n"/>
      <c r="E66" s="11" t="n"/>
      <c r="F66" s="11" t="n"/>
      <c r="G66" s="11" t="n"/>
      <c r="H66" s="11" t="n"/>
      <c r="I66" s="14" t="n"/>
      <c r="K66" s="40" t="n"/>
    </row>
    <row r="67" ht="15.75" customHeight="1" s="252">
      <c r="A67" s="26" t="n"/>
      <c r="B67" s="11" t="n"/>
      <c r="E67" s="11" t="n"/>
      <c r="F67" s="11" t="n"/>
      <c r="G67" s="11" t="n"/>
      <c r="H67" s="11" t="n"/>
      <c r="I67" s="14" t="n"/>
      <c r="K67" s="40" t="n"/>
    </row>
    <row r="68" ht="15.75" customHeight="1" s="252">
      <c r="A68" s="26" t="n"/>
      <c r="B68" s="11" t="n"/>
      <c r="E68" s="11" t="n"/>
      <c r="F68" s="11" t="n"/>
      <c r="G68" s="11" t="n"/>
      <c r="H68" s="11" t="n"/>
      <c r="I68" s="14" t="n"/>
      <c r="K68" s="40" t="n"/>
    </row>
    <row r="69" ht="15.75" customHeight="1" s="252">
      <c r="A69" s="26" t="n"/>
      <c r="B69" s="11" t="n"/>
      <c r="E69" s="11" t="n"/>
      <c r="F69" s="11" t="n"/>
      <c r="G69" s="11" t="n"/>
      <c r="H69" s="11" t="n"/>
      <c r="I69" s="14" t="n"/>
      <c r="K69" s="40" t="n"/>
    </row>
    <row r="70" ht="15.75" customHeight="1" s="252">
      <c r="A70" s="26" t="n"/>
      <c r="B70" s="11" t="n"/>
      <c r="E70" s="11" t="n"/>
      <c r="F70" s="11" t="n"/>
      <c r="G70" s="11" t="n"/>
      <c r="H70" s="11" t="n"/>
      <c r="I70" s="14" t="n"/>
      <c r="K70" s="40" t="n"/>
    </row>
    <row r="71" ht="15.75" customHeight="1" s="252">
      <c r="A71" s="26" t="n"/>
      <c r="B71" s="11" t="n"/>
      <c r="E71" s="11" t="n"/>
      <c r="F71" s="11" t="n"/>
      <c r="G71" s="11" t="n"/>
      <c r="H71" s="11" t="n"/>
      <c r="I71" s="14" t="n"/>
      <c r="K71" s="40" t="n"/>
    </row>
    <row r="72" ht="15.75" customHeight="1" s="252">
      <c r="A72" s="26" t="n"/>
      <c r="B72" s="11" t="n"/>
      <c r="E72" s="11" t="n"/>
      <c r="F72" s="11" t="n"/>
      <c r="G72" s="11" t="n"/>
      <c r="H72" s="11" t="n"/>
      <c r="I72" s="14" t="n"/>
      <c r="K72" s="40" t="n"/>
    </row>
    <row r="73" ht="15.75" customHeight="1" s="252">
      <c r="A73" s="26" t="n"/>
      <c r="B73" s="11" t="n"/>
      <c r="E73" s="11" t="n"/>
      <c r="F73" s="11" t="n"/>
      <c r="G73" s="11" t="n"/>
      <c r="H73" s="11" t="n"/>
      <c r="I73" s="14" t="n"/>
      <c r="K73" s="40" t="n"/>
    </row>
    <row r="74" ht="15.75" customHeight="1" s="252">
      <c r="A74" s="26" t="n"/>
      <c r="B74" s="11" t="n"/>
      <c r="E74" s="11" t="n"/>
      <c r="F74" s="11" t="n"/>
      <c r="G74" s="11" t="n"/>
      <c r="H74" s="11" t="n"/>
      <c r="I74" s="14" t="n"/>
      <c r="K74" s="40" t="n"/>
    </row>
    <row r="75" ht="15.75" customHeight="1" s="252">
      <c r="A75" s="26" t="n"/>
      <c r="B75" s="11" t="n"/>
      <c r="E75" s="11" t="n"/>
      <c r="F75" s="11" t="n"/>
      <c r="G75" s="11" t="n"/>
      <c r="H75" s="11" t="n"/>
      <c r="I75" s="14" t="n"/>
      <c r="K75" s="40" t="n"/>
    </row>
    <row r="76" ht="15.75" customHeight="1" s="252">
      <c r="A76" s="26" t="n"/>
      <c r="B76" s="11" t="n"/>
      <c r="E76" s="11" t="n"/>
      <c r="F76" s="11" t="n"/>
      <c r="G76" s="11" t="n"/>
      <c r="H76" s="11" t="n"/>
      <c r="I76" s="14" t="n"/>
      <c r="K76" s="40" t="n"/>
    </row>
    <row r="77" ht="15.75" customHeight="1" s="252">
      <c r="A77" s="26" t="n"/>
      <c r="B77" s="11" t="n"/>
      <c r="E77" s="11" t="n"/>
      <c r="F77" s="11" t="n"/>
      <c r="G77" s="11" t="n"/>
      <c r="H77" s="11" t="n"/>
      <c r="I77" s="14" t="n"/>
      <c r="K77" s="40" t="n"/>
    </row>
    <row r="78" ht="15.75" customHeight="1" s="252">
      <c r="A78" s="26" t="n"/>
      <c r="B78" s="11" t="n"/>
      <c r="E78" s="11" t="n"/>
      <c r="F78" s="11" t="n"/>
      <c r="G78" s="11" t="n"/>
      <c r="H78" s="11" t="n"/>
      <c r="I78" s="14" t="n"/>
      <c r="K78" s="40" t="n"/>
    </row>
    <row r="79" ht="15.75" customHeight="1" s="252">
      <c r="A79" s="26" t="n"/>
      <c r="B79" s="11" t="n"/>
      <c r="E79" s="11" t="n"/>
      <c r="F79" s="11" t="n"/>
      <c r="G79" s="11" t="n"/>
      <c r="H79" s="11" t="n"/>
      <c r="I79" s="14" t="n"/>
      <c r="K79" s="40" t="n"/>
    </row>
    <row r="80" ht="15.75" customHeight="1" s="252">
      <c r="A80" s="26" t="n"/>
      <c r="B80" s="11" t="n"/>
      <c r="E80" s="11" t="n"/>
      <c r="F80" s="11" t="n"/>
      <c r="G80" s="11" t="n"/>
      <c r="H80" s="11" t="n"/>
      <c r="I80" s="14" t="n"/>
      <c r="K80" s="40" t="n"/>
    </row>
    <row r="81" ht="15.75" customHeight="1" s="252">
      <c r="A81" s="26" t="n"/>
      <c r="B81" s="11" t="n"/>
      <c r="E81" s="11" t="n"/>
      <c r="F81" s="11" t="n"/>
      <c r="G81" s="11" t="n"/>
      <c r="H81" s="11" t="n"/>
      <c r="I81" s="14" t="n"/>
      <c r="K81" s="40" t="n"/>
    </row>
    <row r="82" ht="15.75" customHeight="1" s="252">
      <c r="A82" s="26" t="n"/>
      <c r="B82" s="11" t="n"/>
      <c r="E82" s="11" t="n"/>
      <c r="F82" s="11" t="n"/>
      <c r="G82" s="11" t="n"/>
      <c r="H82" s="11" t="n"/>
      <c r="I82" s="14" t="n"/>
      <c r="K82" s="40" t="n"/>
    </row>
    <row r="83" ht="15.75" customHeight="1" s="252">
      <c r="A83" s="26" t="n"/>
      <c r="B83" s="11" t="n"/>
      <c r="E83" s="11" t="n"/>
      <c r="F83" s="11" t="n"/>
      <c r="G83" s="11" t="n"/>
      <c r="H83" s="11" t="n"/>
      <c r="I83" s="14" t="n"/>
      <c r="K83" s="40" t="n"/>
    </row>
    <row r="84" ht="15.75" customHeight="1" s="252">
      <c r="A84" s="26" t="n"/>
      <c r="B84" s="11" t="n"/>
      <c r="E84" s="11" t="n"/>
      <c r="F84" s="11" t="n"/>
      <c r="G84" s="11" t="n"/>
      <c r="H84" s="11" t="n"/>
      <c r="I84" s="14" t="n"/>
      <c r="K84" s="40" t="n"/>
    </row>
    <row r="85" ht="15.75" customHeight="1" s="252">
      <c r="A85" s="26" t="n"/>
      <c r="B85" s="11" t="n"/>
      <c r="E85" s="11" t="n"/>
      <c r="F85" s="11" t="n"/>
      <c r="G85" s="11" t="n"/>
      <c r="H85" s="11" t="n"/>
      <c r="I85" s="14" t="n"/>
      <c r="K85" s="40" t="n"/>
    </row>
    <row r="86" ht="15.75" customHeight="1" s="252">
      <c r="A86" s="26" t="n"/>
      <c r="B86" s="11" t="n"/>
      <c r="E86" s="11" t="n"/>
      <c r="F86" s="11" t="n"/>
      <c r="G86" s="11" t="n"/>
      <c r="H86" s="11" t="n"/>
      <c r="I86" s="14" t="n"/>
      <c r="K86" s="40" t="n"/>
    </row>
    <row r="87" ht="15.75" customHeight="1" s="252">
      <c r="A87" s="26" t="n"/>
      <c r="B87" s="11" t="n"/>
      <c r="E87" s="11" t="n"/>
      <c r="F87" s="11" t="n"/>
      <c r="G87" s="11" t="n"/>
      <c r="H87" s="11" t="n"/>
      <c r="I87" s="14" t="n"/>
      <c r="K87" s="40" t="n"/>
    </row>
    <row r="88" ht="15.75" customHeight="1" s="252">
      <c r="A88" s="26" t="n"/>
      <c r="B88" s="11" t="n"/>
      <c r="E88" s="11" t="n"/>
      <c r="F88" s="11" t="n"/>
      <c r="G88" s="11" t="n"/>
      <c r="H88" s="11" t="n"/>
      <c r="I88" s="14" t="n"/>
      <c r="K88" s="40" t="n"/>
    </row>
    <row r="89" ht="15.75" customHeight="1" s="252">
      <c r="A89" s="26" t="n"/>
      <c r="B89" s="11" t="n"/>
      <c r="E89" s="11" t="n"/>
      <c r="F89" s="11" t="n"/>
      <c r="G89" s="11" t="n"/>
      <c r="H89" s="11" t="n"/>
      <c r="I89" s="14" t="n"/>
      <c r="K89" s="40" t="n"/>
    </row>
    <row r="90" ht="15.75" customHeight="1" s="252">
      <c r="A90" s="26" t="n"/>
      <c r="B90" s="11" t="n"/>
      <c r="E90" s="11" t="n"/>
      <c r="F90" s="11" t="n"/>
      <c r="G90" s="11" t="n"/>
      <c r="H90" s="11" t="n"/>
      <c r="I90" s="14" t="n"/>
      <c r="K90" s="40" t="n"/>
    </row>
    <row r="91" ht="15.75" customHeight="1" s="252">
      <c r="A91" s="26" t="n"/>
      <c r="B91" s="11" t="n"/>
      <c r="E91" s="11" t="n"/>
      <c r="F91" s="11" t="n"/>
      <c r="G91" s="11" t="n"/>
      <c r="H91" s="11" t="n"/>
      <c r="I91" s="14" t="n"/>
      <c r="K91" s="40" t="n"/>
    </row>
    <row r="92" ht="15.75" customHeight="1" s="252">
      <c r="A92" s="26" t="n"/>
      <c r="B92" s="11" t="n"/>
      <c r="E92" s="11" t="n"/>
      <c r="F92" s="11" t="n"/>
      <c r="G92" s="11" t="n"/>
      <c r="H92" s="11" t="n"/>
      <c r="I92" s="14" t="n"/>
      <c r="K92" s="40" t="n"/>
    </row>
    <row r="93" ht="15.75" customHeight="1" s="252">
      <c r="A93" s="26" t="n"/>
      <c r="B93" s="11" t="n"/>
      <c r="E93" s="11" t="n"/>
      <c r="F93" s="11" t="n"/>
      <c r="G93" s="11" t="n"/>
      <c r="H93" s="11" t="n"/>
      <c r="I93" s="14" t="n"/>
      <c r="K93" s="40" t="n"/>
    </row>
    <row r="94" ht="15.75" customHeight="1" s="252">
      <c r="A94" s="26" t="n"/>
      <c r="B94" s="11" t="n"/>
      <c r="E94" s="11" t="n"/>
      <c r="F94" s="11" t="n"/>
      <c r="G94" s="11" t="n"/>
      <c r="H94" s="11" t="n"/>
      <c r="I94" s="14" t="n"/>
      <c r="K94" s="40" t="n"/>
    </row>
    <row r="95" ht="15.75" customHeight="1" s="252">
      <c r="A95" s="26" t="n"/>
      <c r="B95" s="11" t="n"/>
      <c r="E95" s="11" t="n"/>
      <c r="F95" s="11" t="n"/>
      <c r="G95" s="11" t="n"/>
      <c r="H95" s="11" t="n"/>
      <c r="I95" s="14" t="n"/>
      <c r="K95" s="40" t="n"/>
    </row>
    <row r="96" ht="15.75" customHeight="1" s="252">
      <c r="A96" s="26" t="n"/>
      <c r="B96" s="11" t="n"/>
      <c r="E96" s="11" t="n"/>
      <c r="F96" s="11" t="n"/>
      <c r="G96" s="11" t="n"/>
      <c r="H96" s="11" t="n"/>
      <c r="I96" s="14" t="n"/>
      <c r="K96" s="40" t="n"/>
    </row>
    <row r="97" ht="15.75" customHeight="1" s="252">
      <c r="A97" s="26" t="n"/>
      <c r="B97" s="11" t="n"/>
      <c r="E97" s="11" t="n"/>
      <c r="F97" s="11" t="n"/>
      <c r="G97" s="11" t="n"/>
      <c r="H97" s="11" t="n"/>
      <c r="I97" s="14" t="n"/>
      <c r="K97" s="40" t="n"/>
    </row>
    <row r="98" ht="15.75" customHeight="1" s="252">
      <c r="A98" s="26" t="n"/>
      <c r="B98" s="11" t="n"/>
      <c r="E98" s="11" t="n"/>
      <c r="F98" s="11" t="n"/>
      <c r="G98" s="11" t="n"/>
      <c r="H98" s="11" t="n"/>
      <c r="I98" s="14" t="n"/>
      <c r="K98" s="40" t="n"/>
    </row>
    <row r="99" ht="15.75" customHeight="1" s="252">
      <c r="A99" s="26" t="n"/>
      <c r="B99" s="11" t="n"/>
      <c r="E99" s="11" t="n"/>
      <c r="F99" s="11" t="n"/>
      <c r="G99" s="11" t="n"/>
      <c r="H99" s="11" t="n"/>
      <c r="I99" s="14" t="n"/>
      <c r="K99" s="40" t="n"/>
    </row>
    <row r="100" ht="15.75" customHeight="1" s="252">
      <c r="A100" s="26" t="n"/>
      <c r="B100" s="11" t="n"/>
      <c r="E100" s="11" t="n"/>
      <c r="F100" s="11" t="n"/>
      <c r="G100" s="11" t="n"/>
      <c r="H100" s="11" t="n"/>
      <c r="I100" s="14" t="n"/>
      <c r="K100" s="40" t="n"/>
    </row>
    <row r="101" ht="15.75" customHeight="1" s="252">
      <c r="A101" s="26" t="n"/>
      <c r="B101" s="11" t="n"/>
      <c r="E101" s="11" t="n"/>
      <c r="F101" s="11" t="n"/>
      <c r="G101" s="11" t="n"/>
      <c r="H101" s="11" t="n"/>
      <c r="I101" s="14" t="n"/>
      <c r="K101" s="40" t="n"/>
    </row>
    <row r="102" ht="15.75" customHeight="1" s="252">
      <c r="A102" s="26" t="n"/>
      <c r="B102" s="11" t="n"/>
      <c r="E102" s="11" t="n"/>
      <c r="F102" s="11" t="n"/>
      <c r="G102" s="11" t="n"/>
      <c r="H102" s="11" t="n"/>
      <c r="I102" s="14" t="n"/>
      <c r="K102" s="40" t="n"/>
    </row>
    <row r="103" ht="15.75" customHeight="1" s="252">
      <c r="A103" s="26" t="n"/>
      <c r="B103" s="11" t="n"/>
      <c r="E103" s="11" t="n"/>
      <c r="F103" s="11" t="n"/>
      <c r="G103" s="11" t="n"/>
      <c r="H103" s="11" t="n"/>
      <c r="I103" s="14" t="n"/>
      <c r="K103" s="40" t="n"/>
    </row>
    <row r="104" ht="15.75" customHeight="1" s="252">
      <c r="A104" s="26" t="n"/>
      <c r="B104" s="11" t="n"/>
      <c r="E104" s="11" t="n"/>
      <c r="F104" s="11" t="n"/>
      <c r="G104" s="11" t="n"/>
      <c r="H104" s="11" t="n"/>
      <c r="I104" s="14" t="n"/>
      <c r="K104" s="40" t="n"/>
    </row>
    <row r="105" ht="15.75" customHeight="1" s="252">
      <c r="A105" s="26" t="n"/>
      <c r="B105" s="11" t="n"/>
      <c r="E105" s="11" t="n"/>
      <c r="F105" s="11" t="n"/>
      <c r="G105" s="11" t="n"/>
      <c r="H105" s="11" t="n"/>
      <c r="I105" s="14" t="n"/>
      <c r="K105" s="40" t="n"/>
    </row>
    <row r="106" ht="15.75" customHeight="1" s="252">
      <c r="A106" s="26" t="n"/>
      <c r="B106" s="11" t="n"/>
      <c r="E106" s="11" t="n"/>
      <c r="F106" s="11" t="n"/>
      <c r="G106" s="11" t="n"/>
      <c r="H106" s="11" t="n"/>
      <c r="I106" s="14" t="n"/>
      <c r="K106" s="40" t="n"/>
    </row>
    <row r="107" ht="15.75" customHeight="1" s="252">
      <c r="A107" s="26" t="n"/>
      <c r="B107" s="11" t="n"/>
      <c r="E107" s="11" t="n"/>
      <c r="F107" s="11" t="n"/>
      <c r="G107" s="11" t="n"/>
      <c r="H107" s="11" t="n"/>
      <c r="I107" s="14" t="n"/>
      <c r="K107" s="40" t="n"/>
    </row>
    <row r="108" ht="15.75" customHeight="1" s="252">
      <c r="A108" s="26" t="n"/>
      <c r="B108" s="11" t="n"/>
      <c r="E108" s="11" t="n"/>
      <c r="F108" s="11" t="n"/>
      <c r="G108" s="11" t="n"/>
      <c r="H108" s="11" t="n"/>
      <c r="I108" s="14" t="n"/>
      <c r="K108" s="40" t="n"/>
    </row>
    <row r="109" ht="15.75" customHeight="1" s="252">
      <c r="A109" s="26" t="n"/>
      <c r="B109" s="11" t="n"/>
      <c r="E109" s="11" t="n"/>
      <c r="F109" s="11" t="n"/>
      <c r="G109" s="11" t="n"/>
      <c r="H109" s="11" t="n"/>
      <c r="I109" s="14" t="n"/>
      <c r="K109" s="40" t="n"/>
    </row>
    <row r="110" ht="15.75" customHeight="1" s="252">
      <c r="A110" s="26" t="n"/>
      <c r="B110" s="11" t="n"/>
      <c r="E110" s="11" t="n"/>
      <c r="F110" s="11" t="n"/>
      <c r="G110" s="11" t="n"/>
      <c r="H110" s="11" t="n"/>
      <c r="I110" s="14" t="n"/>
      <c r="K110" s="40" t="n"/>
    </row>
    <row r="111" ht="15.75" customHeight="1" s="252">
      <c r="A111" s="26" t="n"/>
      <c r="B111" s="11" t="n"/>
      <c r="E111" s="11" t="n"/>
      <c r="F111" s="11" t="n"/>
      <c r="G111" s="11" t="n"/>
      <c r="H111" s="11" t="n"/>
      <c r="I111" s="14" t="n"/>
      <c r="K111" s="40" t="n"/>
    </row>
    <row r="112" ht="15.75" customHeight="1" s="252">
      <c r="A112" s="26" t="n"/>
      <c r="B112" s="11" t="n"/>
      <c r="E112" s="11" t="n"/>
      <c r="F112" s="11" t="n"/>
      <c r="G112" s="11" t="n"/>
      <c r="H112" s="11" t="n"/>
      <c r="I112" s="14" t="n"/>
      <c r="K112" s="40" t="n"/>
    </row>
    <row r="113" ht="15.75" customHeight="1" s="252">
      <c r="A113" s="26" t="n"/>
      <c r="B113" s="11" t="n"/>
      <c r="E113" s="11" t="n"/>
      <c r="F113" s="11" t="n"/>
      <c r="G113" s="11" t="n"/>
      <c r="H113" s="11" t="n"/>
      <c r="I113" s="14" t="n"/>
      <c r="K113" s="40" t="n"/>
    </row>
    <row r="114" ht="15.75" customHeight="1" s="252">
      <c r="A114" s="26" t="n"/>
      <c r="B114" s="11" t="n"/>
      <c r="E114" s="11" t="n"/>
      <c r="F114" s="11" t="n"/>
      <c r="G114" s="11" t="n"/>
      <c r="H114" s="11" t="n"/>
      <c r="I114" s="14" t="n"/>
      <c r="K114" s="40" t="n"/>
    </row>
    <row r="115" ht="15.75" customHeight="1" s="252">
      <c r="A115" s="26" t="n"/>
      <c r="B115" s="11" t="n"/>
      <c r="E115" s="11" t="n"/>
      <c r="F115" s="11" t="n"/>
      <c r="G115" s="11" t="n"/>
      <c r="H115" s="11" t="n"/>
      <c r="I115" s="14" t="n"/>
      <c r="K115" s="40" t="n"/>
    </row>
    <row r="116" ht="15.75" customHeight="1" s="252">
      <c r="A116" s="26" t="n"/>
      <c r="B116" s="11" t="n"/>
      <c r="E116" s="11" t="n"/>
      <c r="F116" s="11" t="n"/>
      <c r="G116" s="11" t="n"/>
      <c r="H116" s="11" t="n"/>
      <c r="I116" s="14" t="n"/>
      <c r="K116" s="40" t="n"/>
    </row>
    <row r="117" ht="15.75" customHeight="1" s="252">
      <c r="A117" s="26" t="n"/>
      <c r="B117" s="11" t="n"/>
      <c r="E117" s="11" t="n"/>
      <c r="F117" s="11" t="n"/>
      <c r="G117" s="11" t="n"/>
      <c r="H117" s="11" t="n"/>
      <c r="I117" s="14" t="n"/>
      <c r="K117" s="40" t="n"/>
    </row>
    <row r="118" ht="15.75" customHeight="1" s="252">
      <c r="A118" s="26" t="n"/>
      <c r="B118" s="11" t="n"/>
      <c r="E118" s="11" t="n"/>
      <c r="F118" s="11" t="n"/>
      <c r="G118" s="11" t="n"/>
      <c r="H118" s="11" t="n"/>
      <c r="I118" s="14" t="n"/>
      <c r="K118" s="40" t="n"/>
    </row>
    <row r="119" ht="15.75" customHeight="1" s="252">
      <c r="A119" s="26" t="n"/>
      <c r="B119" s="11" t="n"/>
      <c r="E119" s="11" t="n"/>
      <c r="F119" s="11" t="n"/>
      <c r="G119" s="11" t="n"/>
      <c r="H119" s="11" t="n"/>
      <c r="I119" s="14" t="n"/>
      <c r="K119" s="40" t="n"/>
    </row>
    <row r="120" ht="15.75" customHeight="1" s="252">
      <c r="A120" s="26" t="n"/>
      <c r="B120" s="11" t="n"/>
      <c r="E120" s="11" t="n"/>
      <c r="F120" s="11" t="n"/>
      <c r="G120" s="11" t="n"/>
      <c r="H120" s="11" t="n"/>
      <c r="I120" s="14" t="n"/>
      <c r="K120" s="40" t="n"/>
    </row>
    <row r="121" ht="15.75" customHeight="1" s="252">
      <c r="A121" s="26" t="n"/>
      <c r="B121" s="11" t="n"/>
      <c r="E121" s="11" t="n"/>
      <c r="F121" s="11" t="n"/>
      <c r="G121" s="11" t="n"/>
      <c r="H121" s="11" t="n"/>
      <c r="I121" s="14" t="n"/>
      <c r="K121" s="40" t="n"/>
    </row>
    <row r="122" ht="15.75" customHeight="1" s="252">
      <c r="A122" s="26" t="n"/>
      <c r="B122" s="11" t="n"/>
      <c r="E122" s="11" t="n"/>
      <c r="F122" s="11" t="n"/>
      <c r="G122" s="11" t="n"/>
      <c r="H122" s="11" t="n"/>
      <c r="I122" s="14" t="n"/>
      <c r="K122" s="40" t="n"/>
    </row>
    <row r="123" ht="15.75" customHeight="1" s="252">
      <c r="A123" s="26" t="n"/>
      <c r="B123" s="11" t="n"/>
      <c r="E123" s="11" t="n"/>
      <c r="F123" s="11" t="n"/>
      <c r="G123" s="11" t="n"/>
      <c r="H123" s="11" t="n"/>
      <c r="I123" s="14" t="n"/>
      <c r="K123" s="40" t="n"/>
    </row>
    <row r="124" ht="15.75" customHeight="1" s="252">
      <c r="A124" s="26" t="n"/>
      <c r="B124" s="11" t="n"/>
      <c r="E124" s="11" t="n"/>
      <c r="F124" s="11" t="n"/>
      <c r="G124" s="11" t="n"/>
      <c r="H124" s="11" t="n"/>
      <c r="I124" s="14" t="n"/>
      <c r="K124" s="40" t="n"/>
    </row>
    <row r="125" ht="15.75" customHeight="1" s="252">
      <c r="A125" s="26" t="n"/>
      <c r="B125" s="11" t="n"/>
      <c r="E125" s="11" t="n"/>
      <c r="F125" s="11" t="n"/>
      <c r="G125" s="11" t="n"/>
      <c r="H125" s="11" t="n"/>
      <c r="I125" s="14" t="n"/>
      <c r="K125" s="40" t="n"/>
    </row>
    <row r="126" ht="15.75" customHeight="1" s="252">
      <c r="A126" s="26" t="n"/>
      <c r="B126" s="11" t="n"/>
      <c r="E126" s="11" t="n"/>
      <c r="F126" s="11" t="n"/>
      <c r="G126" s="11" t="n"/>
      <c r="H126" s="11" t="n"/>
      <c r="I126" s="14" t="n"/>
      <c r="K126" s="40" t="n"/>
    </row>
    <row r="127" ht="15.75" customHeight="1" s="252">
      <c r="A127" s="26" t="n"/>
      <c r="B127" s="11" t="n"/>
      <c r="E127" s="11" t="n"/>
      <c r="F127" s="11" t="n"/>
      <c r="G127" s="11" t="n"/>
      <c r="H127" s="11" t="n"/>
      <c r="I127" s="14" t="n"/>
      <c r="K127" s="40" t="n"/>
    </row>
    <row r="128" ht="15.75" customHeight="1" s="252">
      <c r="A128" s="26" t="n"/>
      <c r="B128" s="11" t="n"/>
      <c r="E128" s="11" t="n"/>
      <c r="F128" s="11" t="n"/>
      <c r="G128" s="11" t="n"/>
      <c r="H128" s="11" t="n"/>
      <c r="I128" s="14" t="n"/>
      <c r="K128" s="40" t="n"/>
    </row>
    <row r="129" ht="15.75" customHeight="1" s="252">
      <c r="A129" s="26" t="n"/>
      <c r="B129" s="11" t="n"/>
      <c r="E129" s="11" t="n"/>
      <c r="F129" s="11" t="n"/>
      <c r="G129" s="11" t="n"/>
      <c r="H129" s="11" t="n"/>
      <c r="I129" s="14" t="n"/>
      <c r="K129" s="40" t="n"/>
    </row>
    <row r="130" ht="15.75" customHeight="1" s="252">
      <c r="A130" s="26" t="n"/>
      <c r="B130" s="11" t="n"/>
      <c r="E130" s="11" t="n"/>
      <c r="F130" s="11" t="n"/>
      <c r="G130" s="11" t="n"/>
      <c r="H130" s="11" t="n"/>
      <c r="I130" s="14" t="n"/>
      <c r="K130" s="40" t="n"/>
    </row>
    <row r="131" ht="15.75" customHeight="1" s="252">
      <c r="A131" s="26" t="n"/>
      <c r="B131" s="11" t="n"/>
      <c r="E131" s="11" t="n"/>
      <c r="F131" s="11" t="n"/>
      <c r="G131" s="11" t="n"/>
      <c r="H131" s="11" t="n"/>
      <c r="I131" s="14" t="n"/>
      <c r="K131" s="40" t="n"/>
    </row>
    <row r="132" ht="15.75" customHeight="1" s="252">
      <c r="A132" s="26" t="n"/>
      <c r="B132" s="11" t="n"/>
      <c r="E132" s="11" t="n"/>
      <c r="F132" s="11" t="n"/>
      <c r="G132" s="11" t="n"/>
      <c r="H132" s="11" t="n"/>
      <c r="I132" s="14" t="n"/>
      <c r="K132" s="40" t="n"/>
    </row>
    <row r="133" ht="15.75" customHeight="1" s="252">
      <c r="A133" s="26" t="n"/>
      <c r="B133" s="11" t="n"/>
      <c r="E133" s="11" t="n"/>
      <c r="F133" s="11" t="n"/>
      <c r="G133" s="11" t="n"/>
      <c r="H133" s="11" t="n"/>
      <c r="I133" s="14" t="n"/>
      <c r="K133" s="40" t="n"/>
    </row>
    <row r="134" ht="15.75" customHeight="1" s="252">
      <c r="A134" s="26" t="n"/>
      <c r="B134" s="11" t="n"/>
      <c r="E134" s="11" t="n"/>
      <c r="F134" s="11" t="n"/>
      <c r="G134" s="11" t="n"/>
      <c r="H134" s="11" t="n"/>
      <c r="I134" s="14" t="n"/>
      <c r="K134" s="40" t="n"/>
    </row>
    <row r="135" ht="15.75" customHeight="1" s="252">
      <c r="A135" s="26" t="n"/>
      <c r="B135" s="11" t="n"/>
      <c r="E135" s="11" t="n"/>
      <c r="F135" s="11" t="n"/>
      <c r="G135" s="11" t="n"/>
      <c r="H135" s="11" t="n"/>
      <c r="I135" s="14" t="n"/>
      <c r="K135" s="40" t="n"/>
    </row>
    <row r="136" ht="15.75" customHeight="1" s="252">
      <c r="A136" s="26" t="n"/>
      <c r="B136" s="11" t="n"/>
      <c r="E136" s="11" t="n"/>
      <c r="F136" s="11" t="n"/>
      <c r="G136" s="11" t="n"/>
      <c r="H136" s="11" t="n"/>
      <c r="I136" s="14" t="n"/>
      <c r="K136" s="40" t="n"/>
    </row>
    <row r="137" ht="15.75" customHeight="1" s="252">
      <c r="A137" s="26" t="n"/>
      <c r="B137" s="11" t="n"/>
      <c r="E137" s="11" t="n"/>
      <c r="F137" s="11" t="n"/>
      <c r="G137" s="11" t="n"/>
      <c r="H137" s="11" t="n"/>
      <c r="I137" s="14" t="n"/>
      <c r="K137" s="40" t="n"/>
    </row>
    <row r="138" ht="15.75" customHeight="1" s="252">
      <c r="A138" s="26" t="n"/>
      <c r="B138" s="11" t="n"/>
      <c r="E138" s="11" t="n"/>
      <c r="F138" s="11" t="n"/>
      <c r="G138" s="11" t="n"/>
      <c r="H138" s="11" t="n"/>
      <c r="I138" s="14" t="n"/>
      <c r="K138" s="40" t="n"/>
    </row>
    <row r="139" ht="15.75" customHeight="1" s="252">
      <c r="A139" s="26" t="n"/>
      <c r="B139" s="11" t="n"/>
      <c r="E139" s="11" t="n"/>
      <c r="F139" s="11" t="n"/>
      <c r="G139" s="11" t="n"/>
      <c r="H139" s="11" t="n"/>
      <c r="I139" s="14" t="n"/>
      <c r="K139" s="40" t="n"/>
    </row>
    <row r="140" ht="15.75" customHeight="1" s="252">
      <c r="A140" s="26" t="n"/>
      <c r="B140" s="11" t="n"/>
      <c r="E140" s="11" t="n"/>
      <c r="F140" s="11" t="n"/>
      <c r="G140" s="11" t="n"/>
      <c r="H140" s="11" t="n"/>
      <c r="I140" s="14" t="n"/>
      <c r="K140" s="40" t="n"/>
    </row>
    <row r="141" ht="15.75" customHeight="1" s="252">
      <c r="A141" s="26" t="n"/>
      <c r="B141" s="11" t="n"/>
      <c r="E141" s="11" t="n"/>
      <c r="F141" s="11" t="n"/>
      <c r="G141" s="11" t="n"/>
      <c r="H141" s="11" t="n"/>
      <c r="I141" s="14" t="n"/>
      <c r="K141" s="40" t="n"/>
    </row>
    <row r="142" ht="15.75" customHeight="1" s="252">
      <c r="A142" s="26" t="n"/>
      <c r="B142" s="11" t="n"/>
      <c r="E142" s="11" t="n"/>
      <c r="F142" s="11" t="n"/>
      <c r="G142" s="11" t="n"/>
      <c r="H142" s="11" t="n"/>
      <c r="I142" s="14" t="n"/>
      <c r="K142" s="40" t="n"/>
    </row>
    <row r="143" ht="15.75" customHeight="1" s="252">
      <c r="A143" s="26" t="n"/>
      <c r="B143" s="11" t="n"/>
      <c r="E143" s="11" t="n"/>
      <c r="F143" s="11" t="n"/>
      <c r="G143" s="11" t="n"/>
      <c r="H143" s="11" t="n"/>
      <c r="I143" s="14" t="n"/>
      <c r="K143" s="40" t="n"/>
    </row>
    <row r="144" ht="15.75" customHeight="1" s="252">
      <c r="A144" s="26" t="n"/>
      <c r="B144" s="11" t="n"/>
      <c r="E144" s="11" t="n"/>
      <c r="F144" s="11" t="n"/>
      <c r="G144" s="11" t="n"/>
      <c r="H144" s="11" t="n"/>
      <c r="I144" s="14" t="n"/>
      <c r="K144" s="40" t="n"/>
    </row>
    <row r="145" ht="15.75" customHeight="1" s="252">
      <c r="A145" s="26" t="n"/>
      <c r="B145" s="11" t="n"/>
      <c r="E145" s="11" t="n"/>
      <c r="F145" s="11" t="n"/>
      <c r="G145" s="11" t="n"/>
      <c r="H145" s="11" t="n"/>
      <c r="I145" s="14" t="n"/>
      <c r="K145" s="40" t="n"/>
    </row>
    <row r="146" ht="15.75" customHeight="1" s="252">
      <c r="A146" s="26" t="n"/>
      <c r="B146" s="11" t="n"/>
      <c r="E146" s="11" t="n"/>
      <c r="F146" s="11" t="n"/>
      <c r="G146" s="11" t="n"/>
      <c r="H146" s="11" t="n"/>
      <c r="I146" s="14" t="n"/>
      <c r="K146" s="40" t="n"/>
    </row>
    <row r="147" ht="15.75" customHeight="1" s="252">
      <c r="A147" s="26" t="n"/>
      <c r="B147" s="11" t="n"/>
      <c r="E147" s="11" t="n"/>
      <c r="F147" s="11" t="n"/>
      <c r="G147" s="11" t="n"/>
      <c r="H147" s="11" t="n"/>
      <c r="I147" s="14" t="n"/>
      <c r="K147" s="40" t="n"/>
    </row>
    <row r="148" ht="15.75" customHeight="1" s="252">
      <c r="A148" s="26" t="n"/>
      <c r="B148" s="11" t="n"/>
      <c r="E148" s="11" t="n"/>
      <c r="F148" s="11" t="n"/>
      <c r="G148" s="11" t="n"/>
      <c r="H148" s="11" t="n"/>
      <c r="I148" s="14" t="n"/>
      <c r="K148" s="40" t="n"/>
    </row>
    <row r="149" ht="15.75" customHeight="1" s="252">
      <c r="A149" s="26" t="n"/>
      <c r="B149" s="11" t="n"/>
      <c r="E149" s="11" t="n"/>
      <c r="F149" s="11" t="n"/>
      <c r="G149" s="11" t="n"/>
      <c r="H149" s="11" t="n"/>
      <c r="I149" s="14" t="n"/>
      <c r="K149" s="40" t="n"/>
    </row>
    <row r="150" ht="15.75" customHeight="1" s="252">
      <c r="A150" s="26" t="n"/>
      <c r="B150" s="11" t="n"/>
      <c r="E150" s="11" t="n"/>
      <c r="F150" s="11" t="n"/>
      <c r="G150" s="11" t="n"/>
      <c r="H150" s="11" t="n"/>
      <c r="I150" s="14" t="n"/>
      <c r="K150" s="40" t="n"/>
    </row>
    <row r="151" ht="15.75" customHeight="1" s="252">
      <c r="A151" s="26" t="n"/>
      <c r="B151" s="11" t="n"/>
      <c r="E151" s="11" t="n"/>
      <c r="F151" s="11" t="n"/>
      <c r="G151" s="11" t="n"/>
      <c r="H151" s="11" t="n"/>
      <c r="I151" s="14" t="n"/>
      <c r="K151" s="40" t="n"/>
    </row>
    <row r="152" ht="15.75" customHeight="1" s="252">
      <c r="A152" s="26" t="n"/>
      <c r="B152" s="11" t="n"/>
      <c r="E152" s="11" t="n"/>
      <c r="F152" s="11" t="n"/>
      <c r="G152" s="11" t="n"/>
      <c r="H152" s="11" t="n"/>
      <c r="I152" s="14" t="n"/>
      <c r="K152" s="40" t="n"/>
    </row>
    <row r="153" ht="15.75" customHeight="1" s="252">
      <c r="A153" s="26" t="n"/>
      <c r="B153" s="11" t="n"/>
      <c r="E153" s="11" t="n"/>
      <c r="F153" s="11" t="n"/>
      <c r="G153" s="11" t="n"/>
      <c r="H153" s="11" t="n"/>
      <c r="I153" s="14" t="n"/>
      <c r="K153" s="40" t="n"/>
    </row>
    <row r="154" ht="15.75" customHeight="1" s="252">
      <c r="A154" s="26" t="n"/>
      <c r="B154" s="11" t="n"/>
      <c r="E154" s="11" t="n"/>
      <c r="F154" s="11" t="n"/>
      <c r="G154" s="11" t="n"/>
      <c r="H154" s="11" t="n"/>
      <c r="I154" s="14" t="n"/>
      <c r="K154" s="40" t="n"/>
    </row>
    <row r="155" ht="15.75" customHeight="1" s="252">
      <c r="A155" s="26" t="n"/>
      <c r="B155" s="11" t="n"/>
      <c r="E155" s="11" t="n"/>
      <c r="F155" s="11" t="n"/>
      <c r="G155" s="11" t="n"/>
      <c r="H155" s="11" t="n"/>
      <c r="I155" s="14" t="n"/>
      <c r="K155" s="40" t="n"/>
    </row>
    <row r="156" ht="15.75" customHeight="1" s="252">
      <c r="A156" s="26" t="n"/>
      <c r="B156" s="11" t="n"/>
      <c r="E156" s="11" t="n"/>
      <c r="F156" s="11" t="n"/>
      <c r="G156" s="11" t="n"/>
      <c r="H156" s="11" t="n"/>
      <c r="I156" s="14" t="n"/>
      <c r="K156" s="40" t="n"/>
    </row>
    <row r="157" ht="15.75" customHeight="1" s="252">
      <c r="A157" s="26" t="n"/>
      <c r="B157" s="11" t="n"/>
      <c r="E157" s="11" t="n"/>
      <c r="F157" s="11" t="n"/>
      <c r="G157" s="11" t="n"/>
      <c r="H157" s="11" t="n"/>
      <c r="I157" s="14" t="n"/>
      <c r="K157" s="40" t="n"/>
    </row>
    <row r="158" ht="15.75" customHeight="1" s="252">
      <c r="A158" s="26" t="n"/>
      <c r="B158" s="11" t="n"/>
      <c r="E158" s="11" t="n"/>
      <c r="F158" s="11" t="n"/>
      <c r="G158" s="11" t="n"/>
      <c r="H158" s="11" t="n"/>
      <c r="I158" s="14" t="n"/>
      <c r="K158" s="40" t="n"/>
    </row>
    <row r="159" ht="15.75" customHeight="1" s="252">
      <c r="A159" s="26" t="n"/>
      <c r="B159" s="11" t="n"/>
      <c r="E159" s="11" t="n"/>
      <c r="F159" s="11" t="n"/>
      <c r="G159" s="11" t="n"/>
      <c r="H159" s="11" t="n"/>
      <c r="I159" s="14" t="n"/>
      <c r="K159" s="40" t="n"/>
    </row>
    <row r="160" ht="15.75" customHeight="1" s="252">
      <c r="A160" s="26" t="n"/>
      <c r="B160" s="11" t="n"/>
      <c r="E160" s="11" t="n"/>
      <c r="F160" s="11" t="n"/>
      <c r="G160" s="11" t="n"/>
      <c r="H160" s="11" t="n"/>
      <c r="I160" s="14" t="n"/>
      <c r="K160" s="40" t="n"/>
    </row>
    <row r="161" ht="15.75" customHeight="1" s="252">
      <c r="A161" s="26" t="n"/>
      <c r="B161" s="11" t="n"/>
      <c r="E161" s="11" t="n"/>
      <c r="F161" s="11" t="n"/>
      <c r="G161" s="11" t="n"/>
      <c r="H161" s="11" t="n"/>
      <c r="I161" s="14" t="n"/>
      <c r="K161" s="40" t="n"/>
    </row>
    <row r="162" ht="15.75" customHeight="1" s="252">
      <c r="A162" s="26" t="n"/>
      <c r="B162" s="11" t="n"/>
      <c r="E162" s="11" t="n"/>
      <c r="F162" s="11" t="n"/>
      <c r="G162" s="11" t="n"/>
      <c r="H162" s="11" t="n"/>
      <c r="I162" s="14" t="n"/>
      <c r="K162" s="40" t="n"/>
    </row>
    <row r="163" ht="15.75" customHeight="1" s="252">
      <c r="A163" s="26" t="n"/>
      <c r="B163" s="11" t="n"/>
      <c r="E163" s="11" t="n"/>
      <c r="F163" s="11" t="n"/>
      <c r="G163" s="11" t="n"/>
      <c r="H163" s="11" t="n"/>
      <c r="I163" s="14" t="n"/>
      <c r="K163" s="40" t="n"/>
    </row>
    <row r="164" ht="15.75" customHeight="1" s="252">
      <c r="A164" s="26" t="n"/>
      <c r="B164" s="11" t="n"/>
      <c r="E164" s="11" t="n"/>
      <c r="F164" s="11" t="n"/>
      <c r="G164" s="11" t="n"/>
      <c r="H164" s="11" t="n"/>
      <c r="I164" s="14" t="n"/>
      <c r="K164" s="40" t="n"/>
    </row>
    <row r="165" ht="15.75" customHeight="1" s="252">
      <c r="A165" s="26" t="n"/>
      <c r="B165" s="11" t="n"/>
      <c r="E165" s="11" t="n"/>
      <c r="F165" s="11" t="n"/>
      <c r="G165" s="11" t="n"/>
      <c r="H165" s="11" t="n"/>
      <c r="I165" s="14" t="n"/>
      <c r="K165" s="40" t="n"/>
    </row>
    <row r="166" ht="15.75" customHeight="1" s="252">
      <c r="A166" s="26" t="n"/>
      <c r="B166" s="11" t="n"/>
      <c r="E166" s="11" t="n"/>
      <c r="F166" s="11" t="n"/>
      <c r="G166" s="11" t="n"/>
      <c r="H166" s="11" t="n"/>
      <c r="I166" s="14" t="n"/>
      <c r="K166" s="40" t="n"/>
    </row>
    <row r="167" ht="15.75" customHeight="1" s="252">
      <c r="A167" s="26" t="n"/>
      <c r="B167" s="11" t="n"/>
      <c r="E167" s="11" t="n"/>
      <c r="F167" s="11" t="n"/>
      <c r="G167" s="11" t="n"/>
      <c r="H167" s="11" t="n"/>
      <c r="I167" s="14" t="n"/>
      <c r="K167" s="40" t="n"/>
    </row>
    <row r="168" ht="15.75" customHeight="1" s="252">
      <c r="A168" s="26" t="n"/>
      <c r="B168" s="11" t="n"/>
      <c r="E168" s="11" t="n"/>
      <c r="F168" s="11" t="n"/>
      <c r="G168" s="11" t="n"/>
      <c r="H168" s="11" t="n"/>
      <c r="I168" s="14" t="n"/>
      <c r="K168" s="40" t="n"/>
    </row>
    <row r="169" ht="15.75" customHeight="1" s="252">
      <c r="A169" s="26" t="n"/>
      <c r="B169" s="11" t="n"/>
      <c r="E169" s="11" t="n"/>
      <c r="F169" s="11" t="n"/>
      <c r="G169" s="11" t="n"/>
      <c r="H169" s="11" t="n"/>
      <c r="I169" s="14" t="n"/>
      <c r="K169" s="40" t="n"/>
    </row>
    <row r="170" ht="15.75" customHeight="1" s="252">
      <c r="A170" s="26" t="n"/>
      <c r="B170" s="11" t="n"/>
      <c r="E170" s="11" t="n"/>
      <c r="F170" s="11" t="n"/>
      <c r="G170" s="11" t="n"/>
      <c r="H170" s="11" t="n"/>
      <c r="I170" s="14" t="n"/>
      <c r="K170" s="40" t="n"/>
    </row>
    <row r="171" ht="15.75" customHeight="1" s="252">
      <c r="A171" s="26" t="n"/>
      <c r="B171" s="11" t="n"/>
      <c r="E171" s="11" t="n"/>
      <c r="F171" s="11" t="n"/>
      <c r="G171" s="11" t="n"/>
      <c r="H171" s="11" t="n"/>
      <c r="I171" s="14" t="n"/>
      <c r="K171" s="40" t="n"/>
    </row>
    <row r="172" ht="15.75" customHeight="1" s="252">
      <c r="A172" s="26" t="n"/>
      <c r="B172" s="11" t="n"/>
      <c r="E172" s="11" t="n"/>
      <c r="F172" s="11" t="n"/>
      <c r="G172" s="11" t="n"/>
      <c r="H172" s="11" t="n"/>
      <c r="I172" s="14" t="n"/>
      <c r="K172" s="40" t="n"/>
    </row>
    <row r="173" ht="15.75" customHeight="1" s="252">
      <c r="A173" s="26" t="n"/>
      <c r="B173" s="11" t="n"/>
      <c r="E173" s="11" t="n"/>
      <c r="F173" s="11" t="n"/>
      <c r="G173" s="11" t="n"/>
      <c r="H173" s="11" t="n"/>
      <c r="I173" s="14" t="n"/>
      <c r="K173" s="40" t="n"/>
    </row>
    <row r="174" ht="15.75" customHeight="1" s="252">
      <c r="A174" s="26" t="n"/>
      <c r="B174" s="11" t="n"/>
      <c r="E174" s="11" t="n"/>
      <c r="F174" s="11" t="n"/>
      <c r="G174" s="11" t="n"/>
      <c r="H174" s="11" t="n"/>
      <c r="I174" s="14" t="n"/>
      <c r="K174" s="40" t="n"/>
    </row>
    <row r="175" ht="15.75" customHeight="1" s="252">
      <c r="A175" s="26" t="n"/>
      <c r="B175" s="11" t="n"/>
      <c r="E175" s="11" t="n"/>
      <c r="F175" s="11" t="n"/>
      <c r="G175" s="11" t="n"/>
      <c r="H175" s="11" t="n"/>
      <c r="I175" s="14" t="n"/>
      <c r="K175" s="40" t="n"/>
    </row>
    <row r="176" ht="15.75" customHeight="1" s="252">
      <c r="A176" s="26" t="n"/>
      <c r="B176" s="11" t="n"/>
      <c r="E176" s="11" t="n"/>
      <c r="F176" s="11" t="n"/>
      <c r="G176" s="11" t="n"/>
      <c r="H176" s="11" t="n"/>
      <c r="I176" s="14" t="n"/>
      <c r="K176" s="40" t="n"/>
    </row>
    <row r="177" ht="15.75" customHeight="1" s="252">
      <c r="A177" s="26" t="n"/>
      <c r="B177" s="11" t="n"/>
      <c r="E177" s="11" t="n"/>
      <c r="F177" s="11" t="n"/>
      <c r="G177" s="11" t="n"/>
      <c r="H177" s="11" t="n"/>
      <c r="I177" s="14" t="n"/>
      <c r="K177" s="40" t="n"/>
    </row>
    <row r="178" ht="15.75" customHeight="1" s="252">
      <c r="A178" s="26" t="n"/>
      <c r="B178" s="11" t="n"/>
      <c r="E178" s="11" t="n"/>
      <c r="F178" s="11" t="n"/>
      <c r="G178" s="11" t="n"/>
      <c r="H178" s="11" t="n"/>
      <c r="I178" s="14" t="n"/>
      <c r="K178" s="40" t="n"/>
    </row>
    <row r="179" ht="15.75" customHeight="1" s="252">
      <c r="A179" s="26" t="n"/>
      <c r="B179" s="11" t="n"/>
      <c r="E179" s="11" t="n"/>
      <c r="F179" s="11" t="n"/>
      <c r="G179" s="11" t="n"/>
      <c r="H179" s="11" t="n"/>
      <c r="I179" s="14" t="n"/>
      <c r="K179" s="40" t="n"/>
    </row>
    <row r="180" ht="15.75" customHeight="1" s="252">
      <c r="A180" s="26" t="n"/>
      <c r="B180" s="11" t="n"/>
      <c r="E180" s="11" t="n"/>
      <c r="F180" s="11" t="n"/>
      <c r="G180" s="11" t="n"/>
      <c r="H180" s="11" t="n"/>
      <c r="I180" s="14" t="n"/>
      <c r="K180" s="40" t="n"/>
    </row>
    <row r="181" ht="15.75" customHeight="1" s="252">
      <c r="A181" s="26" t="n"/>
      <c r="B181" s="11" t="n"/>
      <c r="E181" s="11" t="n"/>
      <c r="F181" s="11" t="n"/>
      <c r="G181" s="11" t="n"/>
      <c r="H181" s="11" t="n"/>
      <c r="I181" s="14" t="n"/>
      <c r="K181" s="40" t="n"/>
    </row>
    <row r="182" ht="15.75" customHeight="1" s="252">
      <c r="A182" s="26" t="n"/>
      <c r="B182" s="11" t="n"/>
      <c r="E182" s="11" t="n"/>
      <c r="F182" s="11" t="n"/>
      <c r="G182" s="11" t="n"/>
      <c r="H182" s="11" t="n"/>
      <c r="I182" s="14" t="n"/>
      <c r="K182" s="40" t="n"/>
    </row>
    <row r="183" ht="15.75" customHeight="1" s="252">
      <c r="A183" s="26" t="n"/>
      <c r="B183" s="11" t="n"/>
      <c r="E183" s="11" t="n"/>
      <c r="F183" s="11" t="n"/>
      <c r="G183" s="11" t="n"/>
      <c r="H183" s="11" t="n"/>
      <c r="I183" s="14" t="n"/>
      <c r="K183" s="40" t="n"/>
    </row>
    <row r="184" ht="15.75" customHeight="1" s="252">
      <c r="A184" s="26" t="n"/>
      <c r="B184" s="11" t="n"/>
      <c r="E184" s="11" t="n"/>
      <c r="F184" s="11" t="n"/>
      <c r="G184" s="11" t="n"/>
      <c r="H184" s="11" t="n"/>
      <c r="I184" s="14" t="n"/>
      <c r="K184" s="40" t="n"/>
    </row>
    <row r="185" ht="15.75" customHeight="1" s="252">
      <c r="A185" s="26" t="n"/>
      <c r="B185" s="11" t="n"/>
      <c r="E185" s="11" t="n"/>
      <c r="F185" s="11" t="n"/>
      <c r="G185" s="11" t="n"/>
      <c r="H185" s="11" t="n"/>
      <c r="I185" s="14" t="n"/>
      <c r="K185" s="40" t="n"/>
    </row>
    <row r="186" ht="15.75" customHeight="1" s="252">
      <c r="A186" s="26" t="n"/>
      <c r="B186" s="11" t="n"/>
      <c r="E186" s="11" t="n"/>
      <c r="F186" s="11" t="n"/>
      <c r="G186" s="11" t="n"/>
      <c r="H186" s="11" t="n"/>
      <c r="I186" s="14" t="n"/>
      <c r="K186" s="40" t="n"/>
    </row>
    <row r="187" ht="15.75" customHeight="1" s="252">
      <c r="A187" s="26" t="n"/>
      <c r="B187" s="11" t="n"/>
      <c r="E187" s="11" t="n"/>
      <c r="F187" s="11" t="n"/>
      <c r="G187" s="11" t="n"/>
      <c r="H187" s="11" t="n"/>
      <c r="I187" s="14" t="n"/>
      <c r="K187" s="40" t="n"/>
    </row>
    <row r="188" ht="15.75" customHeight="1" s="252">
      <c r="A188" s="26" t="n"/>
      <c r="B188" s="11" t="n"/>
      <c r="E188" s="11" t="n"/>
      <c r="F188" s="11" t="n"/>
      <c r="G188" s="11" t="n"/>
      <c r="H188" s="11" t="n"/>
      <c r="I188" s="14" t="n"/>
      <c r="K188" s="40" t="n"/>
    </row>
    <row r="189" ht="15.75" customHeight="1" s="252">
      <c r="A189" s="26" t="n"/>
      <c r="B189" s="11" t="n"/>
      <c r="E189" s="11" t="n"/>
      <c r="F189" s="11" t="n"/>
      <c r="G189" s="11" t="n"/>
      <c r="H189" s="11" t="n"/>
      <c r="I189" s="14" t="n"/>
      <c r="K189" s="40" t="n"/>
    </row>
    <row r="190" ht="15.75" customHeight="1" s="252">
      <c r="A190" s="26" t="n"/>
      <c r="B190" s="11" t="n"/>
      <c r="E190" s="11" t="n"/>
      <c r="F190" s="11" t="n"/>
      <c r="G190" s="11" t="n"/>
      <c r="H190" s="11" t="n"/>
      <c r="I190" s="14" t="n"/>
      <c r="K190" s="40" t="n"/>
    </row>
    <row r="191" ht="15.75" customHeight="1" s="252">
      <c r="A191" s="26" t="n"/>
      <c r="B191" s="11" t="n"/>
      <c r="E191" s="11" t="n"/>
      <c r="F191" s="11" t="n"/>
      <c r="G191" s="11" t="n"/>
      <c r="H191" s="11" t="n"/>
      <c r="I191" s="14" t="n"/>
      <c r="K191" s="40" t="n"/>
    </row>
    <row r="192" ht="15.75" customHeight="1" s="252">
      <c r="A192" s="26" t="n"/>
      <c r="B192" s="11" t="n"/>
      <c r="E192" s="11" t="n"/>
      <c r="F192" s="11" t="n"/>
      <c r="G192" s="11" t="n"/>
      <c r="H192" s="11" t="n"/>
      <c r="I192" s="14" t="n"/>
      <c r="K192" s="40" t="n"/>
    </row>
    <row r="193" ht="15.75" customHeight="1" s="252">
      <c r="A193" s="26" t="n"/>
      <c r="B193" s="11" t="n"/>
      <c r="E193" s="11" t="n"/>
      <c r="F193" s="11" t="n"/>
      <c r="G193" s="11" t="n"/>
      <c r="H193" s="11" t="n"/>
      <c r="I193" s="14" t="n"/>
      <c r="K193" s="40" t="n"/>
    </row>
    <row r="194" ht="15.75" customHeight="1" s="252">
      <c r="A194" s="26" t="n"/>
      <c r="B194" s="11" t="n"/>
      <c r="E194" s="11" t="n"/>
      <c r="F194" s="11" t="n"/>
      <c r="G194" s="11" t="n"/>
      <c r="H194" s="11" t="n"/>
      <c r="I194" s="14" t="n"/>
      <c r="K194" s="40" t="n"/>
    </row>
    <row r="195" ht="15.75" customHeight="1" s="252">
      <c r="A195" s="26" t="n"/>
      <c r="B195" s="11" t="n"/>
      <c r="E195" s="11" t="n"/>
      <c r="F195" s="11" t="n"/>
      <c r="G195" s="11" t="n"/>
      <c r="H195" s="11" t="n"/>
      <c r="I195" s="14" t="n"/>
      <c r="K195" s="40" t="n"/>
    </row>
    <row r="196" ht="15.75" customHeight="1" s="252">
      <c r="A196" s="26" t="n"/>
      <c r="B196" s="11" t="n"/>
      <c r="E196" s="11" t="n"/>
      <c r="F196" s="11" t="n"/>
      <c r="G196" s="11" t="n"/>
      <c r="H196" s="11" t="n"/>
      <c r="I196" s="14" t="n"/>
      <c r="K196" s="40" t="n"/>
    </row>
    <row r="197" ht="15.75" customHeight="1" s="252">
      <c r="A197" s="26" t="n"/>
      <c r="B197" s="11" t="n"/>
      <c r="E197" s="11" t="n"/>
      <c r="F197" s="11" t="n"/>
      <c r="G197" s="11" t="n"/>
      <c r="H197" s="11" t="n"/>
      <c r="I197" s="14" t="n"/>
      <c r="K197" s="40" t="n"/>
    </row>
    <row r="198" ht="15.75" customHeight="1" s="252">
      <c r="A198" s="26" t="n"/>
      <c r="B198" s="11" t="n"/>
      <c r="E198" s="11" t="n"/>
      <c r="F198" s="11" t="n"/>
      <c r="G198" s="11" t="n"/>
      <c r="H198" s="11" t="n"/>
      <c r="I198" s="14" t="n"/>
      <c r="K198" s="40" t="n"/>
    </row>
    <row r="199" ht="15.75" customHeight="1" s="252">
      <c r="A199" s="26" t="n"/>
      <c r="B199" s="11" t="n"/>
      <c r="E199" s="11" t="n"/>
      <c r="F199" s="11" t="n"/>
      <c r="G199" s="11" t="n"/>
      <c r="H199" s="11" t="n"/>
      <c r="I199" s="14" t="n"/>
      <c r="K199" s="40" t="n"/>
    </row>
    <row r="200" ht="15.75" customHeight="1" s="252">
      <c r="A200" s="26" t="n"/>
      <c r="B200" s="11" t="n"/>
      <c r="E200" s="11" t="n"/>
      <c r="F200" s="11" t="n"/>
      <c r="G200" s="11" t="n"/>
      <c r="H200" s="11" t="n"/>
      <c r="I200" s="14" t="n"/>
      <c r="K200" s="40" t="n"/>
    </row>
    <row r="201" ht="15.75" customHeight="1" s="252">
      <c r="A201" s="26" t="n"/>
      <c r="B201" s="11" t="n"/>
      <c r="E201" s="11" t="n"/>
      <c r="F201" s="11" t="n"/>
      <c r="G201" s="11" t="n"/>
      <c r="H201" s="11" t="n"/>
      <c r="I201" s="14" t="n"/>
      <c r="K201" s="40" t="n"/>
    </row>
    <row r="202" ht="15.75" customHeight="1" s="252">
      <c r="A202" s="26" t="n"/>
      <c r="B202" s="11" t="n"/>
      <c r="E202" s="11" t="n"/>
      <c r="F202" s="11" t="n"/>
      <c r="G202" s="11" t="n"/>
      <c r="H202" s="11" t="n"/>
      <c r="I202" s="14" t="n"/>
      <c r="K202" s="40" t="n"/>
    </row>
    <row r="203" ht="15.75" customHeight="1" s="252">
      <c r="A203" s="26" t="n"/>
      <c r="B203" s="11" t="n"/>
      <c r="E203" s="11" t="n"/>
      <c r="F203" s="11" t="n"/>
      <c r="G203" s="11" t="n"/>
      <c r="H203" s="11" t="n"/>
      <c r="I203" s="14" t="n"/>
      <c r="K203" s="40" t="n"/>
    </row>
    <row r="204" ht="15.75" customHeight="1" s="252">
      <c r="A204" s="26" t="n"/>
      <c r="B204" s="11" t="n"/>
      <c r="E204" s="11" t="n"/>
      <c r="F204" s="11" t="n"/>
      <c r="G204" s="11" t="n"/>
      <c r="H204" s="11" t="n"/>
      <c r="I204" s="14" t="n"/>
      <c r="K204" s="40" t="n"/>
    </row>
    <row r="205" ht="15.75" customHeight="1" s="252">
      <c r="A205" s="26" t="n"/>
      <c r="B205" s="11" t="n"/>
      <c r="E205" s="11" t="n"/>
      <c r="F205" s="11" t="n"/>
      <c r="G205" s="11" t="n"/>
      <c r="H205" s="11" t="n"/>
      <c r="I205" s="14" t="n"/>
      <c r="K205" s="40" t="n"/>
    </row>
    <row r="206" ht="15.75" customHeight="1" s="252">
      <c r="A206" s="26" t="n"/>
      <c r="B206" s="11" t="n"/>
      <c r="E206" s="11" t="n"/>
      <c r="F206" s="11" t="n"/>
      <c r="G206" s="11" t="n"/>
      <c r="H206" s="11" t="n"/>
      <c r="I206" s="14" t="n"/>
      <c r="K206" s="40" t="n"/>
    </row>
    <row r="207" ht="15.75" customHeight="1" s="252">
      <c r="A207" s="26" t="n"/>
      <c r="B207" s="11" t="n"/>
      <c r="E207" s="11" t="n"/>
      <c r="F207" s="11" t="n"/>
      <c r="G207" s="11" t="n"/>
      <c r="H207" s="11" t="n"/>
      <c r="I207" s="14" t="n"/>
      <c r="K207" s="40" t="n"/>
    </row>
    <row r="208" ht="15.75" customHeight="1" s="252">
      <c r="A208" s="26" t="n"/>
      <c r="B208" s="11" t="n"/>
      <c r="E208" s="11" t="n"/>
      <c r="F208" s="11" t="n"/>
      <c r="G208" s="11" t="n"/>
      <c r="H208" s="11" t="n"/>
      <c r="I208" s="14" t="n"/>
      <c r="K208" s="40" t="n"/>
    </row>
    <row r="209" ht="15.75" customHeight="1" s="252">
      <c r="A209" s="26" t="n"/>
      <c r="B209" s="11" t="n"/>
      <c r="E209" s="11" t="n"/>
      <c r="F209" s="11" t="n"/>
      <c r="G209" s="11" t="n"/>
      <c r="H209" s="11" t="n"/>
      <c r="I209" s="14" t="n"/>
      <c r="K209" s="40" t="n"/>
    </row>
    <row r="210" ht="15.75" customHeight="1" s="252">
      <c r="A210" s="26" t="n"/>
      <c r="B210" s="11" t="n"/>
      <c r="E210" s="11" t="n"/>
      <c r="F210" s="11" t="n"/>
      <c r="G210" s="11" t="n"/>
      <c r="H210" s="11" t="n"/>
      <c r="I210" s="14" t="n"/>
      <c r="K210" s="40" t="n"/>
    </row>
    <row r="211" ht="15.75" customHeight="1" s="252">
      <c r="A211" s="26" t="n"/>
      <c r="B211" s="11" t="n"/>
      <c r="E211" s="11" t="n"/>
      <c r="F211" s="11" t="n"/>
      <c r="G211" s="11" t="n"/>
      <c r="H211" s="11" t="n"/>
      <c r="I211" s="14" t="n"/>
      <c r="K211" s="40" t="n"/>
    </row>
    <row r="212" ht="15.75" customHeight="1" s="252">
      <c r="A212" s="26" t="n"/>
      <c r="B212" s="11" t="n"/>
      <c r="E212" s="11" t="n"/>
      <c r="F212" s="11" t="n"/>
      <c r="G212" s="11" t="n"/>
      <c r="H212" s="11" t="n"/>
      <c r="I212" s="14" t="n"/>
      <c r="K212" s="40" t="n"/>
    </row>
    <row r="213" ht="15.75" customHeight="1" s="252">
      <c r="A213" s="26" t="n"/>
      <c r="B213" s="11" t="n"/>
      <c r="E213" s="11" t="n"/>
      <c r="F213" s="11" t="n"/>
      <c r="G213" s="11" t="n"/>
      <c r="H213" s="11" t="n"/>
      <c r="I213" s="14" t="n"/>
      <c r="K213" s="40" t="n"/>
    </row>
    <row r="214" ht="15.75" customHeight="1" s="252">
      <c r="A214" s="26" t="n"/>
      <c r="B214" s="11" t="n"/>
      <c r="E214" s="11" t="n"/>
      <c r="F214" s="11" t="n"/>
      <c r="G214" s="11" t="n"/>
      <c r="H214" s="11" t="n"/>
      <c r="I214" s="14" t="n"/>
      <c r="K214" s="40" t="n"/>
    </row>
    <row r="215" ht="15.75" customHeight="1" s="252">
      <c r="A215" s="26" t="n"/>
      <c r="B215" s="11" t="n"/>
      <c r="E215" s="11" t="n"/>
      <c r="F215" s="11" t="n"/>
      <c r="G215" s="11" t="n"/>
      <c r="H215" s="11" t="n"/>
      <c r="I215" s="14" t="n"/>
      <c r="K215" s="40" t="n"/>
    </row>
    <row r="216" ht="15.75" customHeight="1" s="252">
      <c r="A216" s="26" t="n"/>
      <c r="B216" s="11" t="n"/>
      <c r="E216" s="11" t="n"/>
      <c r="F216" s="11" t="n"/>
      <c r="G216" s="11" t="n"/>
      <c r="H216" s="11" t="n"/>
      <c r="I216" s="14" t="n"/>
      <c r="K216" s="40" t="n"/>
    </row>
    <row r="217" ht="15.75" customHeight="1" s="252">
      <c r="A217" s="26" t="n"/>
      <c r="B217" s="11" t="n"/>
      <c r="E217" s="11" t="n"/>
      <c r="F217" s="11" t="n"/>
      <c r="G217" s="11" t="n"/>
      <c r="H217" s="11" t="n"/>
      <c r="I217" s="14" t="n"/>
      <c r="K217" s="40" t="n"/>
    </row>
    <row r="218" ht="15.75" customHeight="1" s="252">
      <c r="A218" s="26" t="n"/>
      <c r="B218" s="11" t="n"/>
      <c r="E218" s="11" t="n"/>
      <c r="F218" s="11" t="n"/>
      <c r="G218" s="11" t="n"/>
      <c r="H218" s="11" t="n"/>
      <c r="I218" s="14" t="n"/>
      <c r="K218" s="40" t="n"/>
    </row>
    <row r="219" ht="15.75" customHeight="1" s="252">
      <c r="A219" s="26" t="n"/>
      <c r="B219" s="11" t="n"/>
      <c r="E219" s="11" t="n"/>
      <c r="F219" s="11" t="n"/>
      <c r="G219" s="11" t="n"/>
      <c r="H219" s="11" t="n"/>
      <c r="I219" s="14" t="n"/>
      <c r="K219" s="40" t="n"/>
    </row>
    <row r="220" ht="15.75" customHeight="1" s="252">
      <c r="A220" s="26" t="n"/>
      <c r="B220" s="11" t="n"/>
      <c r="E220" s="11" t="n"/>
      <c r="F220" s="11" t="n"/>
      <c r="G220" s="11" t="n"/>
      <c r="H220" s="11" t="n"/>
      <c r="I220" s="14" t="n"/>
      <c r="K220" s="40" t="n"/>
    </row>
    <row r="221" ht="15.75" customHeight="1" s="252">
      <c r="A221" s="26" t="n"/>
      <c r="B221" s="11" t="n"/>
      <c r="E221" s="11" t="n"/>
      <c r="F221" s="11" t="n"/>
      <c r="G221" s="11" t="n"/>
      <c r="H221" s="11" t="n"/>
      <c r="I221" s="14" t="n"/>
      <c r="K221" s="40" t="n"/>
    </row>
    <row r="222" ht="15.75" customHeight="1" s="252">
      <c r="A222" s="26" t="n"/>
      <c r="B222" s="11" t="n"/>
      <c r="E222" s="11" t="n"/>
      <c r="F222" s="11" t="n"/>
      <c r="G222" s="11" t="n"/>
      <c r="H222" s="11" t="n"/>
      <c r="I222" s="14" t="n"/>
      <c r="K222" s="40" t="n"/>
    </row>
    <row r="223" ht="15.75" customHeight="1" s="252">
      <c r="A223" s="26" t="n"/>
      <c r="B223" s="11" t="n"/>
      <c r="E223" s="11" t="n"/>
      <c r="F223" s="11" t="n"/>
      <c r="G223" s="11" t="n"/>
      <c r="H223" s="11" t="n"/>
      <c r="I223" s="14" t="n"/>
      <c r="K223" s="40" t="n"/>
    </row>
    <row r="224" ht="15.75" customHeight="1" s="252">
      <c r="A224" s="26" t="n"/>
      <c r="B224" s="11" t="n"/>
      <c r="E224" s="11" t="n"/>
      <c r="F224" s="11" t="n"/>
      <c r="G224" s="11" t="n"/>
      <c r="H224" s="11" t="n"/>
      <c r="I224" s="14" t="n"/>
      <c r="K224" s="40" t="n"/>
    </row>
    <row r="225" ht="15.75" customHeight="1" s="252">
      <c r="A225" s="26" t="n"/>
      <c r="B225" s="11" t="n"/>
      <c r="E225" s="11" t="n"/>
      <c r="F225" s="11" t="n"/>
      <c r="G225" s="11" t="n"/>
      <c r="H225" s="11" t="n"/>
      <c r="I225" s="14" t="n"/>
      <c r="K225" s="40" t="n"/>
    </row>
    <row r="226" ht="15.75" customHeight="1" s="252">
      <c r="A226" s="26" t="n"/>
      <c r="B226" s="11" t="n"/>
      <c r="E226" s="11" t="n"/>
      <c r="F226" s="11" t="n"/>
      <c r="G226" s="11" t="n"/>
      <c r="H226" s="11" t="n"/>
      <c r="I226" s="14" t="n"/>
      <c r="K226" s="40" t="n"/>
    </row>
    <row r="227" ht="15.75" customHeight="1" s="252">
      <c r="A227" s="26" t="n"/>
      <c r="B227" s="11" t="n"/>
      <c r="E227" s="11" t="n"/>
      <c r="F227" s="11" t="n"/>
      <c r="G227" s="11" t="n"/>
      <c r="H227" s="11" t="n"/>
      <c r="I227" s="14" t="n"/>
      <c r="K227" s="40" t="n"/>
    </row>
    <row r="228" ht="15.75" customHeight="1" s="252">
      <c r="A228" s="26" t="n"/>
      <c r="B228" s="11" t="n"/>
      <c r="E228" s="11" t="n"/>
      <c r="F228" s="11" t="n"/>
      <c r="G228" s="11" t="n"/>
      <c r="H228" s="11" t="n"/>
      <c r="I228" s="14" t="n"/>
      <c r="K228" s="40" t="n"/>
    </row>
    <row r="229" ht="15.75" customHeight="1" s="252">
      <c r="A229" s="26" t="n"/>
      <c r="B229" s="11" t="n"/>
      <c r="E229" s="11" t="n"/>
      <c r="F229" s="11" t="n"/>
      <c r="G229" s="11" t="n"/>
      <c r="H229" s="11" t="n"/>
      <c r="I229" s="14" t="n"/>
      <c r="K229" s="40" t="n"/>
    </row>
    <row r="230" ht="15.75" customHeight="1" s="252">
      <c r="A230" s="26" t="n"/>
      <c r="B230" s="11" t="n"/>
      <c r="E230" s="11" t="n"/>
      <c r="F230" s="11" t="n"/>
      <c r="G230" s="11" t="n"/>
      <c r="H230" s="11" t="n"/>
      <c r="I230" s="14" t="n"/>
      <c r="K230" s="40" t="n"/>
    </row>
    <row r="231" ht="15.75" customHeight="1" s="252">
      <c r="A231" s="26" t="n"/>
      <c r="B231" s="11" t="n"/>
      <c r="E231" s="11" t="n"/>
      <c r="F231" s="11" t="n"/>
      <c r="G231" s="11" t="n"/>
      <c r="H231" s="11" t="n"/>
      <c r="I231" s="14" t="n"/>
      <c r="K231" s="40" t="n"/>
    </row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mergeCells count="2">
    <mergeCell ref="A21:G2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00FF"/>
    <outlinePr summaryBelow="0" summaryRight="0"/>
    <pageSetUpPr fitToPage="1"/>
  </sheetPr>
  <dimension ref="A1:X10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3.75" customWidth="1" style="252" min="1" max="1"/>
    <col width="14" customWidth="1" style="252" min="2" max="3"/>
    <col width="12.63" customWidth="1" style="252" min="4" max="4"/>
    <col width="18" customWidth="1" style="252" min="5" max="5"/>
    <col width="14" customWidth="1" style="252" min="6" max="6"/>
    <col width="14" customWidth="1" style="252" min="7" max="7"/>
    <col width="14" customWidth="1" style="252" min="8" max="8"/>
    <col width="14" customWidth="1" style="252" min="9" max="9"/>
    <col width="30" customWidth="1" style="252" min="10" max="10"/>
  </cols>
  <sheetData>
    <row r="1" ht="15.75" customHeight="1" s="252">
      <c r="A1" s="45" t="inlineStr">
        <is>
          <t>Investment Date</t>
        </is>
      </c>
      <c r="B1" s="45" t="inlineStr">
        <is>
          <t>Investor Name</t>
        </is>
      </c>
      <c r="C1" s="45" t="inlineStr">
        <is>
          <t>Currency</t>
        </is>
      </c>
      <c r="D1" s="45" t="inlineStr">
        <is>
          <t>Amount</t>
        </is>
      </c>
      <c r="E1" s="253" t="inlineStr">
        <is>
          <t>Intro Broker Name</t>
        </is>
      </c>
      <c r="F1" s="254" t="inlineStr">
        <is>
          <t>IB Percentage</t>
        </is>
      </c>
      <c r="G1" s="254" t="inlineStr">
        <is>
          <t>Fee Percentage</t>
        </is>
      </c>
      <c r="H1" s="254" t="inlineStr">
        <is>
          <t>Account Type</t>
        </is>
      </c>
      <c r="I1" s="254" t="inlineStr">
        <is>
          <t>Transaction Type</t>
        </is>
      </c>
      <c r="J1" s="254" t="inlineStr">
        <is>
          <t>Reference ID</t>
        </is>
      </c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</row>
    <row r="2" ht="15.75" customHeight="1" s="252">
      <c r="A2" s="48" t="n">
        <v>45455</v>
      </c>
      <c r="B2" s="48" t="inlineStr">
        <is>
          <t>Jose Molla</t>
        </is>
      </c>
      <c r="C2" s="48" t="inlineStr">
        <is>
          <t>BTC</t>
        </is>
      </c>
      <c r="D2" s="48" t="n">
        <v>2.723</v>
      </c>
      <c r="E2" s="49" t="n"/>
    </row>
    <row r="3" ht="15.75" customHeight="1" s="252">
      <c r="A3" s="48" t="n">
        <v>45455</v>
      </c>
      <c r="B3" s="48" t="inlineStr">
        <is>
          <t>Jose Molla</t>
        </is>
      </c>
      <c r="C3" s="48" t="inlineStr">
        <is>
          <t>ETH TAC</t>
        </is>
      </c>
      <c r="D3" s="48" t="n">
        <v>52.4</v>
      </c>
      <c r="E3" s="49" t="n"/>
    </row>
    <row r="4" ht="15.75" customHeight="1" s="252">
      <c r="A4" s="48" t="n">
        <v>45481</v>
      </c>
      <c r="B4" s="48" t="inlineStr">
        <is>
          <t>Jose Molla</t>
        </is>
      </c>
      <c r="C4" s="48" t="inlineStr">
        <is>
          <t>BTC</t>
        </is>
      </c>
      <c r="D4" s="48" t="n">
        <v>0.745</v>
      </c>
      <c r="E4" s="49" t="n"/>
    </row>
    <row r="5" ht="15.75" customHeight="1" s="252">
      <c r="A5" s="48" t="n">
        <v>45481</v>
      </c>
      <c r="B5" s="48" t="inlineStr">
        <is>
          <t>Jose Molla</t>
        </is>
      </c>
      <c r="C5" s="48" t="inlineStr">
        <is>
          <t>ETH TAC</t>
        </is>
      </c>
      <c r="D5" s="48" t="n">
        <v>9.1</v>
      </c>
      <c r="E5" s="49" t="n"/>
    </row>
    <row r="6" ht="15.75" customHeight="1" s="252">
      <c r="A6" s="48" t="n">
        <v>45525</v>
      </c>
      <c r="B6" s="48" t="inlineStr">
        <is>
          <t>Kyle Gulamerian</t>
        </is>
      </c>
      <c r="C6" s="48" t="inlineStr">
        <is>
          <t>BTC</t>
        </is>
      </c>
      <c r="D6" s="48" t="n">
        <v>0.01</v>
      </c>
      <c r="E6" s="49" t="n"/>
    </row>
    <row r="7" ht="15.75" customHeight="1" s="252">
      <c r="A7" s="48" t="n">
        <v>45525</v>
      </c>
      <c r="B7" s="48" t="inlineStr">
        <is>
          <t>Kyle Gulamerian</t>
        </is>
      </c>
      <c r="C7" s="48" t="inlineStr">
        <is>
          <t>BTC</t>
        </is>
      </c>
      <c r="D7" s="48" t="n">
        <v>1.99</v>
      </c>
      <c r="E7" s="49" t="n"/>
    </row>
    <row r="8" ht="15.75" customHeight="1" s="252">
      <c r="A8" s="48" t="n">
        <v>45566</v>
      </c>
      <c r="B8" s="48" t="inlineStr">
        <is>
          <t>Matthias Reiser</t>
        </is>
      </c>
      <c r="C8" s="48" t="inlineStr">
        <is>
          <t>BTC</t>
        </is>
      </c>
      <c r="D8" s="48" t="n">
        <v>4.62</v>
      </c>
      <c r="E8" s="49" t="n"/>
    </row>
    <row r="9" ht="15.75" customHeight="1" s="252">
      <c r="A9" s="48" t="n">
        <v>45566</v>
      </c>
      <c r="B9" s="48" t="inlineStr">
        <is>
          <t>Thomas Puech</t>
        </is>
      </c>
      <c r="C9" s="48" t="inlineStr">
        <is>
          <t>BTC</t>
        </is>
      </c>
      <c r="D9" s="48" t="n">
        <v>6.5193</v>
      </c>
      <c r="E9" s="49" t="n"/>
    </row>
    <row r="10" ht="15.75" customHeight="1" s="252">
      <c r="A10" s="48" t="n">
        <v>45566</v>
      </c>
      <c r="B10" s="48" t="inlineStr">
        <is>
          <t>Danielle Richetta</t>
        </is>
      </c>
      <c r="C10" s="48" t="inlineStr">
        <is>
          <t>BTC</t>
        </is>
      </c>
      <c r="D10" s="48" t="n">
        <v>5.2</v>
      </c>
      <c r="E10" s="49" t="n"/>
    </row>
    <row r="11" ht="15.75" customHeight="1" s="252">
      <c r="A11" s="48" t="n">
        <v>45566</v>
      </c>
      <c r="B11" s="48" t="inlineStr">
        <is>
          <t>Nathanaël Cohen</t>
        </is>
      </c>
      <c r="C11" s="48" t="inlineStr">
        <is>
          <t>ETH TAC</t>
        </is>
      </c>
      <c r="D11" s="48" t="n">
        <v>17</v>
      </c>
      <c r="E11" s="49" t="n"/>
    </row>
    <row r="12" ht="15.75" customHeight="1" s="252">
      <c r="A12" s="48" t="n">
        <v>45589</v>
      </c>
      <c r="B12" s="48" t="inlineStr">
        <is>
          <t>Blondish</t>
        </is>
      </c>
      <c r="C12" s="48" t="inlineStr">
        <is>
          <t>ETH TAC</t>
        </is>
      </c>
      <c r="D12" s="48" t="n">
        <v>120</v>
      </c>
      <c r="E12" s="49" t="n"/>
    </row>
    <row r="13" ht="15.75" customHeight="1" s="252">
      <c r="A13" s="48" t="n">
        <v>45605</v>
      </c>
      <c r="B13" s="48" t="inlineStr">
        <is>
          <t>Danielle Richetta</t>
        </is>
      </c>
      <c r="C13" s="48" t="inlineStr">
        <is>
          <t>BTC</t>
        </is>
      </c>
      <c r="D13" s="48" t="n">
        <v>-0.27</v>
      </c>
      <c r="E13" s="49" t="n"/>
    </row>
    <row r="14" ht="15.75" customHeight="1" s="252">
      <c r="A14" s="48" t="n">
        <v>45640</v>
      </c>
      <c r="B14" s="48" t="inlineStr">
        <is>
          <t>Danielle Richetta</t>
        </is>
      </c>
      <c r="C14" s="48" t="inlineStr">
        <is>
          <t>BTC</t>
        </is>
      </c>
      <c r="D14" s="48" t="n">
        <v>-0.124</v>
      </c>
      <c r="E14" s="49" t="n"/>
    </row>
    <row r="15" ht="15.75" customHeight="1" s="252">
      <c r="A15" s="48" t="n">
        <v>45641</v>
      </c>
      <c r="B15" s="48" t="inlineStr">
        <is>
          <t>Danielle Richetta</t>
        </is>
      </c>
      <c r="C15" s="48" t="inlineStr">
        <is>
          <t>BTC</t>
        </is>
      </c>
      <c r="D15" s="48" t="n">
        <v>-4.8628</v>
      </c>
      <c r="E15" s="49" t="n"/>
    </row>
    <row r="16" ht="15.75" customHeight="1" s="252">
      <c r="A16" s="48" t="n">
        <v>45641</v>
      </c>
      <c r="B16" s="48" t="inlineStr">
        <is>
          <t>Kyle Gulamerian</t>
        </is>
      </c>
      <c r="C16" s="48" t="inlineStr">
        <is>
          <t>BTC</t>
        </is>
      </c>
      <c r="D16" s="48" t="n">
        <v>-2.0336</v>
      </c>
      <c r="E16" s="49" t="n"/>
    </row>
    <row r="17" ht="15.75" customHeight="1" s="252">
      <c r="A17" s="48" t="n">
        <v>45641</v>
      </c>
      <c r="B17" s="48" t="inlineStr">
        <is>
          <t>Matthias Reiser</t>
        </is>
      </c>
      <c r="C17" s="48" t="inlineStr">
        <is>
          <t>BTC</t>
        </is>
      </c>
      <c r="D17" s="48" t="n">
        <v>-4.6717</v>
      </c>
      <c r="E17" s="49" t="n"/>
    </row>
    <row r="18" ht="15.75" customHeight="1" s="252">
      <c r="A18" s="48" t="n">
        <v>45641</v>
      </c>
      <c r="B18" s="48" t="inlineStr">
        <is>
          <t>Danielle Richetta</t>
        </is>
      </c>
      <c r="C18" s="48" t="inlineStr">
        <is>
          <t>BTC Boost</t>
        </is>
      </c>
      <c r="D18" s="48" t="n">
        <v>4.8628</v>
      </c>
      <c r="E18" s="49" t="n"/>
    </row>
    <row r="19" ht="15.75" customHeight="1" s="252">
      <c r="A19" s="48" t="n">
        <v>45641</v>
      </c>
      <c r="B19" s="48" t="inlineStr">
        <is>
          <t>Kyle Gulamerian</t>
        </is>
      </c>
      <c r="C19" s="48" t="inlineStr">
        <is>
          <t>BTC Boost</t>
        </is>
      </c>
      <c r="D19" s="48" t="n">
        <v>2.0336</v>
      </c>
      <c r="E19" s="49" t="n"/>
    </row>
    <row r="20" ht="15.75" customHeight="1" s="252">
      <c r="A20" s="48" t="n">
        <v>45641</v>
      </c>
      <c r="B20" s="48" t="inlineStr">
        <is>
          <t>Matthias Reiser</t>
        </is>
      </c>
      <c r="C20" s="48" t="inlineStr">
        <is>
          <t>BTC Boost</t>
        </is>
      </c>
      <c r="D20" s="48" t="n">
        <v>4.6717</v>
      </c>
      <c r="E20" s="49" t="n"/>
    </row>
    <row r="21" ht="15.75" customHeight="1" s="252">
      <c r="A21" s="48" t="n">
        <v>45717</v>
      </c>
      <c r="B21" s="48" t="inlineStr">
        <is>
          <t>Nathanaël Cohen</t>
        </is>
      </c>
      <c r="C21" s="48" t="inlineStr">
        <is>
          <t>ETH TAC</t>
        </is>
      </c>
      <c r="D21" s="48" t="n">
        <v>4.608</v>
      </c>
      <c r="E21" s="49" t="n"/>
    </row>
    <row r="22" ht="15.75" customHeight="1" s="252">
      <c r="A22" s="48" t="n">
        <v>45747</v>
      </c>
      <c r="B22" s="48" t="inlineStr">
        <is>
          <t>Nathanaël Cohen</t>
        </is>
      </c>
      <c r="C22" s="48" t="inlineStr">
        <is>
          <t>ETH TAC</t>
        </is>
      </c>
      <c r="D22" s="48" t="n">
        <v>5.226</v>
      </c>
      <c r="E22" s="49" t="n"/>
    </row>
    <row r="23" ht="15.75" customHeight="1" s="252">
      <c r="A23" s="48" t="n">
        <v>45748</v>
      </c>
      <c r="B23" s="48" t="inlineStr">
        <is>
          <t>Victoria Pariente-Cohen</t>
        </is>
      </c>
      <c r="C23" s="48" t="inlineStr">
        <is>
          <t>BTC TAC</t>
        </is>
      </c>
      <c r="D23" s="48" t="n">
        <v>0.1492</v>
      </c>
      <c r="E23" s="49" t="n"/>
    </row>
    <row r="24" ht="15.75" customHeight="1" s="252">
      <c r="A24" s="48" t="n">
        <v>45748</v>
      </c>
      <c r="B24" s="48" t="inlineStr">
        <is>
          <t>Nathanaël Cohen</t>
        </is>
      </c>
      <c r="C24" s="48" t="inlineStr">
        <is>
          <t>BTC TAC</t>
        </is>
      </c>
      <c r="D24" s="48" t="n">
        <v>0.4483</v>
      </c>
      <c r="E24" s="49" t="n"/>
    </row>
    <row r="25" ht="15.75" customHeight="1" s="252">
      <c r="A25" s="48" t="n">
        <v>45748</v>
      </c>
      <c r="B25" s="48" t="inlineStr">
        <is>
          <t>Blondish</t>
        </is>
      </c>
      <c r="C25" s="48" t="inlineStr">
        <is>
          <t>BTC TAC</t>
        </is>
      </c>
      <c r="D25" s="48" t="n">
        <v>4.121</v>
      </c>
      <c r="E25" s="49" t="n"/>
    </row>
    <row r="26" ht="15.75" customHeight="1" s="252">
      <c r="A26" s="48" t="n">
        <v>45748</v>
      </c>
      <c r="B26" s="48" t="inlineStr">
        <is>
          <t>Thomas Puech</t>
        </is>
      </c>
      <c r="C26" s="48" t="inlineStr">
        <is>
          <t>BTC</t>
        </is>
      </c>
      <c r="D26" s="48" t="n">
        <v>-6.7249</v>
      </c>
      <c r="E26" s="50" t="n"/>
    </row>
    <row r="27" ht="15.75" customHeight="1" s="252">
      <c r="A27" s="48" t="n">
        <v>45748</v>
      </c>
      <c r="B27" s="48" t="inlineStr">
        <is>
          <t>Thomas Puech</t>
        </is>
      </c>
      <c r="C27" s="48" t="inlineStr">
        <is>
          <t>BTC TAC</t>
        </is>
      </c>
      <c r="D27" s="48">
        <f>6.7249</f>
        <v/>
      </c>
      <c r="E27" s="50" t="n"/>
    </row>
    <row r="28" ht="15.75" customHeight="1" s="252">
      <c r="A28" s="48" t="n">
        <v>45763</v>
      </c>
      <c r="B28" s="48" t="inlineStr">
        <is>
          <t>Kyle Gulamerian</t>
        </is>
      </c>
      <c r="C28" s="48" t="inlineStr">
        <is>
          <t>BTC</t>
        </is>
      </c>
      <c r="D28" s="48" t="n">
        <v>2.101</v>
      </c>
      <c r="E28" s="50" t="n"/>
    </row>
    <row r="29" ht="15.75" customHeight="1" s="252">
      <c r="A29" s="48" t="n">
        <v>45763</v>
      </c>
      <c r="B29" s="48" t="inlineStr">
        <is>
          <t>Matthias Reiser</t>
        </is>
      </c>
      <c r="C29" s="48" t="inlineStr">
        <is>
          <t>BTC</t>
        </is>
      </c>
      <c r="D29" s="48" t="n">
        <v>4.8357</v>
      </c>
      <c r="E29" s="50" t="n"/>
    </row>
    <row r="30" ht="15.75" customHeight="1" s="252">
      <c r="A30" s="48" t="n">
        <v>45763</v>
      </c>
      <c r="B30" s="48" t="inlineStr">
        <is>
          <t>Danielle Richetta</t>
        </is>
      </c>
      <c r="C30" s="48" t="inlineStr">
        <is>
          <t>BTC</t>
        </is>
      </c>
      <c r="D30" s="48" t="n">
        <v>5.0335</v>
      </c>
      <c r="E30" s="50" t="n"/>
    </row>
    <row r="31" ht="15.75" customHeight="1" s="252">
      <c r="A31" s="48" t="n">
        <v>45763</v>
      </c>
      <c r="B31" s="48" t="inlineStr">
        <is>
          <t>Kyle Gulamerian</t>
        </is>
      </c>
      <c r="C31" s="48" t="inlineStr">
        <is>
          <t>BTC Boost</t>
        </is>
      </c>
      <c r="D31" s="48" t="n">
        <v>-2.101</v>
      </c>
      <c r="E31" s="50" t="n"/>
    </row>
    <row r="32" ht="15.75" customHeight="1" s="252">
      <c r="A32" s="48" t="n">
        <v>45763</v>
      </c>
      <c r="B32" s="48" t="inlineStr">
        <is>
          <t>Matthias Reiser</t>
        </is>
      </c>
      <c r="C32" s="48" t="inlineStr">
        <is>
          <t>BTC Boost</t>
        </is>
      </c>
      <c r="D32" s="48" t="n">
        <v>-4.8357</v>
      </c>
      <c r="E32" s="50" t="n"/>
    </row>
    <row r="33" ht="15.75" customHeight="1" s="252">
      <c r="A33" s="48" t="n">
        <v>45763</v>
      </c>
      <c r="B33" s="48" t="inlineStr">
        <is>
          <t>Danielle Richetta</t>
        </is>
      </c>
      <c r="C33" s="48" t="inlineStr">
        <is>
          <t>BTC Boost</t>
        </is>
      </c>
      <c r="D33" s="48" t="n">
        <v>-5.0335</v>
      </c>
      <c r="E33" s="50" t="n"/>
    </row>
    <row r="34" ht="15.75" customHeight="1" s="252">
      <c r="A34" s="48" t="n">
        <v>45763</v>
      </c>
      <c r="B34" s="48" t="inlineStr">
        <is>
          <t>INDIGO Fees</t>
        </is>
      </c>
      <c r="C34" s="48" t="inlineStr">
        <is>
          <t>BTC</t>
        </is>
      </c>
      <c r="D34" s="48" t="n">
        <v>0.0498</v>
      </c>
      <c r="E34" s="50" t="n"/>
    </row>
    <row r="35" ht="15.75" customHeight="1" s="252">
      <c r="A35" s="48" t="n">
        <v>45763</v>
      </c>
      <c r="B35" s="48" t="inlineStr">
        <is>
          <t>INDIGO Fees</t>
        </is>
      </c>
      <c r="C35" s="48" t="inlineStr">
        <is>
          <t>BTC Boost</t>
        </is>
      </c>
      <c r="D35" s="48" t="n">
        <v>-0.0498</v>
      </c>
      <c r="E35" s="50" t="n"/>
    </row>
    <row r="36" ht="15.75" customHeight="1" s="252">
      <c r="A36" s="48" t="n">
        <v>45790</v>
      </c>
      <c r="B36" s="48" t="inlineStr">
        <is>
          <t>Kyle Gulamerian</t>
        </is>
      </c>
      <c r="C36" s="48" t="inlineStr">
        <is>
          <t>BTC</t>
        </is>
      </c>
      <c r="D36" s="48">
        <f>-0.1078-2.0023</f>
        <v/>
      </c>
      <c r="E36" s="50" t="n"/>
    </row>
    <row r="37" ht="15.75" customHeight="1" s="252">
      <c r="A37" s="48" t="n">
        <v>45803</v>
      </c>
      <c r="B37" s="48" t="inlineStr">
        <is>
          <t>Babak Eftekhari</t>
        </is>
      </c>
      <c r="C37" s="48" t="inlineStr">
        <is>
          <t>ETH</t>
        </is>
      </c>
      <c r="D37" s="48" t="n">
        <v>27.01</v>
      </c>
      <c r="E37" s="50" t="n"/>
    </row>
    <row r="38" ht="15.75" customHeight="1" s="252">
      <c r="A38" s="48" t="n">
        <v>45803</v>
      </c>
      <c r="B38" s="48" t="inlineStr">
        <is>
          <t>INDIGO DIGITAL ASSET FUND LP</t>
        </is>
      </c>
      <c r="C38" s="48" t="inlineStr">
        <is>
          <t>ETH</t>
        </is>
      </c>
      <c r="D38" s="48" t="n">
        <v>175</v>
      </c>
      <c r="E38" s="50" t="n"/>
    </row>
    <row r="39" ht="15.75" customHeight="1" s="252">
      <c r="A39" s="48" t="n">
        <v>45809</v>
      </c>
      <c r="B39" s="48" t="inlineStr">
        <is>
          <t>Nathanaël Cohen</t>
        </is>
      </c>
      <c r="C39" s="48" t="inlineStr">
        <is>
          <t>ETH</t>
        </is>
      </c>
      <c r="D39" s="48" t="n">
        <v>3.0466</v>
      </c>
      <c r="E39" s="50" t="n"/>
    </row>
    <row r="40" ht="15.75" customHeight="1" s="252">
      <c r="A40" s="48" t="n">
        <v>45807</v>
      </c>
      <c r="B40" s="48" t="inlineStr">
        <is>
          <t>Babak Eftekhari</t>
        </is>
      </c>
      <c r="C40" s="48" t="inlineStr">
        <is>
          <t>ETH</t>
        </is>
      </c>
      <c r="D40" s="48" t="n">
        <v>32.25</v>
      </c>
      <c r="E40" s="50" t="n"/>
    </row>
    <row r="41" ht="15.75" customHeight="1" s="252">
      <c r="A41" s="48" t="n">
        <v>45809</v>
      </c>
      <c r="B41" s="48" t="inlineStr">
        <is>
          <t>danielle Richetta</t>
        </is>
      </c>
      <c r="C41" s="48" t="inlineStr">
        <is>
          <t>BTC</t>
        </is>
      </c>
      <c r="D41" s="48" t="n">
        <v>-0.13</v>
      </c>
      <c r="E41" s="50" t="n"/>
    </row>
    <row r="42" ht="15.75" customHeight="1" s="252">
      <c r="A42" s="48" t="n">
        <v>45819</v>
      </c>
      <c r="B42" s="48" t="inlineStr">
        <is>
          <t>Kabbaj</t>
        </is>
      </c>
      <c r="C42" s="48" t="inlineStr">
        <is>
          <t>BTC</t>
        </is>
      </c>
      <c r="D42" s="48" t="n">
        <v>2</v>
      </c>
      <c r="E42" s="50" t="inlineStr">
        <is>
          <t xml:space="preserve">Hicham.kabbaj@sgtm-maroc.com </t>
        </is>
      </c>
    </row>
    <row r="43" ht="15.75" customHeight="1" s="252">
      <c r="A43" s="48" t="n">
        <v>45824</v>
      </c>
      <c r="B43" s="48" t="inlineStr">
        <is>
          <t>Babak Eftekhari</t>
        </is>
      </c>
      <c r="C43" s="48" t="inlineStr">
        <is>
          <t>USDT</t>
        </is>
      </c>
      <c r="D43" s="48">
        <f>134026.75+1700</f>
        <v/>
      </c>
      <c r="E43" s="50" t="n"/>
    </row>
    <row r="44" ht="15.75" customHeight="1" s="252">
      <c r="A44" s="48" t="n">
        <v>45839</v>
      </c>
      <c r="B44" s="48" t="inlineStr">
        <is>
          <t>Nathanaël Cohen</t>
        </is>
      </c>
      <c r="C44" s="48" t="inlineStr">
        <is>
          <t>ETH</t>
        </is>
      </c>
      <c r="D44" s="48" t="n">
        <v>2</v>
      </c>
      <c r="E44" s="50" t="n"/>
    </row>
    <row r="45" ht="15.75" customHeight="1" s="252">
      <c r="A45" s="48" t="n">
        <v>45849</v>
      </c>
      <c r="B45" s="48" t="inlineStr">
        <is>
          <t>Jose Molla</t>
        </is>
      </c>
      <c r="C45" s="48" t="inlineStr">
        <is>
          <t>ETH TAC</t>
        </is>
      </c>
      <c r="D45" s="48" t="n">
        <v>-62.6261</v>
      </c>
      <c r="E45" s="50" t="n"/>
    </row>
    <row r="46" ht="15.75" customHeight="1" s="252">
      <c r="A46" s="48" t="n">
        <v>45849</v>
      </c>
      <c r="B46" s="48" t="inlineStr">
        <is>
          <t>Nathanaël Cohen</t>
        </is>
      </c>
      <c r="C46" s="48" t="inlineStr">
        <is>
          <t>ETH TAC</t>
        </is>
      </c>
      <c r="D46" s="48" t="n">
        <v>-26.6797</v>
      </c>
      <c r="E46" s="50" t="n"/>
    </row>
    <row r="47" ht="15.75" customHeight="1" s="252">
      <c r="A47" s="48" t="n">
        <v>45849</v>
      </c>
      <c r="B47" s="48" t="inlineStr">
        <is>
          <t>Blondish</t>
        </is>
      </c>
      <c r="C47" s="48" t="inlineStr">
        <is>
          <t>ETH TAC</t>
        </is>
      </c>
      <c r="D47" s="48" t="n">
        <v>-119.7862</v>
      </c>
      <c r="E47" s="50" t="n"/>
    </row>
    <row r="48" ht="15.75" customHeight="1" s="252">
      <c r="A48" s="48" t="n">
        <v>45849</v>
      </c>
      <c r="B48" s="48" t="inlineStr">
        <is>
          <t>Indigo Fees</t>
        </is>
      </c>
      <c r="C48" s="48" t="inlineStr">
        <is>
          <t>ETH TAC</t>
        </is>
      </c>
      <c r="D48" s="48" t="n">
        <v>-0.898</v>
      </c>
      <c r="E48" s="50" t="n"/>
    </row>
    <row r="49" ht="15.75" customHeight="1" s="252">
      <c r="A49" s="48" t="n">
        <v>45849</v>
      </c>
      <c r="B49" s="48" t="inlineStr">
        <is>
          <t>Jose Molla</t>
        </is>
      </c>
      <c r="C49" s="48" t="inlineStr">
        <is>
          <t>ETH</t>
        </is>
      </c>
      <c r="D49" s="48" t="n">
        <v>62.6261</v>
      </c>
      <c r="E49" s="50" t="n"/>
    </row>
    <row r="50" ht="15.75" customHeight="1" s="252">
      <c r="A50" s="48" t="n">
        <v>45849</v>
      </c>
      <c r="B50" s="48" t="inlineStr">
        <is>
          <t>Nathanaël Cohen</t>
        </is>
      </c>
      <c r="C50" s="48" t="inlineStr">
        <is>
          <t>ETH</t>
        </is>
      </c>
      <c r="D50" s="48" t="n">
        <v>26.6797</v>
      </c>
      <c r="E50" s="50" t="n"/>
    </row>
    <row r="51" ht="15.75" customHeight="1" s="252">
      <c r="A51" s="48" t="n">
        <v>45849</v>
      </c>
      <c r="B51" s="48" t="inlineStr">
        <is>
          <t>Blondish</t>
        </is>
      </c>
      <c r="C51" s="48" t="inlineStr">
        <is>
          <t>ETH</t>
        </is>
      </c>
      <c r="D51" s="48" t="n">
        <v>119.7862</v>
      </c>
      <c r="E51" s="50" t="n"/>
    </row>
    <row r="52" ht="15.75" customHeight="1" s="252">
      <c r="A52" s="48" t="n">
        <v>45849</v>
      </c>
      <c r="B52" s="48" t="inlineStr">
        <is>
          <t>Indigo Fees</t>
        </is>
      </c>
      <c r="C52" s="48" t="inlineStr">
        <is>
          <t>ETH</t>
        </is>
      </c>
      <c r="D52" s="48" t="n">
        <v>0.898</v>
      </c>
      <c r="E52" s="50" t="n"/>
    </row>
    <row r="53" ht="15.75" customHeight="1" s="252">
      <c r="A53" s="48" t="n">
        <v>45849</v>
      </c>
      <c r="B53" s="48" t="inlineStr">
        <is>
          <t>Kabbaj</t>
        </is>
      </c>
      <c r="C53" s="48" t="inlineStr">
        <is>
          <t>BTC</t>
        </is>
      </c>
      <c r="D53" s="48" t="n">
        <v>0.9913999999999999</v>
      </c>
      <c r="E53" s="50" t="n"/>
    </row>
    <row r="54" ht="15.75" customHeight="1" s="252">
      <c r="A54" s="48" t="n">
        <v>45849</v>
      </c>
      <c r="B54" s="48" t="inlineStr">
        <is>
          <t>Victoria Pariente-Cohen</t>
        </is>
      </c>
      <c r="C54" s="48" t="inlineStr">
        <is>
          <t>BTC</t>
        </is>
      </c>
      <c r="D54" s="48" t="n">
        <v>0.1484</v>
      </c>
      <c r="E54" s="50" t="n"/>
    </row>
    <row r="55" ht="15.75" customHeight="1" s="252">
      <c r="A55" s="48" t="n">
        <v>45849</v>
      </c>
      <c r="B55" s="48" t="inlineStr">
        <is>
          <t>Nathanaël Cohen</t>
        </is>
      </c>
      <c r="C55" s="48" t="inlineStr">
        <is>
          <t>BTC</t>
        </is>
      </c>
      <c r="D55" s="48" t="n">
        <v>0.446</v>
      </c>
      <c r="E55" s="50" t="n"/>
    </row>
    <row r="56" ht="15.75" customHeight="1" s="252">
      <c r="A56" s="48" t="n">
        <v>45849</v>
      </c>
      <c r="B56" s="48" t="inlineStr">
        <is>
          <t>Thomas Puech</t>
        </is>
      </c>
      <c r="C56" s="48" t="inlineStr">
        <is>
          <t>BTC</t>
        </is>
      </c>
      <c r="D56" s="48" t="n">
        <v>6.69</v>
      </c>
      <c r="E56" s="50" t="n"/>
    </row>
    <row r="57" ht="15.75" customHeight="1" s="252">
      <c r="A57" s="48" t="n">
        <v>45849</v>
      </c>
      <c r="B57" s="48" t="inlineStr">
        <is>
          <t>Blondish</t>
        </is>
      </c>
      <c r="C57" s="48" t="inlineStr">
        <is>
          <t>BTC</t>
        </is>
      </c>
      <c r="D57" s="48" t="n">
        <v>4.0996</v>
      </c>
      <c r="E57" s="50" t="n"/>
    </row>
    <row r="58" ht="15.75" customHeight="1" s="252">
      <c r="A58" s="48" t="n">
        <v>45849</v>
      </c>
      <c r="B58" s="48" t="inlineStr">
        <is>
          <t>Victoria Pariente-Cohen</t>
        </is>
      </c>
      <c r="C58" s="48" t="inlineStr">
        <is>
          <t>BTC TAC</t>
        </is>
      </c>
      <c r="D58" s="48" t="n">
        <v>-0.1484</v>
      </c>
      <c r="E58" s="50" t="n"/>
    </row>
    <row r="59" ht="15.75" customHeight="1" s="252">
      <c r="A59" s="48" t="n">
        <v>45849</v>
      </c>
      <c r="B59" s="48" t="inlineStr">
        <is>
          <t>Nathanaël Cohen</t>
        </is>
      </c>
      <c r="C59" s="48" t="inlineStr">
        <is>
          <t>BTC TAC</t>
        </is>
      </c>
      <c r="D59" s="48" t="n">
        <v>-0.446</v>
      </c>
      <c r="E59" s="50" t="n"/>
    </row>
    <row r="60" ht="15.75" customHeight="1" s="252">
      <c r="A60" s="48" t="n">
        <v>45849</v>
      </c>
      <c r="B60" s="48" t="inlineStr">
        <is>
          <t>Thomas Puech</t>
        </is>
      </c>
      <c r="C60" s="48" t="inlineStr">
        <is>
          <t>BTC TAC</t>
        </is>
      </c>
      <c r="D60" s="48" t="n">
        <v>-6.69</v>
      </c>
      <c r="E60" s="50" t="n"/>
    </row>
    <row r="61" ht="15.75" customHeight="1" s="252">
      <c r="A61" s="48" t="n">
        <v>45849</v>
      </c>
      <c r="B61" s="48" t="inlineStr">
        <is>
          <t>Blondish</t>
        </is>
      </c>
      <c r="C61" s="48" t="inlineStr">
        <is>
          <t>BTC TAC</t>
        </is>
      </c>
      <c r="D61" s="48" t="n">
        <v>-4.0996</v>
      </c>
      <c r="E61" s="50" t="n"/>
    </row>
    <row r="62" ht="15.75" customHeight="1" s="252">
      <c r="A62" s="48" t="n">
        <v>45852</v>
      </c>
      <c r="B62" s="48" t="inlineStr">
        <is>
          <t>Julien Grunebaum</t>
        </is>
      </c>
      <c r="C62" s="48" t="inlineStr">
        <is>
          <t>USDT</t>
        </is>
      </c>
      <c r="D62" s="48" t="n">
        <v>109392</v>
      </c>
      <c r="E62" s="50" t="n"/>
    </row>
    <row r="63" ht="15.75" customHeight="1" s="252">
      <c r="A63" s="48" t="n">
        <v>45852</v>
      </c>
      <c r="B63" s="48" t="inlineStr">
        <is>
          <t>Daniele Francilia</t>
        </is>
      </c>
      <c r="C63" s="48" t="inlineStr">
        <is>
          <t>USDT</t>
        </is>
      </c>
      <c r="D63" s="48" t="n">
        <v>109776</v>
      </c>
      <c r="E63" s="50" t="n"/>
    </row>
    <row r="64" ht="15.75" customHeight="1" s="252">
      <c r="A64" s="48" t="n">
        <v>45852</v>
      </c>
      <c r="B64" s="48" t="inlineStr">
        <is>
          <t>Pierre Bezencon</t>
        </is>
      </c>
      <c r="C64" s="48" t="inlineStr">
        <is>
          <t>USDT</t>
        </is>
      </c>
      <c r="D64" s="48" t="n">
        <v>109333</v>
      </c>
      <c r="E64" s="50" t="n"/>
    </row>
    <row r="65" ht="15.75" customHeight="1" s="252">
      <c r="A65" s="48" t="n">
        <v>45852</v>
      </c>
      <c r="B65" s="48" t="inlineStr">
        <is>
          <t>Matthew Beatty</t>
        </is>
      </c>
      <c r="C65" s="48" t="inlineStr">
        <is>
          <t>USDT</t>
        </is>
      </c>
      <c r="D65" s="48" t="n">
        <v>255504</v>
      </c>
      <c r="E65" s="50" t="n"/>
    </row>
    <row r="66" ht="15.75" customHeight="1" s="252">
      <c r="A66" s="48" t="n">
        <v>45852</v>
      </c>
      <c r="B66" s="48" t="inlineStr">
        <is>
          <t>Bo De Kriek</t>
        </is>
      </c>
      <c r="C66" s="48" t="inlineStr">
        <is>
          <t>USDT</t>
        </is>
      </c>
      <c r="D66" s="48" t="n">
        <v>273807</v>
      </c>
      <c r="E66" s="50" t="n"/>
    </row>
    <row r="67" ht="15.75" customHeight="1" s="252">
      <c r="A67" s="48" t="n">
        <v>45857</v>
      </c>
      <c r="B67" s="48" t="inlineStr">
        <is>
          <t>Dario Deiana</t>
        </is>
      </c>
      <c r="C67" s="48" t="inlineStr">
        <is>
          <t>USDT</t>
        </is>
      </c>
      <c r="D67" s="48" t="n">
        <v>199659.72</v>
      </c>
      <c r="E67" s="50" t="n"/>
    </row>
    <row r="68" ht="15.75" customHeight="1" s="252">
      <c r="A68" s="48" t="n">
        <v>45857</v>
      </c>
      <c r="B68" s="48" t="inlineStr">
        <is>
          <t>Babak Eftekhari</t>
        </is>
      </c>
      <c r="C68" s="48" t="inlineStr">
        <is>
          <t>USDT</t>
        </is>
      </c>
      <c r="D68" s="48" t="n">
        <v>46955.28</v>
      </c>
      <c r="E68" s="50" t="n"/>
    </row>
    <row r="69" ht="15.75" customHeight="1" s="252">
      <c r="A69" s="48" t="n">
        <v>45861</v>
      </c>
      <c r="B69" s="48" t="inlineStr">
        <is>
          <t>Alain Bensimon</t>
        </is>
      </c>
      <c r="C69" s="48" t="inlineStr">
        <is>
          <t>USDT</t>
        </is>
      </c>
      <c r="D69" s="48" t="n">
        <v>136737</v>
      </c>
      <c r="E69" s="50" t="n"/>
    </row>
    <row r="70" ht="15.75" customHeight="1" s="252">
      <c r="A70" s="48" t="n">
        <v>45861</v>
      </c>
      <c r="B70" s="48" t="inlineStr">
        <is>
          <t>Anne Cecile Noique</t>
        </is>
      </c>
      <c r="C70" s="48" t="inlineStr">
        <is>
          <t>USDT</t>
        </is>
      </c>
      <c r="D70" s="48" t="n">
        <v>222687</v>
      </c>
      <c r="E70" s="50" t="n"/>
    </row>
    <row r="71" ht="15.75" customHeight="1" s="252">
      <c r="A71" s="48" t="n">
        <v>45861</v>
      </c>
      <c r="B71" s="48" t="inlineStr">
        <is>
          <t>Terance Chen</t>
        </is>
      </c>
      <c r="C71" s="48" t="inlineStr">
        <is>
          <t>USDT</t>
        </is>
      </c>
      <c r="D71" s="48" t="n">
        <v>219747</v>
      </c>
      <c r="E71" s="50" t="n"/>
    </row>
    <row r="72" ht="15.75" customHeight="1" s="252">
      <c r="A72" s="48" t="n">
        <v>45862</v>
      </c>
      <c r="B72" s="48" t="inlineStr">
        <is>
          <t>Oliver Loisel</t>
        </is>
      </c>
      <c r="C72" s="48" t="inlineStr">
        <is>
          <t>BTC</t>
        </is>
      </c>
      <c r="D72" s="48" t="n">
        <v>2.115364</v>
      </c>
      <c r="E72" s="50" t="n"/>
    </row>
    <row r="73" ht="15.75" customHeight="1" s="252">
      <c r="A73" s="48" t="n">
        <v>45863</v>
      </c>
      <c r="B73" s="48" t="inlineStr">
        <is>
          <t>Danielle Richetta</t>
        </is>
      </c>
      <c r="C73" s="48" t="inlineStr">
        <is>
          <t>BTC</t>
        </is>
      </c>
      <c r="D73" s="48" t="n">
        <v>-0.26</v>
      </c>
      <c r="E73" s="50" t="n"/>
    </row>
    <row r="74" ht="15.75" customHeight="1" s="252">
      <c r="A74" s="48" t="n">
        <v>45868</v>
      </c>
      <c r="B74" s="48" t="inlineStr">
        <is>
          <t>Advantage Blockchain</t>
        </is>
      </c>
      <c r="C74" s="48" t="inlineStr">
        <is>
          <t>ETH</t>
        </is>
      </c>
      <c r="D74" s="48" t="n">
        <v>32</v>
      </c>
      <c r="E74" s="50" t="n"/>
    </row>
    <row r="75" ht="15.75" customHeight="1" s="252">
      <c r="A75" s="48" t="n">
        <v>45868</v>
      </c>
      <c r="B75" s="48" t="inlineStr">
        <is>
          <t>INDIGO DIGITAL ASSET FUND LP</t>
        </is>
      </c>
      <c r="C75" s="48" t="inlineStr">
        <is>
          <t>ETH</t>
        </is>
      </c>
      <c r="D75" s="48" t="n">
        <v>-178.37</v>
      </c>
      <c r="E75" s="50" t="n"/>
    </row>
    <row r="76" ht="15.75" customHeight="1" s="252">
      <c r="A76" s="48" t="n">
        <v>45869</v>
      </c>
      <c r="B76" s="48" t="inlineStr">
        <is>
          <t>Kabbaj</t>
        </is>
      </c>
      <c r="C76" s="48" t="inlineStr">
        <is>
          <t>BTC</t>
        </is>
      </c>
      <c r="D76" s="48" t="n">
        <v>0.6</v>
      </c>
      <c r="E76" s="50" t="n"/>
    </row>
    <row r="77" ht="15.75" customHeight="1" s="252">
      <c r="A77" s="48" t="n">
        <v>45873</v>
      </c>
      <c r="B77" s="48" t="inlineStr">
        <is>
          <t>INDIGO Ventures</t>
        </is>
      </c>
      <c r="C77" s="48" t="inlineStr">
        <is>
          <t>USDT</t>
        </is>
      </c>
      <c r="D77" s="48" t="n">
        <v>130000</v>
      </c>
      <c r="E77" s="50" t="n"/>
    </row>
    <row r="78" ht="15.75" customHeight="1" s="252">
      <c r="A78" s="48" t="n">
        <v>45873</v>
      </c>
      <c r="B78" s="48" t="inlineStr">
        <is>
          <t>Babak Eftekhari</t>
        </is>
      </c>
      <c r="C78" s="48" t="inlineStr">
        <is>
          <t>USDT</t>
        </is>
      </c>
      <c r="D78" s="48" t="n">
        <v>10000</v>
      </c>
      <c r="E78" s="50" t="n"/>
    </row>
    <row r="79" ht="15.75" customHeight="1" s="252">
      <c r="A79" s="48" t="n">
        <v>45883</v>
      </c>
      <c r="B79" s="48" t="inlineStr">
        <is>
          <t>Matthew Beatty</t>
        </is>
      </c>
      <c r="C79" s="48" t="inlineStr">
        <is>
          <t>USDT</t>
        </is>
      </c>
      <c r="D79" s="48" t="n">
        <v>25900</v>
      </c>
      <c r="E79" s="50" t="n"/>
    </row>
    <row r="80" ht="15.75" customHeight="1" s="252">
      <c r="A80" s="48" t="n">
        <v>45888</v>
      </c>
      <c r="B80" s="48" t="inlineStr">
        <is>
          <t>INDIGO DIGITAL ASSET FUND LP</t>
        </is>
      </c>
      <c r="C80" s="48" t="inlineStr">
        <is>
          <t>USDT</t>
        </is>
      </c>
      <c r="D80" s="48" t="n">
        <v>111370</v>
      </c>
      <c r="E80" s="50" t="n"/>
    </row>
    <row r="81" ht="15.75" customHeight="1" s="252">
      <c r="A81" s="48" t="n">
        <v>45889</v>
      </c>
      <c r="B81" s="48" t="inlineStr">
        <is>
          <t>Danielle Richetta</t>
        </is>
      </c>
      <c r="C81" s="48" t="inlineStr">
        <is>
          <t>BTC</t>
        </is>
      </c>
      <c r="D81" s="48" t="n">
        <v>-0.11</v>
      </c>
      <c r="E81" s="50" t="n"/>
    </row>
    <row r="82" ht="15.75" customHeight="1" s="252">
      <c r="A82" s="48" t="n">
        <v>45894</v>
      </c>
      <c r="B82" s="48" t="inlineStr">
        <is>
          <t>Kabbaj</t>
        </is>
      </c>
      <c r="C82" s="48" t="inlineStr">
        <is>
          <t>BTC</t>
        </is>
      </c>
      <c r="D82" s="48" t="n">
        <v>0.9102</v>
      </c>
      <c r="E82" s="50" t="n"/>
    </row>
    <row r="83" ht="15.75" customHeight="1" s="252">
      <c r="A83" s="48" t="n">
        <v>45902</v>
      </c>
      <c r="B83" s="48" t="inlineStr">
        <is>
          <t>INDIGO DIGITAL ASSET FUND LP</t>
        </is>
      </c>
      <c r="C83" s="48" t="inlineStr">
        <is>
          <t>SOL</t>
        </is>
      </c>
      <c r="D83" s="48" t="n">
        <v>1250</v>
      </c>
      <c r="E83" s="50" t="n"/>
      <c r="F83" s="0" t="n">
        <v>0</v>
      </c>
      <c r="G83" s="0" t="n">
        <v>0</v>
      </c>
      <c r="H83" s="0" t="inlineStr">
        <is>
          <t>investor</t>
        </is>
      </c>
      <c r="I83" s="0" t="inlineStr">
        <is>
          <t>DEPOSIT</t>
        </is>
      </c>
      <c r="J83" s="0" t="inlineStr">
        <is>
          <t>sol-indigo-digital-asset-fund-lp-45902.0-83</t>
        </is>
      </c>
    </row>
    <row r="84" ht="15.75" customHeight="1" s="252">
      <c r="A84" s="48" t="n">
        <v>45904</v>
      </c>
      <c r="B84" s="48" t="inlineStr">
        <is>
          <t>Paul Johnson</t>
        </is>
      </c>
      <c r="C84" s="48" t="inlineStr">
        <is>
          <t>SOL</t>
        </is>
      </c>
      <c r="D84" s="48" t="n">
        <v>234.17</v>
      </c>
      <c r="E84" s="50" t="inlineStr">
        <is>
          <t>Alex Jacobs</t>
        </is>
      </c>
      <c r="F84" s="255" t="n">
        <v>0.04</v>
      </c>
      <c r="G84" s="255" t="n">
        <v>0.16</v>
      </c>
      <c r="H84" s="0" t="inlineStr">
        <is>
          <t>investor</t>
        </is>
      </c>
      <c r="I84" s="0" t="inlineStr">
        <is>
          <t>DEPOSIT</t>
        </is>
      </c>
      <c r="J84" s="0" t="inlineStr">
        <is>
          <t>sol-paul-johnson-45904.0-84</t>
        </is>
      </c>
    </row>
    <row r="85" ht="15.75" customHeight="1" s="252">
      <c r="A85" s="48" t="n">
        <v>45904</v>
      </c>
      <c r="B85" s="48" t="inlineStr">
        <is>
          <t>Paul Johnson</t>
        </is>
      </c>
      <c r="C85" s="48" t="inlineStr">
        <is>
          <t>ETH</t>
        </is>
      </c>
      <c r="D85" s="48" t="n">
        <v>10.44</v>
      </c>
      <c r="E85" s="50" t="n"/>
    </row>
    <row r="86" ht="15.75" customHeight="1" s="252">
      <c r="A86" s="48" t="n">
        <v>45910</v>
      </c>
      <c r="B86" s="48" t="inlineStr">
        <is>
          <t>Paul Johnson</t>
        </is>
      </c>
      <c r="C86" s="48" t="inlineStr">
        <is>
          <t>ETH</t>
        </is>
      </c>
      <c r="D86" s="48" t="n">
        <v>4.6327</v>
      </c>
      <c r="E86" s="50" t="n"/>
    </row>
    <row r="87" ht="15.75" customHeight="1" s="252">
      <c r="A87" s="48" t="n">
        <v>45912</v>
      </c>
      <c r="B87" s="48" t="inlineStr">
        <is>
          <t>Paul Johnson</t>
        </is>
      </c>
      <c r="C87" s="48" t="inlineStr">
        <is>
          <t>ETH</t>
        </is>
      </c>
      <c r="D87" s="48" t="n">
        <v>8.960000000000001</v>
      </c>
      <c r="E87" s="50" t="n"/>
    </row>
    <row r="88" ht="15.75" customHeight="1" s="252">
      <c r="A88" s="48" t="n">
        <v>45912</v>
      </c>
      <c r="B88" s="48" t="inlineStr">
        <is>
          <t>Nathanaël Cohen</t>
        </is>
      </c>
      <c r="C88" s="48" t="inlineStr">
        <is>
          <t>ETH</t>
        </is>
      </c>
      <c r="D88" s="48" t="n">
        <v>3.35</v>
      </c>
      <c r="E88" s="50" t="n"/>
    </row>
    <row r="89" ht="15.75" customHeight="1" s="252">
      <c r="A89" s="48" t="n">
        <v>45924</v>
      </c>
      <c r="B89" s="48" t="inlineStr">
        <is>
          <t>Babak Eftekhari</t>
        </is>
      </c>
      <c r="C89" s="48" t="inlineStr">
        <is>
          <t>USDT</t>
        </is>
      </c>
      <c r="D89" s="48" t="n">
        <v>10000</v>
      </c>
      <c r="E89" s="50" t="n"/>
    </row>
    <row r="90" ht="15.75" customHeight="1" s="252">
      <c r="A90" s="48" t="n">
        <v>45927</v>
      </c>
      <c r="B90" s="48" t="inlineStr">
        <is>
          <t>Tomer Zur</t>
        </is>
      </c>
      <c r="C90" s="48" t="inlineStr">
        <is>
          <t>ETH</t>
        </is>
      </c>
      <c r="D90" s="48" t="n">
        <v>63.1</v>
      </c>
      <c r="E90" s="50" t="n"/>
    </row>
    <row r="91" ht="15.75" customHeight="1" s="252">
      <c r="A91" s="48" t="n">
        <v>45933</v>
      </c>
      <c r="B91" s="48" t="inlineStr">
        <is>
          <t>Paul Johnson</t>
        </is>
      </c>
      <c r="C91" s="48" t="inlineStr">
        <is>
          <t>BTC</t>
        </is>
      </c>
      <c r="D91" s="48" t="n">
        <v>0.4395</v>
      </c>
      <c r="E91" s="50" t="n"/>
    </row>
    <row r="92" ht="15.75" customHeight="1" s="252">
      <c r="A92" s="48" t="n">
        <v>45933</v>
      </c>
      <c r="B92" s="48" t="inlineStr">
        <is>
          <t>Paul Johnson</t>
        </is>
      </c>
      <c r="C92" s="48" t="inlineStr">
        <is>
          <t>SOL</t>
        </is>
      </c>
      <c r="D92" s="48" t="n">
        <v>-236.02</v>
      </c>
      <c r="E92" s="50" t="inlineStr">
        <is>
          <t>Alex Jacobs</t>
        </is>
      </c>
      <c r="F92" s="255" t="n">
        <v>0.04</v>
      </c>
      <c r="G92" s="255" t="n">
        <v>0.16</v>
      </c>
      <c r="H92" s="0" t="inlineStr">
        <is>
          <t>investor</t>
        </is>
      </c>
      <c r="I92" s="0" t="inlineStr">
        <is>
          <t>WITHDRAWAL</t>
        </is>
      </c>
      <c r="J92" s="0" t="inlineStr">
        <is>
          <t>sol-paul-johnson-45933.0-92</t>
        </is>
      </c>
    </row>
    <row r="93" ht="15.75" customHeight="1" s="252">
      <c r="A93" s="48" t="n">
        <v>45933</v>
      </c>
      <c r="B93" s="48" t="inlineStr">
        <is>
          <t>Paul Johnson</t>
        </is>
      </c>
      <c r="C93" s="48" t="inlineStr">
        <is>
          <t>ETH</t>
        </is>
      </c>
      <c r="D93" s="48" t="n">
        <v>-12</v>
      </c>
      <c r="E93" s="50" t="n"/>
    </row>
    <row r="94" ht="15.75" customHeight="1" s="252">
      <c r="A94" s="48" t="n">
        <v>45936</v>
      </c>
      <c r="B94" s="48" t="inlineStr">
        <is>
          <t>INDIGO Ventures</t>
        </is>
      </c>
      <c r="C94" s="48" t="inlineStr">
        <is>
          <t>USDT</t>
        </is>
      </c>
      <c r="D94" s="48" t="n">
        <v>-100000</v>
      </c>
      <c r="E94" s="50" t="n"/>
    </row>
    <row r="95" ht="15.75" customHeight="1" s="252">
      <c r="A95" s="48" t="n">
        <v>45936</v>
      </c>
      <c r="B95" s="48" t="inlineStr">
        <is>
          <t>Sacha Oshry</t>
        </is>
      </c>
      <c r="C95" s="48" t="inlineStr">
        <is>
          <t>USDT</t>
        </is>
      </c>
      <c r="D95" s="48" t="n">
        <v>100000</v>
      </c>
      <c r="E95" s="50" t="n"/>
    </row>
    <row r="96" ht="15.75" customHeight="1" s="252">
      <c r="A96" s="48" t="n">
        <v>45938</v>
      </c>
      <c r="B96" s="48" t="inlineStr">
        <is>
          <t>Tomer Zur</t>
        </is>
      </c>
      <c r="C96" s="48" t="inlineStr">
        <is>
          <t>ETH</t>
        </is>
      </c>
      <c r="D96" s="48" t="n">
        <v>10.051</v>
      </c>
      <c r="E96" s="50" t="n"/>
    </row>
    <row r="97" ht="15.75" customHeight="1" s="252">
      <c r="A97" s="48" t="n">
        <v>45939</v>
      </c>
      <c r="B97" s="48" t="inlineStr">
        <is>
          <t>Babak Eftekhari</t>
        </is>
      </c>
      <c r="C97" s="48" t="inlineStr">
        <is>
          <t>USDT</t>
        </is>
      </c>
      <c r="D97" s="48" t="n">
        <v>20000</v>
      </c>
      <c r="E97" s="50" t="n"/>
    </row>
    <row r="98" ht="15.75" customHeight="1" s="252">
      <c r="A98" s="48" t="n">
        <v>45943</v>
      </c>
      <c r="B98" s="48" t="inlineStr">
        <is>
          <t>INDIGO Ventures</t>
        </is>
      </c>
      <c r="C98" s="48" t="inlineStr">
        <is>
          <t>USDT</t>
        </is>
      </c>
      <c r="D98" s="48">
        <f>-32594.55+5000</f>
        <v/>
      </c>
      <c r="E98" s="50" t="n"/>
    </row>
    <row r="99" ht="15.75" customHeight="1" s="252">
      <c r="A99" s="48" t="n">
        <v>45944</v>
      </c>
      <c r="B99" s="48" t="inlineStr">
        <is>
          <t>Tomer Zur</t>
        </is>
      </c>
      <c r="C99" s="48" t="inlineStr">
        <is>
          <t>ETH</t>
        </is>
      </c>
      <c r="D99" s="48" t="n">
        <v>64.27</v>
      </c>
      <c r="E99" s="50" t="n"/>
    </row>
    <row r="100" ht="15.75" customHeight="1" s="252">
      <c r="A100" s="48" t="n">
        <v>45944</v>
      </c>
      <c r="B100" s="48" t="inlineStr">
        <is>
          <t>Babak Eftekhari</t>
        </is>
      </c>
      <c r="C100" s="48" t="inlineStr">
        <is>
          <t>ETH</t>
        </is>
      </c>
      <c r="D100" s="48" t="n">
        <v>3.75</v>
      </c>
      <c r="E100" s="50" t="n"/>
    </row>
    <row r="101" ht="15.75" customHeight="1" s="252">
      <c r="A101" s="48" t="n">
        <v>45945</v>
      </c>
      <c r="B101" s="48" t="inlineStr">
        <is>
          <t>HALLEY86</t>
        </is>
      </c>
      <c r="C101" s="48" t="inlineStr">
        <is>
          <t>USDT</t>
        </is>
      </c>
      <c r="D101" s="48" t="n">
        <v>99990</v>
      </c>
      <c r="E101" s="50" t="n"/>
    </row>
    <row r="102" ht="15.75" customHeight="1" s="252">
      <c r="A102" s="48" t="n">
        <v>45947</v>
      </c>
      <c r="B102" s="48" t="inlineStr">
        <is>
          <t>Babak Eftekhari</t>
        </is>
      </c>
      <c r="C102" s="48" t="inlineStr">
        <is>
          <t>ETH</t>
        </is>
      </c>
      <c r="D102" s="48" t="n">
        <v>3.1</v>
      </c>
      <c r="E102" s="50" t="n"/>
    </row>
    <row r="103" ht="15.75" customHeight="1" s="252">
      <c r="A103" s="48" t="n">
        <v>45950</v>
      </c>
      <c r="B103" s="48" t="inlineStr">
        <is>
          <t>Tomer Zur</t>
        </is>
      </c>
      <c r="C103" s="48" t="inlineStr">
        <is>
          <t>ETH</t>
        </is>
      </c>
      <c r="D103" s="48" t="n">
        <v>6.5417</v>
      </c>
      <c r="E103" s="50" t="n"/>
    </row>
    <row r="104" ht="15.75" customHeight="1" s="252">
      <c r="A104" s="48" t="n">
        <v>45953</v>
      </c>
      <c r="B104" s="48" t="inlineStr">
        <is>
          <t>Jose Molla</t>
        </is>
      </c>
      <c r="C104" s="48" t="inlineStr">
        <is>
          <t>ETH</t>
        </is>
      </c>
      <c r="D104" s="48" t="n">
        <v>1.2</v>
      </c>
      <c r="E104" s="50" t="n"/>
    </row>
    <row r="105" ht="15.75" customHeight="1" s="252">
      <c r="A105" s="48" t="n">
        <v>45953</v>
      </c>
      <c r="B105" s="48" t="inlineStr">
        <is>
          <t>Tomer Zur</t>
        </is>
      </c>
      <c r="C105" s="48" t="inlineStr">
        <is>
          <t>ETH</t>
        </is>
      </c>
      <c r="D105" s="48" t="n">
        <v>6.4</v>
      </c>
      <c r="E105" s="50" t="n"/>
    </row>
    <row r="106" ht="15.75" customHeight="1" s="252">
      <c r="A106" s="48" t="n">
        <v>45953</v>
      </c>
      <c r="B106" s="48" t="inlineStr">
        <is>
          <t>Jose Molla</t>
        </is>
      </c>
      <c r="C106" s="48" t="inlineStr">
        <is>
          <t>SOL</t>
        </is>
      </c>
      <c r="D106" s="48" t="n">
        <v>87.98</v>
      </c>
      <c r="E106" s="50" t="n"/>
    </row>
    <row r="107" ht="15.75" customHeight="1" s="252">
      <c r="A107" s="48" t="n">
        <v>45953</v>
      </c>
      <c r="B107" s="48" t="inlineStr">
        <is>
          <t>Jose Molla</t>
        </is>
      </c>
      <c r="C107" s="48" t="inlineStr">
        <is>
          <t>BTC</t>
        </is>
      </c>
      <c r="D107" s="48" t="n">
        <v>0.062</v>
      </c>
      <c r="E107" s="50" t="n"/>
    </row>
    <row r="108" ht="15.75" customHeight="1" s="252">
      <c r="A108" s="48" t="n">
        <v>45953</v>
      </c>
      <c r="B108" s="48" t="inlineStr">
        <is>
          <t>Jose Molla</t>
        </is>
      </c>
      <c r="C108" s="48" t="inlineStr">
        <is>
          <t>USDT</t>
        </is>
      </c>
      <c r="D108" s="48" t="n">
        <v>97695</v>
      </c>
      <c r="E108" s="50" t="n"/>
    </row>
    <row r="109" ht="15.75" customHeight="1" s="252">
      <c r="A109" s="48" t="n">
        <v>45953</v>
      </c>
      <c r="B109" s="48" t="inlineStr">
        <is>
          <t>Babak Eftekhari</t>
        </is>
      </c>
      <c r="C109" s="48" t="inlineStr">
        <is>
          <t>USDT</t>
        </is>
      </c>
      <c r="D109" s="48" t="n">
        <v>10450</v>
      </c>
      <c r="E109" s="50" t="n"/>
    </row>
    <row r="110" ht="15.75" customHeight="1" s="252">
      <c r="A110" s="48" t="n">
        <v>45964</v>
      </c>
      <c r="B110" s="48" t="inlineStr">
        <is>
          <t>Indigo Fees</t>
        </is>
      </c>
      <c r="C110" s="48" t="inlineStr">
        <is>
          <t>ETH</t>
        </is>
      </c>
      <c r="D110" s="48" t="n">
        <v>0.03593745021234585</v>
      </c>
      <c r="E110" s="50" t="n"/>
    </row>
    <row r="111" ht="15.75" customHeight="1" s="252">
      <c r="A111" s="48" t="n">
        <v>45964</v>
      </c>
      <c r="B111" s="48" t="inlineStr">
        <is>
          <t>Jose Molla</t>
        </is>
      </c>
      <c r="C111" s="48" t="inlineStr">
        <is>
          <t>ETH</t>
        </is>
      </c>
      <c r="D111" s="48" t="n">
        <v>2.506357738606518</v>
      </c>
      <c r="E111" s="50" t="n"/>
    </row>
    <row r="112" ht="15.75" customHeight="1" s="252">
      <c r="A112" s="48" t="n">
        <v>45964</v>
      </c>
      <c r="B112" s="48" t="inlineStr">
        <is>
          <t>Nathanaël Cohen</t>
        </is>
      </c>
      <c r="C112" s="48" t="inlineStr">
        <is>
          <t>ETH</t>
        </is>
      </c>
      <c r="D112" s="48" t="n">
        <v>1.067745459138733</v>
      </c>
      <c r="E112" s="50" t="n"/>
    </row>
    <row r="113" ht="15.75" customHeight="1" s="252">
      <c r="A113" s="48" t="n">
        <v>45964</v>
      </c>
      <c r="B113" s="48" t="inlineStr">
        <is>
          <t>Blondish</t>
        </is>
      </c>
      <c r="C113" s="48" t="inlineStr">
        <is>
          <t>ETH</t>
        </is>
      </c>
      <c r="D113" s="48" t="n">
        <v>4.793959352042402</v>
      </c>
      <c r="E113" s="50" t="n"/>
    </row>
    <row r="114" ht="15.75" customHeight="1" s="252">
      <c r="A114" s="48" t="n">
        <v>45964</v>
      </c>
      <c r="B114" s="48" t="inlineStr">
        <is>
          <t>INDIGO DIGITAL ASSET FUND LP</t>
        </is>
      </c>
      <c r="C114" s="48" t="inlineStr">
        <is>
          <t>USDT</t>
        </is>
      </c>
      <c r="D114" s="48" t="n">
        <v>-113841.65</v>
      </c>
      <c r="E114" s="50" t="n"/>
    </row>
    <row r="115" ht="15.75" customHeight="1" s="252">
      <c r="A115" s="48" t="n">
        <v>45965</v>
      </c>
      <c r="B115" s="48" t="inlineStr">
        <is>
          <t>Tomer Zur</t>
        </is>
      </c>
      <c r="C115" s="48" t="inlineStr">
        <is>
          <t>ETH</t>
        </is>
      </c>
      <c r="D115" s="48" t="n">
        <v>6.9519</v>
      </c>
      <c r="E115" s="50" t="n"/>
    </row>
    <row r="116" ht="15.75" customHeight="1" s="252">
      <c r="A116" s="48" t="n">
        <v>45965</v>
      </c>
      <c r="B116" s="48" t="inlineStr">
        <is>
          <t>Matthew Beatty</t>
        </is>
      </c>
      <c r="C116" s="48" t="inlineStr">
        <is>
          <t>USDT</t>
        </is>
      </c>
      <c r="D116" s="48" t="n">
        <v>35300</v>
      </c>
      <c r="E116" s="50" t="n"/>
    </row>
    <row r="117" ht="15.75" customHeight="1" s="252">
      <c r="A117" s="48" t="n">
        <v>45966</v>
      </c>
      <c r="B117" s="48" t="inlineStr">
        <is>
          <t>Tomer Zur</t>
        </is>
      </c>
      <c r="C117" s="48" t="inlineStr">
        <is>
          <t>ETH</t>
        </is>
      </c>
      <c r="D117" s="48" t="n">
        <v>7.6215</v>
      </c>
      <c r="E117" s="50" t="n"/>
    </row>
    <row r="118" ht="15.75" customHeight="1" s="252">
      <c r="A118" s="48" t="n">
        <v>45966</v>
      </c>
      <c r="B118" s="48" t="inlineStr">
        <is>
          <t>Danielle Richetta</t>
        </is>
      </c>
      <c r="C118" s="48" t="inlineStr">
        <is>
          <t>BTC</t>
        </is>
      </c>
      <c r="D118" s="48" t="n">
        <v>-0.283</v>
      </c>
      <c r="E118" s="50" t="n"/>
    </row>
    <row r="119" ht="15.75" customHeight="1" s="252">
      <c r="A119" s="48" t="n">
        <v>45966</v>
      </c>
      <c r="B119" s="48" t="inlineStr">
        <is>
          <t>Paul Johnson</t>
        </is>
      </c>
      <c r="C119" s="48" t="inlineStr">
        <is>
          <t>BTC</t>
        </is>
      </c>
      <c r="D119" s="48" t="n">
        <v>-0.4408</v>
      </c>
      <c r="E119" s="50" t="n"/>
    </row>
    <row r="120" ht="15.75" customHeight="1" s="252">
      <c r="A120" s="48" t="n">
        <v>45966</v>
      </c>
      <c r="B120" s="48" t="inlineStr">
        <is>
          <t>Paul Johnson</t>
        </is>
      </c>
      <c r="C120" s="48" t="inlineStr">
        <is>
          <t>ETH</t>
        </is>
      </c>
      <c r="D120" s="48" t="n">
        <v>-12.22</v>
      </c>
      <c r="E120" s="50" t="n"/>
    </row>
    <row r="121" ht="15.75" customHeight="1" s="252">
      <c r="A121" s="48" t="n">
        <v>45968</v>
      </c>
      <c r="B121" s="48" t="inlineStr">
        <is>
          <t>Monica Levy Chicheportiche</t>
        </is>
      </c>
      <c r="C121" s="48" t="inlineStr">
        <is>
          <t>USDT</t>
        </is>
      </c>
      <c r="D121" s="48" t="n">
        <v>840168.03</v>
      </c>
      <c r="E121" s="50" t="n"/>
    </row>
    <row r="122" ht="15.75" customHeight="1" s="252">
      <c r="A122" s="48" t="n">
        <v>45968</v>
      </c>
      <c r="B122" s="48" t="inlineStr">
        <is>
          <t>Tomer Zur</t>
        </is>
      </c>
      <c r="C122" s="48" t="inlineStr">
        <is>
          <t>ETH</t>
        </is>
      </c>
      <c r="D122" s="48" t="n">
        <v>10.224</v>
      </c>
      <c r="E122" s="50" t="n"/>
    </row>
    <row r="123" ht="15.75" customHeight="1" s="252">
      <c r="A123" s="48" t="n">
        <v>45969</v>
      </c>
      <c r="B123" s="48" t="inlineStr">
        <is>
          <t>Jose Molla</t>
        </is>
      </c>
      <c r="C123" s="48" t="inlineStr">
        <is>
          <t>USDT</t>
        </is>
      </c>
      <c r="D123" s="48" t="n">
        <v>-50000</v>
      </c>
      <c r="E123" s="50" t="n"/>
    </row>
    <row r="124" ht="15.75" customHeight="1" s="252">
      <c r="A124" s="48" t="n">
        <v>45969</v>
      </c>
      <c r="B124" s="48" t="inlineStr">
        <is>
          <t>Jose Molla</t>
        </is>
      </c>
      <c r="C124" s="48" t="inlineStr">
        <is>
          <t>BTC</t>
        </is>
      </c>
      <c r="D124" s="48" t="n">
        <v>0.4867</v>
      </c>
      <c r="E124" s="50" t="n"/>
    </row>
    <row r="125" ht="15.75" customHeight="1" s="252">
      <c r="A125" s="48" t="n">
        <v>45974</v>
      </c>
      <c r="B125" s="48" t="inlineStr">
        <is>
          <t>Nath &amp; Thomas</t>
        </is>
      </c>
      <c r="C125" s="48" t="inlineStr">
        <is>
          <t>USDT</t>
        </is>
      </c>
      <c r="D125" s="48" t="n">
        <v>299915.77</v>
      </c>
      <c r="E125" s="50" t="n"/>
    </row>
    <row r="126" ht="15.75" customHeight="1" s="252">
      <c r="A126" s="48" t="n">
        <v>45978</v>
      </c>
      <c r="B126" s="48" t="inlineStr">
        <is>
          <t>Sam Johnson</t>
        </is>
      </c>
      <c r="C126" s="48" t="inlineStr">
        <is>
          <t>BTC</t>
        </is>
      </c>
      <c r="D126" s="48" t="n">
        <v>3.3</v>
      </c>
      <c r="E126" s="50" t="n"/>
    </row>
    <row r="127" ht="15.75" customHeight="1" s="252">
      <c r="A127" s="48" t="n">
        <v>45978</v>
      </c>
      <c r="B127" s="48" t="inlineStr">
        <is>
          <t>Sam Johnson</t>
        </is>
      </c>
      <c r="C127" s="48" t="inlineStr">
        <is>
          <t>ETH</t>
        </is>
      </c>
      <c r="D127" s="48" t="n">
        <v>78</v>
      </c>
      <c r="E127" s="50" t="n"/>
    </row>
    <row r="128" ht="15.75" customHeight="1" s="252">
      <c r="A128" s="48" t="n">
        <v>45978</v>
      </c>
      <c r="B128" s="48" t="inlineStr">
        <is>
          <t>Sam Johnson</t>
        </is>
      </c>
      <c r="C128" s="48" t="inlineStr">
        <is>
          <t>SOL</t>
        </is>
      </c>
      <c r="D128" s="48" t="n">
        <v>1800.05</v>
      </c>
      <c r="E128" s="50" t="n"/>
    </row>
    <row r="129" ht="15.75" customHeight="1" s="252">
      <c r="A129" s="48" t="n">
        <v>45978</v>
      </c>
      <c r="B129" s="48" t="inlineStr">
        <is>
          <t>Sam Johnson</t>
        </is>
      </c>
      <c r="C129" s="48" t="inlineStr">
        <is>
          <t>XRP</t>
        </is>
      </c>
      <c r="D129" s="48" t="n">
        <v>135003</v>
      </c>
      <c r="E129" s="50" t="inlineStr">
        <is>
          <t>Ryan Van Der Wall</t>
        </is>
      </c>
      <c r="F129" s="255" t="n">
        <v>0.04</v>
      </c>
      <c r="G129" s="255" t="n">
        <v>0.16</v>
      </c>
      <c r="H129" s="0" t="inlineStr">
        <is>
          <t>investor</t>
        </is>
      </c>
      <c r="I129" s="0" t="inlineStr">
        <is>
          <t>DEPOSIT</t>
        </is>
      </c>
      <c r="J129" s="0" t="inlineStr">
        <is>
          <t>xrp-sam-45978.0-129</t>
        </is>
      </c>
    </row>
    <row r="130" ht="15.75" customHeight="1" s="252">
      <c r="A130" s="48" t="n">
        <v>45978</v>
      </c>
      <c r="B130" s="48" t="inlineStr">
        <is>
          <t>Tomer Zur</t>
        </is>
      </c>
      <c r="C130" s="48" t="inlineStr">
        <is>
          <t>ETH</t>
        </is>
      </c>
      <c r="D130" s="48" t="n">
        <v>6.234</v>
      </c>
      <c r="E130" s="50" t="n"/>
    </row>
    <row r="131" ht="15.75" customHeight="1" s="252">
      <c r="A131" s="48" t="n">
        <v>45982</v>
      </c>
      <c r="B131" s="48" t="inlineStr">
        <is>
          <t>Jose Molla</t>
        </is>
      </c>
      <c r="C131" s="48" t="inlineStr">
        <is>
          <t>USDT</t>
        </is>
      </c>
      <c r="D131" s="48" t="n">
        <v>-47908</v>
      </c>
      <c r="E131" s="50" t="n"/>
    </row>
    <row r="132" ht="15.75" customHeight="1" s="252">
      <c r="A132" s="48" t="n">
        <v>45986</v>
      </c>
      <c r="B132" s="48" t="inlineStr">
        <is>
          <t>Sam Johnson</t>
        </is>
      </c>
      <c r="C132" s="48" t="inlineStr">
        <is>
          <t>BTC</t>
        </is>
      </c>
      <c r="D132" s="48" t="n">
        <v>1</v>
      </c>
      <c r="E132" s="50" t="n"/>
    </row>
    <row r="133" ht="15.75" customHeight="1" s="252">
      <c r="A133" s="48" t="n">
        <v>45986</v>
      </c>
      <c r="B133" s="48" t="inlineStr">
        <is>
          <t>Sam Johnson</t>
        </is>
      </c>
      <c r="C133" s="48" t="inlineStr">
        <is>
          <t>XRP</t>
        </is>
      </c>
      <c r="D133" s="48" t="n">
        <v>49000</v>
      </c>
      <c r="E133" s="50" t="inlineStr">
        <is>
          <t>Ryan Van Der Wall</t>
        </is>
      </c>
      <c r="F133" s="255" t="n">
        <v>0.04</v>
      </c>
      <c r="G133" s="255" t="n">
        <v>0.16</v>
      </c>
      <c r="H133" s="0" t="inlineStr">
        <is>
          <t>investor</t>
        </is>
      </c>
      <c r="I133" s="0" t="inlineStr">
        <is>
          <t>DEPOSIT</t>
        </is>
      </c>
      <c r="J133" s="0" t="inlineStr">
        <is>
          <t>xrp-sam-45986.0-133</t>
        </is>
      </c>
    </row>
    <row r="134" ht="15.75" customHeight="1" s="252">
      <c r="A134" s="48" t="n">
        <v>45986</v>
      </c>
      <c r="B134" s="48" t="inlineStr">
        <is>
          <t>Sam Johnson</t>
        </is>
      </c>
      <c r="C134" s="48" t="inlineStr">
        <is>
          <t>SOL</t>
        </is>
      </c>
      <c r="D134" s="48" t="n">
        <v>750</v>
      </c>
      <c r="E134" s="50" t="n"/>
    </row>
    <row r="135" ht="15.75" customHeight="1" s="252">
      <c r="A135" s="48" t="n">
        <v>45986</v>
      </c>
      <c r="B135" s="48" t="inlineStr">
        <is>
          <t>Sam Johnson</t>
        </is>
      </c>
      <c r="C135" s="48" t="inlineStr">
        <is>
          <t>ETH</t>
        </is>
      </c>
      <c r="D135" s="48" t="n">
        <v>35</v>
      </c>
      <c r="E135" s="50" t="n"/>
    </row>
    <row r="136" ht="15.75" customHeight="1" s="252">
      <c r="A136" s="48" t="n">
        <v>45986</v>
      </c>
      <c r="B136" s="48" t="inlineStr">
        <is>
          <t>Jose Molla</t>
        </is>
      </c>
      <c r="C136" s="48" t="inlineStr">
        <is>
          <t>BTC</t>
        </is>
      </c>
      <c r="D136" s="48" t="n">
        <v>0.548</v>
      </c>
      <c r="E136" s="50" t="n"/>
    </row>
    <row r="137" ht="15.75" customHeight="1" s="252">
      <c r="A137" s="48" t="n">
        <v>45986</v>
      </c>
      <c r="B137" s="48" t="inlineStr">
        <is>
          <t>Valeria Cruz</t>
        </is>
      </c>
      <c r="C137" s="48" t="inlineStr">
        <is>
          <t>USDT</t>
        </is>
      </c>
      <c r="D137" s="48" t="n">
        <v>50000</v>
      </c>
      <c r="E137" s="50" t="n"/>
    </row>
    <row r="138" ht="15.75" customHeight="1" s="252">
      <c r="A138" s="48" t="n">
        <v>45987</v>
      </c>
      <c r="B138" s="48" t="inlineStr">
        <is>
          <t>Matthew Beatty</t>
        </is>
      </c>
      <c r="C138" s="48" t="inlineStr">
        <is>
          <t>USDT</t>
        </is>
      </c>
      <c r="D138" s="48" t="n">
        <v>18000</v>
      </c>
      <c r="E138" s="50" t="n"/>
    </row>
    <row r="139" ht="15.75" customHeight="1" s="252">
      <c r="A139" s="48" t="n">
        <v>45987</v>
      </c>
      <c r="B139" s="48" t="inlineStr">
        <is>
          <t>Nath &amp; Thomas</t>
        </is>
      </c>
      <c r="C139" s="48" t="inlineStr">
        <is>
          <t>USDT</t>
        </is>
      </c>
      <c r="D139" s="48" t="n">
        <v>-87937</v>
      </c>
      <c r="E139" s="50" t="n"/>
    </row>
    <row r="140" ht="15.75" customHeight="1" s="252">
      <c r="A140" s="48" t="n">
        <v>45988</v>
      </c>
      <c r="B140" s="48" t="inlineStr">
        <is>
          <t>Ventures Life Style</t>
        </is>
      </c>
      <c r="C140" s="48" t="inlineStr">
        <is>
          <t>USDT</t>
        </is>
      </c>
      <c r="D140" s="48" t="n">
        <v>100000</v>
      </c>
      <c r="E140" s="50" t="n"/>
    </row>
    <row r="141" ht="15.75" customHeight="1" s="252">
      <c r="A141" s="48" t="n">
        <v>45988</v>
      </c>
      <c r="B141" s="48" t="inlineStr">
        <is>
          <t>Nath &amp; Thomas</t>
        </is>
      </c>
      <c r="C141" s="48" t="inlineStr">
        <is>
          <t>BTC</t>
        </is>
      </c>
      <c r="D141" s="48" t="n">
        <v>1</v>
      </c>
      <c r="E141" s="50" t="n"/>
    </row>
    <row r="142" ht="15.75" customHeight="1" s="252">
      <c r="A142" s="48" t="n">
        <v>45988</v>
      </c>
      <c r="B142" s="48" t="inlineStr">
        <is>
          <t>Vivie &amp; Liana</t>
        </is>
      </c>
      <c r="C142" s="48" t="inlineStr">
        <is>
          <t>BTC</t>
        </is>
      </c>
      <c r="D142" s="48" t="n">
        <v>3.411</v>
      </c>
      <c r="E142" s="50" t="n"/>
    </row>
    <row r="143" ht="15.75" customHeight="1" s="252">
      <c r="A143" s="48" t="n">
        <v>45991</v>
      </c>
      <c r="B143" s="48" t="inlineStr">
        <is>
          <t>Sam Johnson</t>
        </is>
      </c>
      <c r="C143" s="48" t="inlineStr">
        <is>
          <t>BTC</t>
        </is>
      </c>
      <c r="D143" s="48" t="n">
        <v>1.2</v>
      </c>
      <c r="E143" s="50" t="n"/>
    </row>
    <row r="144" ht="15.75" customHeight="1" s="252">
      <c r="A144" s="48" t="n">
        <v>45991</v>
      </c>
      <c r="B144" s="48" t="inlineStr">
        <is>
          <t>Sam Johnson</t>
        </is>
      </c>
      <c r="C144" s="48" t="inlineStr">
        <is>
          <t>XRP</t>
        </is>
      </c>
      <c r="D144" s="48" t="n">
        <v>45000</v>
      </c>
      <c r="E144" s="50" t="inlineStr">
        <is>
          <t>Ryan Van Der Wall</t>
        </is>
      </c>
      <c r="F144" s="255" t="n">
        <v>0.04</v>
      </c>
      <c r="G144" s="255" t="n">
        <v>0.16</v>
      </c>
      <c r="H144" s="0" t="inlineStr">
        <is>
          <t>investor</t>
        </is>
      </c>
      <c r="I144" s="0" t="inlineStr">
        <is>
          <t>DEPOSIT</t>
        </is>
      </c>
      <c r="J144" s="0" t="inlineStr">
        <is>
          <t>xrp-sam-45991.0-144</t>
        </is>
      </c>
    </row>
    <row r="145" ht="15.75" customHeight="1" s="252">
      <c r="A145" s="48" t="n">
        <v>45991</v>
      </c>
      <c r="B145" s="48" t="inlineStr">
        <is>
          <t>Sam Johnson</t>
        </is>
      </c>
      <c r="C145" s="48" t="inlineStr">
        <is>
          <t>SOL</t>
        </is>
      </c>
      <c r="D145" s="48" t="n">
        <v>750</v>
      </c>
      <c r="E145" s="50" t="n"/>
    </row>
    <row r="146" ht="15.75" customHeight="1" s="252">
      <c r="A146" s="48" t="n">
        <v>45991</v>
      </c>
      <c r="B146" s="48" t="inlineStr">
        <is>
          <t>Sam Johnson</t>
        </is>
      </c>
      <c r="C146" s="48" t="inlineStr">
        <is>
          <t>ETH</t>
        </is>
      </c>
      <c r="D146" s="48" t="n">
        <v>33</v>
      </c>
      <c r="E146" s="50" t="n"/>
    </row>
    <row r="147" ht="15.75" customHeight="1" s="252">
      <c r="A147" s="48" t="n">
        <v>45993</v>
      </c>
      <c r="B147" s="48" t="inlineStr">
        <is>
          <t>Tomer Zur</t>
        </is>
      </c>
      <c r="C147" s="48" t="inlineStr">
        <is>
          <t>ETH</t>
        </is>
      </c>
      <c r="D147" s="48" t="n">
        <v>9.143000000000001</v>
      </c>
      <c r="E147" s="50" t="n"/>
    </row>
    <row r="148" ht="15.75" customHeight="1" s="252">
      <c r="A148" s="48" t="n">
        <v>45995</v>
      </c>
      <c r="B148" s="48" t="inlineStr">
        <is>
          <t>INDIGO DIGITAL ASSET FUND LP</t>
        </is>
      </c>
      <c r="C148" s="48" t="inlineStr">
        <is>
          <t>SOL</t>
        </is>
      </c>
      <c r="D148" s="48" t="n">
        <v>-1285.66</v>
      </c>
      <c r="E148" s="50" t="n"/>
      <c r="F148" s="0" t="n">
        <v>0</v>
      </c>
      <c r="G148" s="0" t="n">
        <v>0</v>
      </c>
      <c r="H148" s="0" t="inlineStr">
        <is>
          <t>investor</t>
        </is>
      </c>
      <c r="I148" s="0" t="inlineStr">
        <is>
          <t>WITHDRAWAL</t>
        </is>
      </c>
      <c r="J148" s="0" t="inlineStr">
        <is>
          <t>sol-indigo-digital-asset-fund-lp-45995.0-148</t>
        </is>
      </c>
    </row>
    <row r="149" ht="15.75" customHeight="1" s="252">
      <c r="A149" s="48" t="n">
        <v>45995</v>
      </c>
      <c r="B149" s="48" t="inlineStr">
        <is>
          <t>Brandon Hood</t>
        </is>
      </c>
      <c r="C149" s="48" t="inlineStr">
        <is>
          <t>ETH</t>
        </is>
      </c>
      <c r="D149" s="48" t="n">
        <v>31.37</v>
      </c>
      <c r="E149" s="50" t="n"/>
    </row>
    <row r="150" ht="15.75" customHeight="1" s="252">
      <c r="A150" s="48" t="n">
        <v>45999</v>
      </c>
      <c r="B150" s="48" t="inlineStr">
        <is>
          <t>Nath &amp; Thomas</t>
        </is>
      </c>
      <c r="C150" s="48" t="inlineStr">
        <is>
          <t>USDT</t>
        </is>
      </c>
      <c r="D150" s="48" t="n">
        <v>-213501.6</v>
      </c>
      <c r="E150" s="50" t="n"/>
    </row>
    <row r="151" ht="15.75" customHeight="1" s="252">
      <c r="A151" s="48" t="n">
        <v>45999</v>
      </c>
      <c r="B151" s="48" t="inlineStr">
        <is>
          <t>Thomas Puech</t>
        </is>
      </c>
      <c r="C151" s="48" t="inlineStr">
        <is>
          <t>USDT</t>
        </is>
      </c>
      <c r="D151" s="48">
        <f>D150/-2-60000</f>
        <v/>
      </c>
      <c r="E151" s="50" t="n"/>
    </row>
    <row r="152" ht="15.75" customHeight="1" s="252">
      <c r="A152" s="48" t="n">
        <v>45999</v>
      </c>
      <c r="B152" s="48" t="inlineStr">
        <is>
          <t>Sam Johnson</t>
        </is>
      </c>
      <c r="C152" s="48" t="inlineStr">
        <is>
          <t>XRP</t>
        </is>
      </c>
      <c r="D152" s="48" t="n">
        <v>49500</v>
      </c>
      <c r="E152" s="50" t="inlineStr">
        <is>
          <t>Ryan Van Der Wall</t>
        </is>
      </c>
      <c r="F152" s="255" t="n">
        <v>0.04</v>
      </c>
      <c r="G152" s="255" t="n">
        <v>0.16</v>
      </c>
      <c r="H152" s="0" t="inlineStr">
        <is>
          <t>investor</t>
        </is>
      </c>
      <c r="I152" s="0" t="inlineStr">
        <is>
          <t>DEPOSIT</t>
        </is>
      </c>
      <c r="J152" s="0" t="inlineStr">
        <is>
          <t>xrp-sam-45999.0-152</t>
        </is>
      </c>
    </row>
    <row r="153" ht="15.75" customHeight="1" s="252">
      <c r="A153" s="48" t="n">
        <v>45999</v>
      </c>
      <c r="B153" s="48" t="inlineStr">
        <is>
          <t>Sam Johnson</t>
        </is>
      </c>
      <c r="C153" s="48" t="inlineStr">
        <is>
          <t>SOL</t>
        </is>
      </c>
      <c r="D153" s="48" t="n">
        <v>770</v>
      </c>
      <c r="E153" s="50" t="n"/>
    </row>
    <row r="154" ht="15.75" customHeight="1" s="252">
      <c r="A154" s="48" t="n">
        <v>45999</v>
      </c>
      <c r="B154" s="48" t="inlineStr">
        <is>
          <t>Sam Johnson</t>
        </is>
      </c>
      <c r="C154" s="48" t="inlineStr">
        <is>
          <t>ETH</t>
        </is>
      </c>
      <c r="D154" s="48" t="n">
        <v>34</v>
      </c>
      <c r="E154" s="50" t="n"/>
    </row>
    <row r="155" ht="15.75" customHeight="1" s="252">
      <c r="A155" s="48" t="n">
        <v>45999</v>
      </c>
      <c r="B155" s="48" t="inlineStr">
        <is>
          <t>Sam Johnson</t>
        </is>
      </c>
      <c r="C155" s="48" t="inlineStr">
        <is>
          <t>BTC</t>
        </is>
      </c>
      <c r="D155" s="48" t="n">
        <v>1.1</v>
      </c>
      <c r="E155" s="50" t="n"/>
    </row>
    <row r="156" ht="15.75" customHeight="1" s="252">
      <c r="A156" s="48" t="n">
        <v>46000</v>
      </c>
      <c r="B156" s="48" t="inlineStr">
        <is>
          <t>Thomas Puech</t>
        </is>
      </c>
      <c r="C156" s="48" t="inlineStr">
        <is>
          <t>BTC</t>
        </is>
      </c>
      <c r="D156" s="48" t="n">
        <v>0.657</v>
      </c>
      <c r="E156" s="50" t="n"/>
    </row>
    <row r="157" ht="15.75" customHeight="1" s="252">
      <c r="A157" s="48" t="n">
        <v>46006</v>
      </c>
      <c r="B157" s="48" t="inlineStr">
        <is>
          <t>Sam Johnson</t>
        </is>
      </c>
      <c r="C157" s="48" t="inlineStr">
        <is>
          <t>XRP</t>
        </is>
      </c>
      <c r="D157" s="48" t="n">
        <v>50100</v>
      </c>
      <c r="E157" s="50" t="inlineStr">
        <is>
          <t>Ryan Van Der Wall</t>
        </is>
      </c>
      <c r="F157" s="255" t="n">
        <v>0.04</v>
      </c>
      <c r="G157" s="255" t="n">
        <v>0.16</v>
      </c>
      <c r="H157" s="0" t="inlineStr">
        <is>
          <t>investor</t>
        </is>
      </c>
      <c r="I157" s="0" t="inlineStr">
        <is>
          <t>DEPOSIT</t>
        </is>
      </c>
      <c r="J157" s="0" t="inlineStr">
        <is>
          <t>xrp-sam-46006.0-157</t>
        </is>
      </c>
    </row>
    <row r="158" ht="15.75" customHeight="1" s="252">
      <c r="A158" s="48" t="n">
        <v>46006</v>
      </c>
      <c r="B158" s="48" t="inlineStr">
        <is>
          <t>Sam Johnson</t>
        </is>
      </c>
      <c r="C158" s="48" t="inlineStr">
        <is>
          <t>SOL</t>
        </is>
      </c>
      <c r="D158" s="48" t="n">
        <v>766</v>
      </c>
      <c r="E158" s="50" t="n"/>
    </row>
    <row r="159" ht="15.75" customHeight="1" s="252">
      <c r="A159" s="48" t="n">
        <v>46006</v>
      </c>
      <c r="B159" s="48" t="inlineStr">
        <is>
          <t>Sam Johnson</t>
        </is>
      </c>
      <c r="C159" s="48" t="inlineStr">
        <is>
          <t>ETH</t>
        </is>
      </c>
      <c r="D159" s="48" t="n">
        <v>32.5</v>
      </c>
      <c r="E159" s="50" t="n"/>
    </row>
    <row r="160" ht="15.75" customHeight="1" s="252">
      <c r="A160" s="48" t="n">
        <v>46006</v>
      </c>
      <c r="B160" s="48" t="inlineStr">
        <is>
          <t>Sam Johnson</t>
        </is>
      </c>
      <c r="C160" s="48" t="inlineStr">
        <is>
          <t>BTC</t>
        </is>
      </c>
      <c r="D160" s="48" t="n">
        <v>1.17</v>
      </c>
      <c r="E160" s="50" t="n"/>
    </row>
    <row r="161" ht="15.75" customHeight="1" s="252">
      <c r="A161" s="48" t="n">
        <v>46014</v>
      </c>
      <c r="B161" s="48" t="inlineStr">
        <is>
          <t>Matthias Reiser</t>
        </is>
      </c>
      <c r="C161" s="48" t="inlineStr">
        <is>
          <t>BTC</t>
        </is>
      </c>
      <c r="D161" s="48" t="n">
        <v>-4.9895</v>
      </c>
      <c r="E161" s="50" t="n"/>
    </row>
    <row r="162" ht="15.75" customHeight="1" s="252">
      <c r="A162" s="48" t="n">
        <v>46024</v>
      </c>
      <c r="B162" s="48" t="inlineStr">
        <is>
          <t>Sam Johnson</t>
        </is>
      </c>
      <c r="C162" s="48" t="inlineStr">
        <is>
          <t>XRP</t>
        </is>
      </c>
      <c r="D162" s="48" t="n">
        <v>-330500.42</v>
      </c>
      <c r="E162" s="50" t="inlineStr">
        <is>
          <t>Ryan Van Der Wall</t>
        </is>
      </c>
      <c r="F162" s="255" t="n">
        <v>0.04</v>
      </c>
      <c r="G162" s="255" t="n">
        <v>0.16</v>
      </c>
      <c r="H162" s="0" t="inlineStr">
        <is>
          <t>investor</t>
        </is>
      </c>
      <c r="I162" s="0" t="inlineStr">
        <is>
          <t>WITHDRAWAL</t>
        </is>
      </c>
      <c r="J162" s="0" t="inlineStr">
        <is>
          <t>xrp-sam-46024.0-162</t>
        </is>
      </c>
    </row>
    <row r="163" ht="15.75" customHeight="1" s="252">
      <c r="A163" s="48" t="n">
        <v>46024</v>
      </c>
      <c r="B163" s="48" t="inlineStr">
        <is>
          <t>Sam Johnson</t>
        </is>
      </c>
      <c r="C163" s="48" t="inlineStr">
        <is>
          <t>SOL</t>
        </is>
      </c>
      <c r="D163" s="48" t="n">
        <v>-4873.15</v>
      </c>
      <c r="E163" s="50" t="n"/>
    </row>
    <row r="164" ht="15.75" customHeight="1" s="252">
      <c r="A164" s="48" t="n">
        <v>46024</v>
      </c>
      <c r="B164" s="48" t="inlineStr">
        <is>
          <t>Sam Johnson</t>
        </is>
      </c>
      <c r="C164" s="48" t="inlineStr">
        <is>
          <t>ETH</t>
        </is>
      </c>
      <c r="D164" s="48" t="n">
        <v>-213.73</v>
      </c>
      <c r="E164" s="50" t="n"/>
    </row>
    <row r="165" ht="15.75" customHeight="1" s="252">
      <c r="A165" s="48" t="n">
        <v>46024</v>
      </c>
      <c r="B165" s="48" t="inlineStr">
        <is>
          <t>Sam Johnson</t>
        </is>
      </c>
      <c r="C165" s="48" t="inlineStr">
        <is>
          <t>BTC</t>
        </is>
      </c>
      <c r="D165" s="48" t="n">
        <v>-7.7852</v>
      </c>
      <c r="E165" s="50" t="n"/>
    </row>
    <row r="166" ht="15.75" customHeight="1" s="252">
      <c r="A166" s="48" t="n">
        <v>46024</v>
      </c>
      <c r="B166" s="48" t="inlineStr">
        <is>
          <t>Advantage Blockchain</t>
        </is>
      </c>
      <c r="C166" s="48" t="inlineStr">
        <is>
          <t>ETH</t>
        </is>
      </c>
      <c r="D166" s="48" t="n">
        <v>18</v>
      </c>
      <c r="E166" s="50" t="n"/>
    </row>
    <row r="167" ht="15.75" customHeight="1" s="252">
      <c r="A167" s="48" t="n">
        <v>46027</v>
      </c>
      <c r="B167" s="48" t="inlineStr">
        <is>
          <t>Vivie &amp; Liana</t>
        </is>
      </c>
      <c r="C167" s="48" t="inlineStr">
        <is>
          <t>BTC</t>
        </is>
      </c>
      <c r="D167" s="48" t="n">
        <v>-3.4221</v>
      </c>
      <c r="E167" s="50" t="n"/>
    </row>
    <row r="168" ht="15.75" customHeight="1" s="252">
      <c r="A168" s="48" t="n">
        <v>46027</v>
      </c>
      <c r="B168" s="48" t="inlineStr">
        <is>
          <t>Nathanaël Cohen</t>
        </is>
      </c>
      <c r="C168" s="48" t="inlineStr">
        <is>
          <t>ETH</t>
        </is>
      </c>
      <c r="D168" s="48" t="n">
        <v>11.84556</v>
      </c>
      <c r="E168" s="50" t="n"/>
    </row>
    <row r="169" ht="15.75" customHeight="1" s="252">
      <c r="A169" s="48" t="n">
        <v>46027</v>
      </c>
      <c r="B169" s="48" t="inlineStr">
        <is>
          <t>Kabbaj</t>
        </is>
      </c>
      <c r="C169" s="48" t="inlineStr">
        <is>
          <t>BTC</t>
        </is>
      </c>
      <c r="D169" s="48" t="n">
        <v>2.1577</v>
      </c>
      <c r="E169" s="50" t="n"/>
    </row>
    <row r="170" ht="15.75" customHeight="1" s="252">
      <c r="A170" s="48" t="n">
        <v>46030</v>
      </c>
      <c r="B170" s="48" t="inlineStr">
        <is>
          <t>INDIGO Ventures</t>
        </is>
      </c>
      <c r="C170" s="48" t="inlineStr">
        <is>
          <t>USDT</t>
        </is>
      </c>
      <c r="D170" s="48" t="n">
        <v>-5115.04</v>
      </c>
      <c r="E170" s="50" t="n"/>
    </row>
    <row r="171" ht="15.75" customHeight="1" s="252">
      <c r="A171" s="48" t="n">
        <v>46030</v>
      </c>
      <c r="B171" s="48" t="inlineStr">
        <is>
          <t>Daniele Francilia</t>
        </is>
      </c>
      <c r="C171" s="48" t="inlineStr">
        <is>
          <t>USDT</t>
        </is>
      </c>
      <c r="D171" s="48" t="n">
        <v>-114867.59</v>
      </c>
      <c r="E171" s="50" t="n"/>
    </row>
    <row r="172" ht="15.75" customHeight="1" s="252">
      <c r="A172" s="48" t="n">
        <v>46035</v>
      </c>
      <c r="B172" s="48" t="inlineStr">
        <is>
          <t>NSVO Holdings</t>
        </is>
      </c>
      <c r="C172" s="48" t="inlineStr">
        <is>
          <t>BTC</t>
        </is>
      </c>
      <c r="D172" s="48" t="n">
        <v>0.622</v>
      </c>
      <c r="E172" s="50" t="n"/>
    </row>
    <row r="173" ht="15.75" customHeight="1" s="252">
      <c r="A173" s="48" t="n">
        <v>46035</v>
      </c>
      <c r="B173" s="48" t="inlineStr">
        <is>
          <t>NSVO Holdings</t>
        </is>
      </c>
      <c r="C173" s="48" t="inlineStr">
        <is>
          <t>ETH</t>
        </is>
      </c>
      <c r="D173" s="48" t="n">
        <v>25.03</v>
      </c>
      <c r="E173" s="50" t="n"/>
    </row>
    <row r="174" ht="15.75" customHeight="1" s="252">
      <c r="A174" s="48" t="n">
        <v>46035</v>
      </c>
      <c r="B174" s="48" t="inlineStr">
        <is>
          <t>Thomas Puech</t>
        </is>
      </c>
      <c r="C174" s="48" t="inlineStr">
        <is>
          <t>BTC</t>
        </is>
      </c>
      <c r="D174" s="48" t="n">
        <v>0.1135766</v>
      </c>
      <c r="E174" s="50" t="n"/>
    </row>
    <row r="175" ht="15.75" customHeight="1" s="252">
      <c r="A175" s="48" t="n">
        <v>46041</v>
      </c>
      <c r="B175" s="48" t="inlineStr">
        <is>
          <t>Kyle Gulamerian</t>
        </is>
      </c>
      <c r="C175" s="48" t="inlineStr">
        <is>
          <t>BTC</t>
        </is>
      </c>
      <c r="D175" s="48" t="n">
        <v>3.9998</v>
      </c>
      <c r="E175" s="50" t="n"/>
    </row>
    <row r="176" ht="15.75" customHeight="1" s="252">
      <c r="A176" s="48" t="n">
        <v>46041</v>
      </c>
      <c r="B176" s="48" t="inlineStr">
        <is>
          <t>Danielle Richetta</t>
        </is>
      </c>
      <c r="C176" s="48" t="inlineStr">
        <is>
          <t>BTC</t>
        </is>
      </c>
      <c r="D176" s="48" t="n">
        <v>-0.12</v>
      </c>
      <c r="E176" s="50" t="n"/>
    </row>
    <row r="177" ht="15.75" customHeight="1" s="252">
      <c r="A177" s="48" t="n">
        <v>46041</v>
      </c>
      <c r="B177" s="48" t="inlineStr">
        <is>
          <t>Sam Johnson</t>
        </is>
      </c>
      <c r="C177" s="48" t="inlineStr">
        <is>
          <t>USDT</t>
        </is>
      </c>
      <c r="D177" s="48" t="n">
        <v>4200000</v>
      </c>
      <c r="E177" s="50" t="n"/>
    </row>
    <row r="178" ht="15.75" customHeight="1" s="252">
      <c r="A178" s="48" t="n">
        <v>46045</v>
      </c>
      <c r="B178" s="48" t="inlineStr">
        <is>
          <t>Kyle Gulamerian</t>
        </is>
      </c>
      <c r="C178" s="48" t="inlineStr">
        <is>
          <t>BTC</t>
        </is>
      </c>
      <c r="D178" s="48" t="n">
        <v>-3.99</v>
      </c>
      <c r="E178" s="50" t="n"/>
    </row>
    <row r="179" ht="15.75" customHeight="1" s="252">
      <c r="A179" s="48" t="n">
        <v>46048</v>
      </c>
      <c r="B179" s="48" t="inlineStr">
        <is>
          <t>Sam Johnson</t>
        </is>
      </c>
      <c r="C179" s="48" t="inlineStr">
        <is>
          <t>USDT</t>
        </is>
      </c>
      <c r="D179" s="48" t="n">
        <v>600000</v>
      </c>
      <c r="E179" s="50" t="n"/>
    </row>
    <row r="180" ht="15.75" customHeight="1" s="252">
      <c r="A180" s="48" t="n">
        <v>46050</v>
      </c>
      <c r="B180" s="48" t="inlineStr">
        <is>
          <t>Sam Johnson</t>
        </is>
      </c>
      <c r="C180" s="48" t="inlineStr">
        <is>
          <t>USDT</t>
        </is>
      </c>
      <c r="D180" s="48" t="n">
        <v>400000</v>
      </c>
      <c r="E180" s="50" t="n"/>
    </row>
    <row r="181" ht="15.75" customHeight="1" s="252">
      <c r="A181" s="48" t="n">
        <v>46052</v>
      </c>
      <c r="B181" s="48" t="inlineStr">
        <is>
          <t>Thomas Puech</t>
        </is>
      </c>
      <c r="C181" s="48" t="inlineStr">
        <is>
          <t>BTC</t>
        </is>
      </c>
      <c r="D181" s="48" t="n">
        <v>0.14207</v>
      </c>
      <c r="E181" s="50" t="n"/>
    </row>
    <row r="182" ht="15.75" customHeight="1" s="252">
      <c r="A182" s="48" t="n">
        <v>46055</v>
      </c>
      <c r="B182" s="48" t="inlineStr">
        <is>
          <t>Sam Johnson</t>
        </is>
      </c>
      <c r="C182" s="48" t="inlineStr">
        <is>
          <t>USDT</t>
        </is>
      </c>
      <c r="D182" s="48" t="n">
        <v>750000</v>
      </c>
      <c r="E182" s="50" t="n"/>
    </row>
    <row r="183" ht="15.75" customHeight="1" s="252">
      <c r="A183" s="48" t="n">
        <v>46055</v>
      </c>
      <c r="B183" s="48" t="inlineStr">
        <is>
          <t>Thomas Puech</t>
        </is>
      </c>
      <c r="C183" s="48" t="inlineStr">
        <is>
          <t>USDT</t>
        </is>
      </c>
      <c r="D183" s="48" t="n">
        <v>-47373.77</v>
      </c>
      <c r="E183" s="50" t="n"/>
    </row>
    <row r="184" ht="15.75" customHeight="1" s="252">
      <c r="A184" s="48" t="n">
        <v>46056</v>
      </c>
      <c r="B184" s="48" t="inlineStr">
        <is>
          <t>Thomas Puech</t>
        </is>
      </c>
      <c r="C184" s="48" t="inlineStr">
        <is>
          <t>BTC</t>
        </is>
      </c>
      <c r="D184" s="48" t="n">
        <v>0.60672</v>
      </c>
      <c r="E184" s="50" t="n"/>
    </row>
    <row r="185" ht="15.75" customHeight="1" s="252">
      <c r="A185" s="48" t="n">
        <v>46059</v>
      </c>
      <c r="B185" s="48" t="inlineStr">
        <is>
          <t>INDIGO Fees</t>
        </is>
      </c>
      <c r="C185" s="48" t="inlineStr">
        <is>
          <t>USDT</t>
        </is>
      </c>
      <c r="D185" s="48" t="n">
        <v>-20000</v>
      </c>
      <c r="E185" s="50" t="n"/>
    </row>
    <row r="186" ht="15.75" customHeight="1" s="252">
      <c r="A186" s="48" t="n">
        <v>46059</v>
      </c>
      <c r="B186" s="48" t="inlineStr">
        <is>
          <t>NSVO Holdings</t>
        </is>
      </c>
      <c r="C186" s="48" t="inlineStr">
        <is>
          <t>BTC</t>
        </is>
      </c>
      <c r="D186" s="48" t="n">
        <v>0.1773</v>
      </c>
      <c r="E186" s="50" t="n"/>
    </row>
    <row r="187" ht="15.75" customHeight="1" s="252">
      <c r="A187" s="48" t="n">
        <v>46061</v>
      </c>
      <c r="B187" s="48" t="inlineStr">
        <is>
          <t>Sam Johnson</t>
        </is>
      </c>
      <c r="C187" s="48" t="inlineStr">
        <is>
          <t>USDT</t>
        </is>
      </c>
      <c r="D187" s="48" t="n">
        <v>550000</v>
      </c>
      <c r="E187" s="50" t="n"/>
    </row>
    <row r="188" ht="15.75" customHeight="1" s="252">
      <c r="A188" s="48" t="n">
        <v>46065</v>
      </c>
      <c r="B188" s="48" t="inlineStr">
        <is>
          <t>Jose Molla</t>
        </is>
      </c>
      <c r="C188" s="48" t="inlineStr">
        <is>
          <t>BTC</t>
        </is>
      </c>
      <c r="D188" s="48" t="n">
        <v>2.766</v>
      </c>
      <c r="E188" s="50" t="n"/>
    </row>
    <row r="189" ht="15.75" customHeight="1" s="252">
      <c r="A189" s="48" t="n">
        <v>46065</v>
      </c>
      <c r="B189" s="48" t="inlineStr">
        <is>
          <t>ALOK PAVAN BATRA</t>
        </is>
      </c>
      <c r="C189" s="48" t="inlineStr">
        <is>
          <t>BTC</t>
        </is>
      </c>
      <c r="D189" s="48" t="n">
        <v>6</v>
      </c>
      <c r="E189" s="50" t="n"/>
    </row>
    <row r="190" ht="15.75" customHeight="1" s="252">
      <c r="A190" s="48" t="n">
        <v>46065</v>
      </c>
      <c r="B190" s="48" t="inlineStr">
        <is>
          <t>Jose Molla</t>
        </is>
      </c>
      <c r="C190" s="48" t="inlineStr">
        <is>
          <t>ETH</t>
        </is>
      </c>
      <c r="D190" s="48" t="n">
        <v>47.32</v>
      </c>
      <c r="E190" s="50" t="n"/>
    </row>
    <row r="191" ht="15.75" customHeight="1" s="252">
      <c r="A191" s="48" t="n">
        <v>46065</v>
      </c>
      <c r="B191" s="48" t="inlineStr">
        <is>
          <t>ALOK PAVAN BATRA</t>
        </is>
      </c>
      <c r="C191" s="48" t="inlineStr">
        <is>
          <t>ETH</t>
        </is>
      </c>
      <c r="D191" s="48" t="n">
        <v>103.38</v>
      </c>
      <c r="E191" s="50" t="n"/>
    </row>
    <row r="192" ht="15.75" customHeight="1" s="252">
      <c r="A192" s="48" t="n">
        <v>46065</v>
      </c>
      <c r="B192" s="48" t="inlineStr">
        <is>
          <t>Jose Molla</t>
        </is>
      </c>
      <c r="C192" s="48" t="inlineStr">
        <is>
          <t>SOL</t>
        </is>
      </c>
      <c r="D192" s="48" t="n">
        <v>393.77</v>
      </c>
      <c r="E192" s="50" t="n"/>
    </row>
    <row r="193" ht="15.75" customHeight="1" s="252">
      <c r="A193" s="48" t="n">
        <v>46065</v>
      </c>
      <c r="B193" s="48" t="inlineStr">
        <is>
          <t>ALOK PAVAN BATRA</t>
        </is>
      </c>
      <c r="C193" s="48" t="inlineStr">
        <is>
          <t>SOL</t>
        </is>
      </c>
      <c r="D193" s="48" t="n">
        <v>826.54</v>
      </c>
      <c r="E193" s="50" t="n"/>
    </row>
    <row r="194" ht="15.75" customHeight="1" s="252">
      <c r="A194" s="48" t="n">
        <v>46066</v>
      </c>
      <c r="B194" s="48" t="inlineStr">
        <is>
          <t>Thomas Puech</t>
        </is>
      </c>
      <c r="C194" s="48" t="inlineStr">
        <is>
          <t>BTC</t>
        </is>
      </c>
      <c r="D194" s="48" t="n">
        <v>0.6555</v>
      </c>
      <c r="E194" s="50" t="n"/>
    </row>
    <row r="195" ht="15.75" customHeight="1" s="252">
      <c r="A195" s="48" t="n">
        <v>46066</v>
      </c>
      <c r="B195" s="48" t="inlineStr">
        <is>
          <t>Nathanaël Cohen</t>
        </is>
      </c>
      <c r="C195" s="48" t="inlineStr">
        <is>
          <t>USDT</t>
        </is>
      </c>
      <c r="D195" s="48" t="n">
        <v>93819.17999999999</v>
      </c>
      <c r="E195" s="50" t="n"/>
    </row>
    <row r="196" ht="15.75" customHeight="1" s="252">
      <c r="A196" s="48" t="n">
        <v>46066</v>
      </c>
      <c r="B196" s="48" t="inlineStr">
        <is>
          <t>Tomer Mazar</t>
        </is>
      </c>
      <c r="C196" s="48" t="inlineStr">
        <is>
          <t>USDT</t>
        </is>
      </c>
      <c r="D196" s="48" t="n">
        <v>28567.67</v>
      </c>
      <c r="E196" s="50" t="n"/>
    </row>
    <row r="197" ht="15.75" customHeight="1" s="252">
      <c r="A197" s="48" t="n">
        <v>46066</v>
      </c>
      <c r="B197" s="48" t="inlineStr">
        <is>
          <t>Danielle Richetta</t>
        </is>
      </c>
      <c r="C197" s="48" t="inlineStr">
        <is>
          <t>BTC</t>
        </is>
      </c>
      <c r="D197" s="48" t="n">
        <v>-4.3</v>
      </c>
      <c r="E197" s="50" t="n"/>
    </row>
    <row r="198" ht="15.75" customHeight="1" s="252">
      <c r="A198" s="48" t="n">
        <v>46072</v>
      </c>
      <c r="B198" s="48" t="inlineStr">
        <is>
          <t>Nathanaël Cohen</t>
        </is>
      </c>
      <c r="C198" s="48" t="inlineStr">
        <is>
          <t>ETH</t>
        </is>
      </c>
      <c r="D198" s="48" t="n">
        <v>-3.47</v>
      </c>
      <c r="E198" s="50" t="n"/>
    </row>
    <row r="199" ht="15.75" customHeight="1" s="252">
      <c r="A199" s="48" t="n">
        <v>46076</v>
      </c>
      <c r="B199" s="48" t="inlineStr">
        <is>
          <t>Sam Johnson</t>
        </is>
      </c>
      <c r="C199" s="48" t="inlineStr">
        <is>
          <t>USDT</t>
        </is>
      </c>
      <c r="D199" s="48" t="n">
        <v>500000</v>
      </c>
      <c r="E199" s="50" t="n"/>
    </row>
    <row r="200" ht="15.75" customHeight="1" s="252">
      <c r="A200" s="48" t="n">
        <v>46077</v>
      </c>
      <c r="B200" s="48" t="inlineStr">
        <is>
          <t>Thomas Puech</t>
        </is>
      </c>
      <c r="C200" s="48" t="inlineStr">
        <is>
          <t>BTC</t>
        </is>
      </c>
      <c r="D200" s="48" t="n">
        <v>0.15103283</v>
      </c>
      <c r="E200" s="50" t="n"/>
    </row>
    <row r="201" ht="15.75" customHeight="1" s="252">
      <c r="A201" s="48" t="n">
        <v>46086</v>
      </c>
      <c r="B201" s="48" t="inlineStr">
        <is>
          <t>No Limit Payments</t>
        </is>
      </c>
      <c r="C201" s="48" t="inlineStr">
        <is>
          <t>USDT</t>
        </is>
      </c>
      <c r="D201" s="48" t="n">
        <v>100000</v>
      </c>
      <c r="E201" s="50" t="n"/>
    </row>
    <row r="202" ht="15.75" customHeight="1" s="252">
      <c r="A202" s="48" t="n">
        <v>46089</v>
      </c>
      <c r="B202" s="48" t="inlineStr">
        <is>
          <t>Sam Johnson</t>
        </is>
      </c>
      <c r="C202" s="48" t="inlineStr">
        <is>
          <t>USDT</t>
        </is>
      </c>
      <c r="D202" s="48" t="n">
        <v>-7045353.8</v>
      </c>
      <c r="E202" s="50" t="n"/>
    </row>
    <row r="203" ht="15.75" customHeight="1" s="252">
      <c r="A203" s="51" t="n"/>
      <c r="B203" s="52" t="n"/>
      <c r="C203" s="52" t="n"/>
      <c r="D203" s="53" t="n"/>
      <c r="E203" s="15" t="n"/>
    </row>
    <row r="204" ht="15.75" customHeight="1" s="252">
      <c r="A204" s="51" t="n"/>
      <c r="B204" s="52" t="n"/>
      <c r="C204" s="52" t="n"/>
      <c r="D204" s="53" t="n"/>
      <c r="E204" s="15" t="n"/>
    </row>
    <row r="205" ht="15.75" customHeight="1" s="252">
      <c r="A205" s="51" t="n"/>
      <c r="B205" s="52" t="n"/>
      <c r="C205" s="52" t="n"/>
      <c r="D205" s="53" t="n"/>
      <c r="E205" s="15" t="n"/>
    </row>
    <row r="206" ht="15.75" customHeight="1" s="252">
      <c r="A206" s="51" t="n"/>
      <c r="B206" s="52" t="n"/>
      <c r="C206" s="52" t="n"/>
      <c r="D206" s="53" t="n"/>
      <c r="E206" s="15" t="n"/>
    </row>
    <row r="207" ht="15.75" customHeight="1" s="252">
      <c r="A207" s="51" t="n"/>
      <c r="B207" s="52" t="n"/>
      <c r="C207" s="52" t="n"/>
      <c r="D207" s="53" t="n"/>
      <c r="E207" s="15" t="n"/>
    </row>
    <row r="208" ht="15.75" customHeight="1" s="252">
      <c r="A208" s="51" t="n"/>
      <c r="B208" s="52" t="n"/>
      <c r="C208" s="52" t="n"/>
      <c r="D208" s="53" t="n"/>
      <c r="E208" s="15" t="n"/>
    </row>
    <row r="209" ht="15.75" customHeight="1" s="252">
      <c r="A209" s="51" t="n"/>
      <c r="B209" s="52" t="n"/>
      <c r="C209" s="52" t="n"/>
      <c r="D209" s="53" t="n"/>
      <c r="E209" s="15" t="n"/>
    </row>
    <row r="210" ht="15.75" customHeight="1" s="252">
      <c r="A210" s="51" t="n"/>
      <c r="B210" s="52" t="n"/>
      <c r="C210" s="52" t="n"/>
      <c r="D210" s="53" t="n"/>
      <c r="E210" s="15" t="n"/>
    </row>
    <row r="211" ht="15.75" customHeight="1" s="252">
      <c r="A211" s="51" t="n"/>
      <c r="B211" s="52" t="n"/>
      <c r="C211" s="52" t="n"/>
      <c r="D211" s="53" t="n"/>
      <c r="E211" s="15" t="n"/>
    </row>
    <row r="212" ht="15.75" customHeight="1" s="252">
      <c r="A212" s="51" t="n"/>
      <c r="B212" s="52" t="n"/>
      <c r="C212" s="52" t="n"/>
      <c r="D212" s="53" t="n"/>
      <c r="E212" s="15" t="n"/>
    </row>
    <row r="213" ht="15.75" customHeight="1" s="252">
      <c r="A213" s="51" t="n"/>
      <c r="B213" s="52" t="n"/>
      <c r="C213" s="52" t="n"/>
      <c r="D213" s="53" t="n"/>
      <c r="E213" s="15" t="n"/>
    </row>
    <row r="214" ht="15.75" customHeight="1" s="252">
      <c r="A214" s="51" t="n"/>
      <c r="B214" s="52" t="n"/>
      <c r="C214" s="52" t="n"/>
      <c r="D214" s="53" t="n"/>
      <c r="E214" s="15" t="n"/>
    </row>
    <row r="215" ht="15.75" customHeight="1" s="252">
      <c r="A215" s="51" t="n"/>
      <c r="B215" s="52" t="n"/>
      <c r="C215" s="52" t="n"/>
      <c r="D215" s="53" t="n"/>
      <c r="E215" s="15" t="n"/>
    </row>
    <row r="216" ht="15.75" customHeight="1" s="252">
      <c r="A216" s="51" t="n"/>
      <c r="B216" s="52" t="n"/>
      <c r="C216" s="52" t="n"/>
      <c r="D216" s="53" t="n"/>
      <c r="E216" s="15" t="n"/>
    </row>
    <row r="217" ht="15.75" customHeight="1" s="252">
      <c r="A217" s="51" t="n"/>
      <c r="B217" s="52" t="n"/>
      <c r="C217" s="52" t="n"/>
      <c r="D217" s="53" t="n"/>
      <c r="E217" s="15" t="n"/>
    </row>
    <row r="218" ht="15.75" customHeight="1" s="252">
      <c r="A218" s="51" t="n"/>
      <c r="B218" s="52" t="n"/>
      <c r="C218" s="52" t="n"/>
      <c r="D218" s="53" t="n"/>
      <c r="E218" s="15" t="n"/>
    </row>
    <row r="219" ht="15.75" customHeight="1" s="252">
      <c r="A219" s="51" t="n"/>
      <c r="B219" s="52" t="n"/>
      <c r="C219" s="52" t="n"/>
      <c r="D219" s="53" t="n"/>
      <c r="E219" s="15" t="n"/>
    </row>
    <row r="220" ht="15.75" customHeight="1" s="252">
      <c r="A220" s="51" t="n"/>
      <c r="B220" s="52" t="n"/>
      <c r="C220" s="52" t="n"/>
      <c r="D220" s="53" t="n"/>
      <c r="E220" s="15" t="n"/>
    </row>
    <row r="221" ht="15.75" customHeight="1" s="252">
      <c r="A221" s="51" t="n"/>
      <c r="B221" s="52" t="n"/>
      <c r="C221" s="52" t="n"/>
      <c r="D221" s="53" t="n"/>
      <c r="E221" s="15" t="n"/>
    </row>
    <row r="222" ht="15.75" customHeight="1" s="252">
      <c r="A222" s="51" t="n"/>
      <c r="B222" s="52" t="n"/>
      <c r="C222" s="52" t="n"/>
      <c r="D222" s="53" t="n"/>
      <c r="E222" s="15" t="n"/>
    </row>
    <row r="223" ht="15.75" customHeight="1" s="252">
      <c r="A223" s="51" t="n"/>
      <c r="B223" s="52" t="n"/>
      <c r="C223" s="52" t="n"/>
      <c r="D223" s="53" t="n"/>
      <c r="E223" s="15" t="n"/>
    </row>
    <row r="224" ht="15.75" customHeight="1" s="252">
      <c r="A224" s="51" t="n"/>
      <c r="B224" s="52" t="n"/>
      <c r="C224" s="52" t="n"/>
      <c r="D224" s="53" t="n"/>
      <c r="E224" s="15" t="n"/>
    </row>
    <row r="225" ht="15.75" customHeight="1" s="252">
      <c r="A225" s="51" t="n"/>
      <c r="B225" s="52" t="n"/>
      <c r="C225" s="52" t="n"/>
      <c r="D225" s="53" t="n"/>
      <c r="E225" s="15" t="n"/>
    </row>
    <row r="226" ht="15.75" customHeight="1" s="252">
      <c r="A226" s="51" t="n"/>
      <c r="B226" s="52" t="n"/>
      <c r="C226" s="52" t="n"/>
      <c r="D226" s="53" t="n"/>
      <c r="E226" s="15" t="n"/>
    </row>
    <row r="227" ht="15.75" customHeight="1" s="252">
      <c r="A227" s="51" t="n"/>
      <c r="B227" s="52" t="n"/>
      <c r="C227" s="52" t="n"/>
      <c r="D227" s="53" t="n"/>
      <c r="E227" s="15" t="n"/>
    </row>
    <row r="228" ht="15.75" customHeight="1" s="252">
      <c r="A228" s="51" t="n"/>
      <c r="B228" s="52" t="n"/>
      <c r="C228" s="52" t="n"/>
      <c r="D228" s="53" t="n"/>
      <c r="E228" s="15" t="n"/>
    </row>
    <row r="229" ht="15.75" customHeight="1" s="252">
      <c r="A229" s="51" t="n"/>
      <c r="B229" s="52" t="n"/>
      <c r="C229" s="52" t="n"/>
      <c r="D229" s="53" t="n"/>
      <c r="E229" s="15" t="n"/>
    </row>
    <row r="230" ht="15.75" customHeight="1" s="252">
      <c r="A230" s="51" t="n"/>
      <c r="B230" s="52" t="n"/>
      <c r="C230" s="52" t="n"/>
      <c r="D230" s="53" t="n"/>
      <c r="E230" s="15" t="n"/>
    </row>
    <row r="231" ht="15.75" customHeight="1" s="252">
      <c r="A231" s="51" t="n"/>
      <c r="B231" s="52" t="n"/>
      <c r="C231" s="52" t="n"/>
      <c r="D231" s="53" t="n"/>
      <c r="E231" s="15" t="n"/>
    </row>
    <row r="232" ht="15.75" customHeight="1" s="252">
      <c r="A232" s="51" t="n"/>
      <c r="B232" s="52" t="n"/>
      <c r="C232" s="52" t="n"/>
      <c r="D232" s="53" t="n"/>
      <c r="E232" s="15" t="n"/>
    </row>
    <row r="233" ht="15.75" customHeight="1" s="252">
      <c r="A233" s="51" t="n"/>
      <c r="B233" s="52" t="n"/>
      <c r="C233" s="52" t="n"/>
      <c r="D233" s="53" t="n"/>
      <c r="E233" s="15" t="n"/>
    </row>
    <row r="234" ht="15.75" customHeight="1" s="252">
      <c r="A234" s="51" t="n"/>
      <c r="B234" s="52" t="n"/>
      <c r="C234" s="52" t="n"/>
      <c r="D234" s="53" t="n"/>
      <c r="E234" s="15" t="n"/>
    </row>
    <row r="235" ht="15.75" customHeight="1" s="252">
      <c r="A235" s="51" t="n"/>
      <c r="B235" s="52" t="n"/>
      <c r="C235" s="52" t="n"/>
      <c r="D235" s="53" t="n"/>
      <c r="E235" s="15" t="n"/>
    </row>
    <row r="236" ht="15.75" customHeight="1" s="252">
      <c r="A236" s="51" t="n"/>
      <c r="B236" s="52" t="n"/>
      <c r="C236" s="52" t="n"/>
      <c r="D236" s="53" t="n"/>
      <c r="E236" s="15" t="n"/>
    </row>
    <row r="237" ht="15.75" customHeight="1" s="252">
      <c r="A237" s="51" t="n"/>
      <c r="B237" s="52" t="n"/>
      <c r="C237" s="52" t="n"/>
      <c r="D237" s="53" t="n"/>
      <c r="E237" s="15" t="n"/>
    </row>
    <row r="238" ht="15.75" customHeight="1" s="252">
      <c r="A238" s="51" t="n"/>
      <c r="B238" s="52" t="n"/>
      <c r="C238" s="52" t="n"/>
      <c r="D238" s="53" t="n"/>
      <c r="E238" s="15" t="n"/>
    </row>
    <row r="239" ht="15.75" customHeight="1" s="252">
      <c r="A239" s="51" t="n"/>
      <c r="B239" s="52" t="n"/>
      <c r="C239" s="52" t="n"/>
      <c r="D239" s="53" t="n"/>
      <c r="E239" s="15" t="n"/>
    </row>
    <row r="240" ht="15.75" customHeight="1" s="252">
      <c r="A240" s="51" t="n"/>
      <c r="B240" s="52" t="n"/>
      <c r="C240" s="52" t="n"/>
      <c r="D240" s="53" t="n"/>
      <c r="E240" s="15" t="n"/>
    </row>
    <row r="241" ht="15.75" customHeight="1" s="252">
      <c r="A241" s="51" t="n"/>
      <c r="B241" s="52" t="n"/>
      <c r="C241" s="52" t="n"/>
      <c r="D241" s="53" t="n"/>
      <c r="E241" s="15" t="n"/>
    </row>
    <row r="242" ht="15.75" customHeight="1" s="252">
      <c r="A242" s="51" t="n"/>
      <c r="B242" s="52" t="n"/>
      <c r="C242" s="52" t="n"/>
      <c r="D242" s="53" t="n"/>
      <c r="E242" s="15" t="n"/>
    </row>
    <row r="243" ht="15.75" customHeight="1" s="252">
      <c r="A243" s="51" t="n"/>
      <c r="B243" s="52" t="n"/>
      <c r="C243" s="52" t="n"/>
      <c r="D243" s="53" t="n"/>
      <c r="E243" s="15" t="n"/>
    </row>
    <row r="244" ht="15.75" customHeight="1" s="252">
      <c r="A244" s="51" t="n"/>
      <c r="B244" s="52" t="n"/>
      <c r="C244" s="52" t="n"/>
      <c r="D244" s="53" t="n"/>
      <c r="E244" s="15" t="n"/>
    </row>
    <row r="245" ht="15.75" customHeight="1" s="252">
      <c r="A245" s="51" t="n"/>
      <c r="B245" s="52" t="n"/>
      <c r="C245" s="52" t="n"/>
      <c r="D245" s="53" t="n"/>
      <c r="E245" s="15" t="n"/>
    </row>
    <row r="246" ht="15.75" customHeight="1" s="252">
      <c r="A246" s="51" t="n"/>
      <c r="B246" s="52" t="n"/>
      <c r="C246" s="52" t="n"/>
      <c r="D246" s="53" t="n"/>
      <c r="E246" s="15" t="n"/>
    </row>
    <row r="247" ht="15.75" customHeight="1" s="252">
      <c r="A247" s="51" t="n"/>
      <c r="B247" s="52" t="n"/>
      <c r="C247" s="52" t="n"/>
      <c r="D247" s="53" t="n"/>
      <c r="E247" s="15" t="n"/>
    </row>
    <row r="248" ht="15.75" customHeight="1" s="252">
      <c r="A248" s="51" t="n"/>
      <c r="B248" s="52" t="n"/>
      <c r="C248" s="52" t="n"/>
      <c r="D248" s="53" t="n"/>
      <c r="E248" s="15" t="n"/>
    </row>
    <row r="249" ht="15.75" customHeight="1" s="252">
      <c r="A249" s="51" t="n"/>
      <c r="B249" s="52" t="n"/>
      <c r="C249" s="52" t="n"/>
      <c r="D249" s="53" t="n"/>
      <c r="E249" s="15" t="n"/>
    </row>
    <row r="250" ht="15.75" customHeight="1" s="252">
      <c r="A250" s="51" t="n"/>
      <c r="B250" s="52" t="n"/>
      <c r="C250" s="52" t="n"/>
      <c r="D250" s="53" t="n"/>
      <c r="E250" s="15" t="n"/>
    </row>
    <row r="251" ht="15.75" customHeight="1" s="252">
      <c r="A251" s="51" t="n"/>
      <c r="B251" s="52" t="n"/>
      <c r="C251" s="52" t="n"/>
      <c r="D251" s="53" t="n"/>
      <c r="E251" s="15" t="n"/>
    </row>
    <row r="252" ht="15.75" customHeight="1" s="252">
      <c r="A252" s="51" t="n"/>
      <c r="B252" s="52" t="n"/>
      <c r="C252" s="52" t="n"/>
      <c r="D252" s="53" t="n"/>
      <c r="E252" s="15" t="n"/>
    </row>
    <row r="253" ht="15.75" customHeight="1" s="252">
      <c r="A253" s="51" t="n"/>
      <c r="B253" s="52" t="n"/>
      <c r="C253" s="52" t="n"/>
      <c r="D253" s="53" t="n"/>
      <c r="E253" s="15" t="n"/>
    </row>
    <row r="254" ht="15.75" customHeight="1" s="252">
      <c r="A254" s="51" t="n"/>
      <c r="B254" s="52" t="n"/>
      <c r="C254" s="52" t="n"/>
      <c r="D254" s="53" t="n"/>
      <c r="E254" s="15" t="n"/>
    </row>
    <row r="255" ht="15.75" customHeight="1" s="252">
      <c r="A255" s="51" t="n"/>
      <c r="B255" s="52" t="n"/>
      <c r="C255" s="52" t="n"/>
      <c r="D255" s="53" t="n"/>
      <c r="E255" s="15" t="n"/>
    </row>
    <row r="256" ht="15.75" customHeight="1" s="252">
      <c r="A256" s="51" t="n"/>
      <c r="B256" s="52" t="n"/>
      <c r="C256" s="52" t="n"/>
      <c r="D256" s="53" t="n"/>
      <c r="E256" s="15" t="n"/>
    </row>
    <row r="257" ht="15.75" customHeight="1" s="252">
      <c r="A257" s="51" t="n"/>
      <c r="B257" s="52" t="n"/>
      <c r="C257" s="52" t="n"/>
      <c r="D257" s="53" t="n"/>
      <c r="E257" s="15" t="n"/>
    </row>
    <row r="258" ht="15.75" customHeight="1" s="252">
      <c r="A258" s="51" t="n"/>
      <c r="B258" s="52" t="n"/>
      <c r="C258" s="52" t="n"/>
      <c r="D258" s="53" t="n"/>
      <c r="E258" s="15" t="n"/>
    </row>
    <row r="259" ht="15.75" customHeight="1" s="252">
      <c r="A259" s="51" t="n"/>
      <c r="B259" s="52" t="n"/>
      <c r="C259" s="52" t="n"/>
      <c r="D259" s="53" t="n"/>
      <c r="E259" s="15" t="n"/>
    </row>
    <row r="260" ht="15.75" customHeight="1" s="252">
      <c r="A260" s="51" t="n"/>
      <c r="B260" s="52" t="n"/>
      <c r="C260" s="52" t="n"/>
      <c r="D260" s="53" t="n"/>
      <c r="E260" s="15" t="n"/>
    </row>
    <row r="261" ht="15.75" customHeight="1" s="252">
      <c r="A261" s="51" t="n"/>
      <c r="B261" s="52" t="n"/>
      <c r="C261" s="52" t="n"/>
      <c r="D261" s="53" t="n"/>
      <c r="E261" s="15" t="n"/>
    </row>
    <row r="262" ht="15.75" customHeight="1" s="252">
      <c r="A262" s="51" t="n"/>
      <c r="B262" s="52" t="n"/>
      <c r="C262" s="52" t="n"/>
      <c r="D262" s="53" t="n"/>
      <c r="E262" s="15" t="n"/>
    </row>
    <row r="263" ht="15.75" customHeight="1" s="252">
      <c r="A263" s="51" t="n"/>
      <c r="B263" s="52" t="n"/>
      <c r="C263" s="52" t="n"/>
      <c r="D263" s="53" t="n"/>
      <c r="E263" s="15" t="n"/>
    </row>
    <row r="264" ht="15.75" customHeight="1" s="252">
      <c r="A264" s="51" t="n"/>
      <c r="B264" s="52" t="n"/>
      <c r="C264" s="52" t="n"/>
      <c r="D264" s="53" t="n"/>
      <c r="E264" s="15" t="n"/>
    </row>
    <row r="265" ht="15.75" customHeight="1" s="252">
      <c r="A265" s="51" t="n"/>
      <c r="B265" s="52" t="n"/>
      <c r="C265" s="52" t="n"/>
      <c r="D265" s="53" t="n"/>
      <c r="E265" s="15" t="n"/>
    </row>
    <row r="266" ht="15.75" customHeight="1" s="252">
      <c r="A266" s="51" t="n"/>
      <c r="B266" s="52" t="n"/>
      <c r="C266" s="52" t="n"/>
      <c r="D266" s="53" t="n"/>
      <c r="E266" s="15" t="n"/>
    </row>
    <row r="267" ht="15.75" customHeight="1" s="252">
      <c r="A267" s="51" t="n"/>
      <c r="B267" s="52" t="n"/>
      <c r="C267" s="52" t="n"/>
      <c r="D267" s="53" t="n"/>
      <c r="E267" s="15" t="n"/>
    </row>
    <row r="268" ht="15.75" customHeight="1" s="252">
      <c r="A268" s="51" t="n"/>
      <c r="B268" s="52" t="n"/>
      <c r="C268" s="52" t="n"/>
      <c r="D268" s="53" t="n"/>
      <c r="E268" s="15" t="n"/>
    </row>
    <row r="269" ht="15.75" customHeight="1" s="252">
      <c r="A269" s="51" t="n"/>
      <c r="B269" s="52" t="n"/>
      <c r="C269" s="52" t="n"/>
      <c r="D269" s="53" t="n"/>
      <c r="E269" s="15" t="n"/>
    </row>
    <row r="270" ht="15.75" customHeight="1" s="252">
      <c r="A270" s="51" t="n"/>
      <c r="B270" s="52" t="n"/>
      <c r="C270" s="52" t="n"/>
      <c r="D270" s="53" t="n"/>
      <c r="E270" s="15" t="n"/>
    </row>
    <row r="271" ht="15.75" customHeight="1" s="252">
      <c r="A271" s="51" t="n"/>
      <c r="B271" s="52" t="n"/>
      <c r="C271" s="52" t="n"/>
      <c r="D271" s="53" t="n"/>
      <c r="E271" s="15" t="n"/>
    </row>
    <row r="272" ht="15.75" customHeight="1" s="252">
      <c r="A272" s="51" t="n"/>
      <c r="B272" s="52" t="n"/>
      <c r="C272" s="52" t="n"/>
      <c r="D272" s="53" t="n"/>
      <c r="E272" s="15" t="n"/>
    </row>
    <row r="273" ht="15.75" customHeight="1" s="252">
      <c r="A273" s="51" t="n"/>
      <c r="B273" s="52" t="n"/>
      <c r="C273" s="52" t="n"/>
      <c r="D273" s="53" t="n"/>
      <c r="E273" s="15" t="n"/>
    </row>
    <row r="274" ht="15.75" customHeight="1" s="252">
      <c r="A274" s="51" t="n"/>
      <c r="B274" s="52" t="n"/>
      <c r="C274" s="52" t="n"/>
      <c r="D274" s="53" t="n"/>
      <c r="E274" s="15" t="n"/>
    </row>
    <row r="275" ht="15.75" customHeight="1" s="252">
      <c r="A275" s="51" t="n"/>
      <c r="B275" s="52" t="n"/>
      <c r="C275" s="52" t="n"/>
      <c r="D275" s="53" t="n"/>
      <c r="E275" s="15" t="n"/>
    </row>
    <row r="276" ht="15.75" customHeight="1" s="252">
      <c r="A276" s="51" t="n"/>
      <c r="B276" s="52" t="n"/>
      <c r="C276" s="52" t="n"/>
      <c r="D276" s="53" t="n"/>
      <c r="E276" s="15" t="n"/>
    </row>
    <row r="277" ht="15.75" customHeight="1" s="252">
      <c r="A277" s="51" t="n"/>
      <c r="B277" s="52" t="n"/>
      <c r="C277" s="52" t="n"/>
      <c r="D277" s="53" t="n"/>
      <c r="E277" s="15" t="n"/>
    </row>
    <row r="278" ht="15.75" customHeight="1" s="252">
      <c r="A278" s="51" t="n"/>
      <c r="B278" s="52" t="n"/>
      <c r="C278" s="52" t="n"/>
      <c r="D278" s="53" t="n"/>
      <c r="E278" s="15" t="n"/>
    </row>
    <row r="279" ht="15.75" customHeight="1" s="252">
      <c r="A279" s="51" t="n"/>
      <c r="B279" s="52" t="n"/>
      <c r="C279" s="52" t="n"/>
      <c r="D279" s="53" t="n"/>
      <c r="E279" s="15" t="n"/>
    </row>
    <row r="280" ht="15.75" customHeight="1" s="252">
      <c r="A280" s="51" t="n"/>
      <c r="B280" s="52" t="n"/>
      <c r="C280" s="52" t="n"/>
      <c r="D280" s="53" t="n"/>
      <c r="E280" s="15" t="n"/>
    </row>
    <row r="281" ht="15.75" customHeight="1" s="252">
      <c r="A281" s="51" t="n"/>
      <c r="B281" s="52" t="n"/>
      <c r="C281" s="52" t="n"/>
      <c r="D281" s="53" t="n"/>
      <c r="E281" s="15" t="n"/>
    </row>
    <row r="282" ht="15.75" customHeight="1" s="252">
      <c r="A282" s="51" t="n"/>
      <c r="B282" s="52" t="n"/>
      <c r="C282" s="52" t="n"/>
      <c r="D282" s="53" t="n"/>
      <c r="E282" s="15" t="n"/>
    </row>
    <row r="283" ht="15.75" customHeight="1" s="252">
      <c r="A283" s="51" t="n"/>
      <c r="B283" s="52" t="n"/>
      <c r="C283" s="52" t="n"/>
      <c r="D283" s="53" t="n"/>
      <c r="E283" s="15" t="n"/>
    </row>
    <row r="284" ht="15.75" customHeight="1" s="252">
      <c r="A284" s="51" t="n"/>
      <c r="B284" s="52" t="n"/>
      <c r="C284" s="52" t="n"/>
      <c r="D284" s="53" t="n"/>
      <c r="E284" s="15" t="n"/>
    </row>
    <row r="285" ht="15.75" customHeight="1" s="252">
      <c r="A285" s="51" t="n"/>
      <c r="B285" s="52" t="n"/>
      <c r="C285" s="52" t="n"/>
      <c r="D285" s="53" t="n"/>
      <c r="E285" s="15" t="n"/>
    </row>
    <row r="286" ht="15.75" customHeight="1" s="252">
      <c r="A286" s="51" t="n"/>
      <c r="B286" s="52" t="n"/>
      <c r="C286" s="52" t="n"/>
      <c r="D286" s="53" t="n"/>
      <c r="E286" s="15" t="n"/>
    </row>
    <row r="287" ht="15.75" customHeight="1" s="252">
      <c r="A287" s="51" t="n"/>
      <c r="B287" s="52" t="n"/>
      <c r="C287" s="52" t="n"/>
      <c r="D287" s="53" t="n"/>
      <c r="E287" s="15" t="n"/>
    </row>
    <row r="288" ht="15.75" customHeight="1" s="252">
      <c r="A288" s="51" t="n"/>
      <c r="B288" s="52" t="n"/>
      <c r="C288" s="52" t="n"/>
      <c r="D288" s="53" t="n"/>
      <c r="E288" s="15" t="n"/>
    </row>
    <row r="289" ht="15.75" customHeight="1" s="252">
      <c r="A289" s="51" t="n"/>
      <c r="B289" s="52" t="n"/>
      <c r="C289" s="52" t="n"/>
      <c r="D289" s="53" t="n"/>
      <c r="E289" s="15" t="n"/>
    </row>
    <row r="290" ht="15.75" customHeight="1" s="252">
      <c r="A290" s="51" t="n"/>
      <c r="B290" s="52" t="n"/>
      <c r="C290" s="52" t="n"/>
      <c r="D290" s="53" t="n"/>
      <c r="E290" s="15" t="n"/>
    </row>
    <row r="291" ht="15.75" customHeight="1" s="252">
      <c r="A291" s="51" t="n"/>
      <c r="B291" s="52" t="n"/>
      <c r="C291" s="52" t="n"/>
      <c r="D291" s="53" t="n"/>
      <c r="E291" s="15" t="n"/>
    </row>
    <row r="292" ht="15.75" customHeight="1" s="252">
      <c r="A292" s="51" t="n"/>
      <c r="B292" s="52" t="n"/>
      <c r="C292" s="52" t="n"/>
      <c r="D292" s="53" t="n"/>
      <c r="E292" s="15" t="n"/>
    </row>
    <row r="293" ht="15.75" customHeight="1" s="252">
      <c r="A293" s="51" t="n"/>
      <c r="B293" s="52" t="n"/>
      <c r="C293" s="52" t="n"/>
      <c r="D293" s="53" t="n"/>
      <c r="E293" s="15" t="n"/>
    </row>
    <row r="294" ht="15.75" customHeight="1" s="252">
      <c r="A294" s="51" t="n"/>
      <c r="B294" s="52" t="n"/>
      <c r="C294" s="52" t="n"/>
      <c r="D294" s="53" t="n"/>
      <c r="E294" s="15" t="n"/>
    </row>
    <row r="295" ht="15.75" customHeight="1" s="252">
      <c r="A295" s="51" t="n"/>
      <c r="B295" s="52" t="n"/>
      <c r="C295" s="52" t="n"/>
      <c r="D295" s="53" t="n"/>
      <c r="E295" s="15" t="n"/>
    </row>
    <row r="296" ht="15.75" customHeight="1" s="252">
      <c r="A296" s="51" t="n"/>
      <c r="B296" s="52" t="n"/>
      <c r="C296" s="52" t="n"/>
      <c r="D296" s="53" t="n"/>
      <c r="E296" s="15" t="n"/>
    </row>
    <row r="297" ht="15.75" customHeight="1" s="252">
      <c r="A297" s="51" t="n"/>
      <c r="B297" s="52" t="n"/>
      <c r="C297" s="52" t="n"/>
      <c r="D297" s="53" t="n"/>
      <c r="E297" s="15" t="n"/>
    </row>
    <row r="298" ht="15.75" customHeight="1" s="252">
      <c r="A298" s="51" t="n"/>
      <c r="B298" s="52" t="n"/>
      <c r="C298" s="52" t="n"/>
      <c r="D298" s="53" t="n"/>
      <c r="E298" s="15" t="n"/>
    </row>
    <row r="299" ht="15.75" customHeight="1" s="252">
      <c r="A299" s="51" t="n"/>
      <c r="B299" s="52" t="n"/>
      <c r="C299" s="52" t="n"/>
      <c r="D299" s="53" t="n"/>
      <c r="E299" s="15" t="n"/>
    </row>
    <row r="300" ht="15.75" customHeight="1" s="252">
      <c r="A300" s="51" t="n"/>
      <c r="B300" s="52" t="n"/>
      <c r="C300" s="52" t="n"/>
      <c r="D300" s="53" t="n"/>
      <c r="E300" s="15" t="n"/>
    </row>
    <row r="301" ht="15.75" customHeight="1" s="252">
      <c r="A301" s="51" t="n"/>
      <c r="B301" s="52" t="n"/>
      <c r="C301" s="52" t="n"/>
      <c r="D301" s="53" t="n"/>
      <c r="E301" s="15" t="n"/>
    </row>
    <row r="302" ht="15.75" customHeight="1" s="252">
      <c r="A302" s="51" t="n"/>
      <c r="B302" s="52" t="n"/>
      <c r="C302" s="52" t="n"/>
      <c r="D302" s="53" t="n"/>
      <c r="E302" s="15" t="n"/>
    </row>
    <row r="303" ht="15.75" customHeight="1" s="252">
      <c r="A303" s="51" t="n"/>
      <c r="B303" s="52" t="n"/>
      <c r="C303" s="52" t="n"/>
      <c r="D303" s="53" t="n"/>
      <c r="E303" s="15" t="n"/>
    </row>
    <row r="304" ht="15.75" customHeight="1" s="252">
      <c r="A304" s="51" t="n"/>
      <c r="B304" s="52" t="n"/>
      <c r="C304" s="52" t="n"/>
      <c r="D304" s="53" t="n"/>
      <c r="E304" s="15" t="n"/>
    </row>
    <row r="305" ht="15.75" customHeight="1" s="252">
      <c r="A305" s="51" t="n"/>
      <c r="B305" s="52" t="n"/>
      <c r="C305" s="52" t="n"/>
      <c r="D305" s="53" t="n"/>
      <c r="E305" s="15" t="n"/>
    </row>
    <row r="306" ht="15.75" customHeight="1" s="252">
      <c r="A306" s="51" t="n"/>
      <c r="B306" s="52" t="n"/>
      <c r="C306" s="52" t="n"/>
      <c r="D306" s="53" t="n"/>
      <c r="E306" s="15" t="n"/>
    </row>
    <row r="307" ht="15.75" customHeight="1" s="252">
      <c r="A307" s="51" t="n"/>
      <c r="B307" s="52" t="n"/>
      <c r="C307" s="52" t="n"/>
      <c r="D307" s="53" t="n"/>
      <c r="E307" s="15" t="n"/>
    </row>
    <row r="308" ht="15.75" customHeight="1" s="252">
      <c r="A308" s="51" t="n"/>
      <c r="B308" s="52" t="n"/>
      <c r="C308" s="52" t="n"/>
      <c r="D308" s="53" t="n"/>
      <c r="E308" s="15" t="n"/>
    </row>
    <row r="309" ht="15.75" customHeight="1" s="252">
      <c r="A309" s="51" t="n"/>
      <c r="B309" s="52" t="n"/>
      <c r="C309" s="52" t="n"/>
      <c r="D309" s="53" t="n"/>
      <c r="E309" s="15" t="n"/>
    </row>
    <row r="310" ht="15.75" customHeight="1" s="252">
      <c r="A310" s="51" t="n"/>
      <c r="B310" s="52" t="n"/>
      <c r="C310" s="52" t="n"/>
      <c r="D310" s="53" t="n"/>
      <c r="E310" s="15" t="n"/>
    </row>
    <row r="311" ht="15.75" customHeight="1" s="252">
      <c r="A311" s="51" t="n"/>
      <c r="B311" s="52" t="n"/>
      <c r="C311" s="52" t="n"/>
      <c r="D311" s="53" t="n"/>
      <c r="E311" s="15" t="n"/>
    </row>
    <row r="312" ht="15.75" customHeight="1" s="252">
      <c r="A312" s="51" t="n"/>
      <c r="B312" s="52" t="n"/>
      <c r="C312" s="52" t="n"/>
      <c r="D312" s="53" t="n"/>
      <c r="E312" s="15" t="n"/>
    </row>
    <row r="313" ht="15.75" customHeight="1" s="252">
      <c r="A313" s="51" t="n"/>
      <c r="B313" s="52" t="n"/>
      <c r="C313" s="52" t="n"/>
      <c r="D313" s="53" t="n"/>
      <c r="E313" s="15" t="n"/>
    </row>
    <row r="314" ht="15.75" customHeight="1" s="252">
      <c r="A314" s="51" t="n"/>
      <c r="B314" s="52" t="n"/>
      <c r="C314" s="52" t="n"/>
      <c r="D314" s="53" t="n"/>
      <c r="E314" s="15" t="n"/>
    </row>
    <row r="315" ht="15.75" customHeight="1" s="252">
      <c r="A315" s="51" t="n"/>
      <c r="B315" s="52" t="n"/>
      <c r="C315" s="52" t="n"/>
      <c r="D315" s="53" t="n"/>
      <c r="E315" s="15" t="n"/>
    </row>
    <row r="316" ht="15.75" customHeight="1" s="252">
      <c r="A316" s="51" t="n"/>
      <c r="B316" s="52" t="n"/>
      <c r="C316" s="52" t="n"/>
      <c r="D316" s="53" t="n"/>
      <c r="E316" s="15" t="n"/>
    </row>
    <row r="317" ht="15.75" customHeight="1" s="252">
      <c r="A317" s="51" t="n"/>
      <c r="B317" s="52" t="n"/>
      <c r="C317" s="52" t="n"/>
      <c r="D317" s="53" t="n"/>
      <c r="E317" s="15" t="n"/>
    </row>
    <row r="318" ht="15.75" customHeight="1" s="252">
      <c r="A318" s="51" t="n"/>
      <c r="B318" s="52" t="n"/>
      <c r="C318" s="52" t="n"/>
      <c r="D318" s="53" t="n"/>
      <c r="E318" s="15" t="n"/>
    </row>
    <row r="319" ht="15.75" customHeight="1" s="252">
      <c r="A319" s="51" t="n"/>
      <c r="B319" s="52" t="n"/>
      <c r="C319" s="52" t="n"/>
      <c r="D319" s="53" t="n"/>
      <c r="E319" s="15" t="n"/>
    </row>
    <row r="320" ht="15.75" customHeight="1" s="252">
      <c r="A320" s="51" t="n"/>
      <c r="B320" s="52" t="n"/>
      <c r="C320" s="52" t="n"/>
      <c r="D320" s="53" t="n"/>
      <c r="E320" s="15" t="n"/>
    </row>
    <row r="321" ht="15.75" customHeight="1" s="252">
      <c r="A321" s="51" t="n"/>
      <c r="B321" s="52" t="n"/>
      <c r="C321" s="52" t="n"/>
      <c r="D321" s="53" t="n"/>
      <c r="E321" s="15" t="n"/>
    </row>
    <row r="322" ht="15.75" customHeight="1" s="252">
      <c r="A322" s="51" t="n"/>
      <c r="B322" s="52" t="n"/>
      <c r="C322" s="52" t="n"/>
      <c r="D322" s="53" t="n"/>
      <c r="E322" s="15" t="n"/>
    </row>
    <row r="323" ht="15.75" customHeight="1" s="252">
      <c r="A323" s="51" t="n"/>
      <c r="B323" s="52" t="n"/>
      <c r="C323" s="52" t="n"/>
      <c r="D323" s="53" t="n"/>
      <c r="E323" s="15" t="n"/>
    </row>
    <row r="324" ht="15.75" customHeight="1" s="252">
      <c r="A324" s="51" t="n"/>
      <c r="B324" s="52" t="n"/>
      <c r="C324" s="52" t="n"/>
      <c r="D324" s="53" t="n"/>
      <c r="E324" s="15" t="n"/>
    </row>
    <row r="325" ht="15.75" customHeight="1" s="252">
      <c r="A325" s="51" t="n"/>
      <c r="B325" s="52" t="n"/>
      <c r="C325" s="52" t="n"/>
      <c r="D325" s="53" t="n"/>
      <c r="E325" s="15" t="n"/>
    </row>
    <row r="326" ht="15.75" customHeight="1" s="252">
      <c r="A326" s="51" t="n"/>
      <c r="B326" s="52" t="n"/>
      <c r="C326" s="52" t="n"/>
      <c r="D326" s="53" t="n"/>
      <c r="E326" s="15" t="n"/>
    </row>
    <row r="327" ht="15.75" customHeight="1" s="252">
      <c r="A327" s="51" t="n"/>
      <c r="B327" s="52" t="n"/>
      <c r="C327" s="52" t="n"/>
      <c r="D327" s="53" t="n"/>
      <c r="E327" s="15" t="n"/>
    </row>
    <row r="328" ht="15.75" customHeight="1" s="252">
      <c r="A328" s="51" t="n"/>
      <c r="B328" s="52" t="n"/>
      <c r="C328" s="52" t="n"/>
      <c r="D328" s="53" t="n"/>
      <c r="E328" s="15" t="n"/>
    </row>
    <row r="329" ht="15.75" customHeight="1" s="252">
      <c r="A329" s="51" t="n"/>
      <c r="B329" s="52" t="n"/>
      <c r="C329" s="52" t="n"/>
      <c r="D329" s="53" t="n"/>
      <c r="E329" s="15" t="n"/>
    </row>
    <row r="330" ht="15.75" customHeight="1" s="252">
      <c r="A330" s="51" t="n"/>
      <c r="B330" s="52" t="n"/>
      <c r="C330" s="52" t="n"/>
      <c r="D330" s="53" t="n"/>
      <c r="E330" s="15" t="n"/>
    </row>
    <row r="331" ht="15.75" customHeight="1" s="252">
      <c r="A331" s="51" t="n"/>
      <c r="B331" s="52" t="n"/>
      <c r="C331" s="52" t="n"/>
      <c r="D331" s="53" t="n"/>
      <c r="E331" s="15" t="n"/>
    </row>
    <row r="332" ht="15.75" customHeight="1" s="252">
      <c r="A332" s="51" t="n"/>
      <c r="B332" s="52" t="n"/>
      <c r="C332" s="52" t="n"/>
      <c r="D332" s="53" t="n"/>
      <c r="E332" s="15" t="n"/>
    </row>
    <row r="333" ht="15.75" customHeight="1" s="252">
      <c r="A333" s="51" t="n"/>
      <c r="B333" s="52" t="n"/>
      <c r="C333" s="52" t="n"/>
      <c r="D333" s="53" t="n"/>
      <c r="E333" s="15" t="n"/>
    </row>
    <row r="334" ht="15.75" customHeight="1" s="252">
      <c r="A334" s="51" t="n"/>
      <c r="B334" s="52" t="n"/>
      <c r="C334" s="52" t="n"/>
      <c r="D334" s="53" t="n"/>
      <c r="E334" s="15" t="n"/>
    </row>
    <row r="335" ht="15.75" customHeight="1" s="252">
      <c r="A335" s="51" t="n"/>
      <c r="B335" s="52" t="n"/>
      <c r="C335" s="52" t="n"/>
      <c r="D335" s="53" t="n"/>
      <c r="E335" s="15" t="n"/>
    </row>
    <row r="336" ht="15.75" customHeight="1" s="252">
      <c r="A336" s="51" t="n"/>
      <c r="B336" s="52" t="n"/>
      <c r="C336" s="52" t="n"/>
      <c r="D336" s="53" t="n"/>
      <c r="E336" s="15" t="n"/>
    </row>
    <row r="337" ht="15.75" customHeight="1" s="252">
      <c r="A337" s="51" t="n"/>
      <c r="B337" s="52" t="n"/>
      <c r="C337" s="52" t="n"/>
      <c r="D337" s="53" t="n"/>
      <c r="E337" s="15" t="n"/>
    </row>
    <row r="338" ht="15.75" customHeight="1" s="252">
      <c r="A338" s="51" t="n"/>
      <c r="B338" s="52" t="n"/>
      <c r="C338" s="52" t="n"/>
      <c r="D338" s="53" t="n"/>
      <c r="E338" s="15" t="n"/>
    </row>
    <row r="339" ht="15.75" customHeight="1" s="252">
      <c r="A339" s="51" t="n"/>
      <c r="B339" s="52" t="n"/>
      <c r="C339" s="52" t="n"/>
      <c r="D339" s="53" t="n"/>
      <c r="E339" s="15" t="n"/>
    </row>
    <row r="340" ht="15.75" customHeight="1" s="252">
      <c r="A340" s="51" t="n"/>
      <c r="B340" s="52" t="n"/>
      <c r="C340" s="52" t="n"/>
      <c r="D340" s="53" t="n"/>
      <c r="E340" s="15" t="n"/>
    </row>
    <row r="341" ht="15.75" customHeight="1" s="252">
      <c r="A341" s="51" t="n"/>
      <c r="B341" s="52" t="n"/>
      <c r="C341" s="52" t="n"/>
      <c r="D341" s="53" t="n"/>
      <c r="E341" s="15" t="n"/>
    </row>
    <row r="342" ht="15.75" customHeight="1" s="252">
      <c r="A342" s="51" t="n"/>
      <c r="B342" s="52" t="n"/>
      <c r="C342" s="52" t="n"/>
      <c r="D342" s="53" t="n"/>
      <c r="E342" s="15" t="n"/>
    </row>
    <row r="343" ht="15.75" customHeight="1" s="252">
      <c r="A343" s="51" t="n"/>
      <c r="B343" s="52" t="n"/>
      <c r="C343" s="52" t="n"/>
      <c r="D343" s="53" t="n"/>
      <c r="E343" s="15" t="n"/>
    </row>
    <row r="344" ht="15.75" customHeight="1" s="252">
      <c r="A344" s="51" t="n"/>
      <c r="B344" s="52" t="n"/>
      <c r="C344" s="52" t="n"/>
      <c r="D344" s="53" t="n"/>
      <c r="E344" s="15" t="n"/>
    </row>
    <row r="345" ht="15.75" customHeight="1" s="252">
      <c r="A345" s="51" t="n"/>
      <c r="B345" s="52" t="n"/>
      <c r="C345" s="52" t="n"/>
      <c r="D345" s="53" t="n"/>
      <c r="E345" s="15" t="n"/>
    </row>
    <row r="346" ht="15.75" customHeight="1" s="252">
      <c r="A346" s="51" t="n"/>
      <c r="B346" s="52" t="n"/>
      <c r="C346" s="52" t="n"/>
      <c r="D346" s="53" t="n"/>
      <c r="E346" s="15" t="n"/>
    </row>
    <row r="347" ht="15.75" customHeight="1" s="252">
      <c r="A347" s="51" t="n"/>
      <c r="B347" s="52" t="n"/>
      <c r="C347" s="52" t="n"/>
      <c r="D347" s="53" t="n"/>
      <c r="E347" s="15" t="n"/>
    </row>
    <row r="348" ht="15.75" customHeight="1" s="252">
      <c r="A348" s="51" t="n"/>
      <c r="B348" s="52" t="n"/>
      <c r="C348" s="52" t="n"/>
      <c r="D348" s="53" t="n"/>
      <c r="E348" s="15" t="n"/>
    </row>
    <row r="349" ht="15.75" customHeight="1" s="252">
      <c r="A349" s="51" t="n"/>
      <c r="B349" s="52" t="n"/>
      <c r="C349" s="52" t="n"/>
      <c r="D349" s="53" t="n"/>
      <c r="E349" s="15" t="n"/>
    </row>
    <row r="350" ht="15.75" customHeight="1" s="252">
      <c r="A350" s="51" t="n"/>
      <c r="B350" s="52" t="n"/>
      <c r="C350" s="52" t="n"/>
      <c r="D350" s="53" t="n"/>
      <c r="E350" s="15" t="n"/>
    </row>
    <row r="351" ht="15.75" customHeight="1" s="252">
      <c r="A351" s="51" t="n"/>
      <c r="B351" s="52" t="n"/>
      <c r="C351" s="52" t="n"/>
      <c r="D351" s="53" t="n"/>
      <c r="E351" s="15" t="n"/>
    </row>
    <row r="352" ht="15.75" customHeight="1" s="252">
      <c r="A352" s="51" t="n"/>
      <c r="B352" s="52" t="n"/>
      <c r="C352" s="52" t="n"/>
      <c r="D352" s="53" t="n"/>
      <c r="E352" s="15" t="n"/>
    </row>
    <row r="353" ht="15.75" customHeight="1" s="252">
      <c r="A353" s="51" t="n"/>
      <c r="B353" s="52" t="n"/>
      <c r="C353" s="52" t="n"/>
      <c r="D353" s="53" t="n"/>
      <c r="E353" s="15" t="n"/>
    </row>
    <row r="354" ht="15.75" customHeight="1" s="252">
      <c r="A354" s="51" t="n"/>
      <c r="B354" s="52" t="n"/>
      <c r="C354" s="52" t="n"/>
      <c r="D354" s="53" t="n"/>
      <c r="E354" s="15" t="n"/>
    </row>
    <row r="355" ht="15.75" customHeight="1" s="252">
      <c r="A355" s="51" t="n"/>
      <c r="B355" s="52" t="n"/>
      <c r="C355" s="52" t="n"/>
      <c r="D355" s="53" t="n"/>
      <c r="E355" s="15" t="n"/>
    </row>
    <row r="356" ht="15.75" customHeight="1" s="252">
      <c r="A356" s="51" t="n"/>
      <c r="B356" s="52" t="n"/>
      <c r="C356" s="52" t="n"/>
      <c r="D356" s="53" t="n"/>
      <c r="E356" s="15" t="n"/>
    </row>
    <row r="357" ht="15.75" customHeight="1" s="252">
      <c r="A357" s="51" t="n"/>
      <c r="B357" s="52" t="n"/>
      <c r="C357" s="52" t="n"/>
      <c r="D357" s="53" t="n"/>
      <c r="E357" s="15" t="n"/>
    </row>
    <row r="358" ht="15.75" customHeight="1" s="252">
      <c r="A358" s="51" t="n"/>
      <c r="B358" s="52" t="n"/>
      <c r="C358" s="52" t="n"/>
      <c r="D358" s="53" t="n"/>
      <c r="E358" s="15" t="n"/>
    </row>
    <row r="359" ht="15.75" customHeight="1" s="252">
      <c r="A359" s="51" t="n"/>
      <c r="B359" s="52" t="n"/>
      <c r="C359" s="52" t="n"/>
      <c r="D359" s="53" t="n"/>
      <c r="E359" s="15" t="n"/>
    </row>
    <row r="360" ht="15.75" customHeight="1" s="252">
      <c r="A360" s="51" t="n"/>
      <c r="B360" s="52" t="n"/>
      <c r="C360" s="52" t="n"/>
      <c r="D360" s="53" t="n"/>
      <c r="E360" s="15" t="n"/>
    </row>
    <row r="361" ht="15.75" customHeight="1" s="252">
      <c r="A361" s="51" t="n"/>
      <c r="B361" s="52" t="n"/>
      <c r="C361" s="52" t="n"/>
      <c r="D361" s="53" t="n"/>
      <c r="E361" s="15" t="n"/>
    </row>
    <row r="362" ht="15.75" customHeight="1" s="252">
      <c r="A362" s="51" t="n"/>
      <c r="B362" s="52" t="n"/>
      <c r="C362" s="52" t="n"/>
      <c r="D362" s="53" t="n"/>
      <c r="E362" s="15" t="n"/>
    </row>
    <row r="363" ht="15.75" customHeight="1" s="252">
      <c r="A363" s="51" t="n"/>
      <c r="B363" s="52" t="n"/>
      <c r="C363" s="52" t="n"/>
      <c r="D363" s="53" t="n"/>
      <c r="E363" s="15" t="n"/>
    </row>
    <row r="364" ht="15.75" customHeight="1" s="252">
      <c r="A364" s="51" t="n"/>
      <c r="B364" s="52" t="n"/>
      <c r="C364" s="52" t="n"/>
      <c r="D364" s="53" t="n"/>
      <c r="E364" s="15" t="n"/>
    </row>
    <row r="365" ht="15.75" customHeight="1" s="252">
      <c r="A365" s="51" t="n"/>
      <c r="B365" s="52" t="n"/>
      <c r="C365" s="52" t="n"/>
      <c r="D365" s="53" t="n"/>
      <c r="E365" s="15" t="n"/>
    </row>
    <row r="366" ht="15.75" customHeight="1" s="252">
      <c r="A366" s="51" t="n"/>
      <c r="B366" s="52" t="n"/>
      <c r="C366" s="52" t="n"/>
      <c r="D366" s="53" t="n"/>
      <c r="E366" s="15" t="n"/>
    </row>
    <row r="367" ht="15.75" customHeight="1" s="252">
      <c r="A367" s="51" t="n"/>
      <c r="B367" s="52" t="n"/>
      <c r="C367" s="52" t="n"/>
      <c r="D367" s="53" t="n"/>
      <c r="E367" s="15" t="n"/>
    </row>
    <row r="368" ht="15.75" customHeight="1" s="252">
      <c r="A368" s="51" t="n"/>
      <c r="B368" s="52" t="n"/>
      <c r="C368" s="52" t="n"/>
      <c r="D368" s="53" t="n"/>
      <c r="E368" s="15" t="n"/>
    </row>
    <row r="369" ht="15.75" customHeight="1" s="252">
      <c r="A369" s="51" t="n"/>
      <c r="B369" s="52" t="n"/>
      <c r="C369" s="52" t="n"/>
      <c r="D369" s="53" t="n"/>
      <c r="E369" s="15" t="n"/>
    </row>
    <row r="370" ht="15.75" customHeight="1" s="252">
      <c r="A370" s="51" t="n"/>
      <c r="B370" s="52" t="n"/>
      <c r="C370" s="52" t="n"/>
      <c r="D370" s="53" t="n"/>
      <c r="E370" s="15" t="n"/>
    </row>
    <row r="371" ht="15.75" customHeight="1" s="252">
      <c r="A371" s="51" t="n"/>
      <c r="B371" s="52" t="n"/>
      <c r="C371" s="52" t="n"/>
      <c r="D371" s="53" t="n"/>
      <c r="E371" s="15" t="n"/>
    </row>
    <row r="372" ht="15.75" customHeight="1" s="252">
      <c r="A372" s="51" t="n"/>
      <c r="B372" s="52" t="n"/>
      <c r="C372" s="52" t="n"/>
      <c r="D372" s="53" t="n"/>
      <c r="E372" s="15" t="n"/>
    </row>
    <row r="373" ht="15.75" customHeight="1" s="252">
      <c r="A373" s="51" t="n"/>
      <c r="B373" s="52" t="n"/>
      <c r="C373" s="52" t="n"/>
      <c r="D373" s="53" t="n"/>
      <c r="E373" s="15" t="n"/>
    </row>
    <row r="374" ht="15.75" customHeight="1" s="252">
      <c r="A374" s="51" t="n"/>
      <c r="B374" s="52" t="n"/>
      <c r="C374" s="52" t="n"/>
      <c r="D374" s="53" t="n"/>
      <c r="E374" s="15" t="n"/>
    </row>
    <row r="375" ht="15.75" customHeight="1" s="252">
      <c r="A375" s="51" t="n"/>
      <c r="B375" s="52" t="n"/>
      <c r="C375" s="52" t="n"/>
      <c r="D375" s="53" t="n"/>
      <c r="E375" s="15" t="n"/>
    </row>
    <row r="376" ht="15.75" customHeight="1" s="252">
      <c r="A376" s="51" t="n"/>
      <c r="B376" s="52" t="n"/>
      <c r="C376" s="52" t="n"/>
      <c r="D376" s="53" t="n"/>
      <c r="E376" s="15" t="n"/>
    </row>
    <row r="377" ht="15.75" customHeight="1" s="252">
      <c r="A377" s="51" t="n"/>
      <c r="B377" s="52" t="n"/>
      <c r="C377" s="52" t="n"/>
      <c r="D377" s="53" t="n"/>
      <c r="E377" s="15" t="n"/>
    </row>
    <row r="378" ht="15.75" customHeight="1" s="252">
      <c r="A378" s="51" t="n"/>
      <c r="B378" s="52" t="n"/>
      <c r="C378" s="52" t="n"/>
      <c r="D378" s="53" t="n"/>
      <c r="E378" s="15" t="n"/>
    </row>
    <row r="379" ht="15.75" customHeight="1" s="252">
      <c r="A379" s="51" t="n"/>
      <c r="B379" s="52" t="n"/>
      <c r="C379" s="52" t="n"/>
      <c r="D379" s="53" t="n"/>
      <c r="E379" s="15" t="n"/>
    </row>
    <row r="380" ht="15.75" customHeight="1" s="252">
      <c r="A380" s="51" t="n"/>
      <c r="B380" s="52" t="n"/>
      <c r="C380" s="52" t="n"/>
      <c r="D380" s="53" t="n"/>
      <c r="E380" s="15" t="n"/>
    </row>
    <row r="381" ht="15.75" customHeight="1" s="252">
      <c r="A381" s="51" t="n"/>
      <c r="B381" s="52" t="n"/>
      <c r="C381" s="52" t="n"/>
      <c r="D381" s="53" t="n"/>
      <c r="E381" s="15" t="n"/>
    </row>
    <row r="382" ht="15.75" customHeight="1" s="252">
      <c r="A382" s="51" t="n"/>
      <c r="B382" s="52" t="n"/>
      <c r="C382" s="52" t="n"/>
      <c r="D382" s="53" t="n"/>
      <c r="E382" s="15" t="n"/>
    </row>
    <row r="383" ht="15.75" customHeight="1" s="252">
      <c r="A383" s="51" t="n"/>
      <c r="B383" s="52" t="n"/>
      <c r="C383" s="52" t="n"/>
      <c r="D383" s="53" t="n"/>
      <c r="E383" s="15" t="n"/>
    </row>
    <row r="384" ht="15.75" customHeight="1" s="252">
      <c r="A384" s="51" t="n"/>
      <c r="B384" s="52" t="n"/>
      <c r="C384" s="52" t="n"/>
      <c r="D384" s="53" t="n"/>
      <c r="E384" s="15" t="n"/>
    </row>
    <row r="385" ht="15.75" customHeight="1" s="252">
      <c r="A385" s="51" t="n"/>
      <c r="B385" s="52" t="n"/>
      <c r="C385" s="52" t="n"/>
      <c r="D385" s="53" t="n"/>
      <c r="E385" s="15" t="n"/>
    </row>
    <row r="386" ht="15.75" customHeight="1" s="252">
      <c r="A386" s="51" t="n"/>
      <c r="B386" s="52" t="n"/>
      <c r="C386" s="52" t="n"/>
      <c r="D386" s="53" t="n"/>
      <c r="E386" s="15" t="n"/>
    </row>
    <row r="387" ht="15.75" customHeight="1" s="252">
      <c r="A387" s="51" t="n"/>
      <c r="B387" s="52" t="n"/>
      <c r="C387" s="52" t="n"/>
      <c r="D387" s="53" t="n"/>
      <c r="E387" s="15" t="n"/>
    </row>
    <row r="388" ht="15.75" customHeight="1" s="252">
      <c r="A388" s="51" t="n"/>
      <c r="B388" s="52" t="n"/>
      <c r="C388" s="52" t="n"/>
      <c r="D388" s="53" t="n"/>
      <c r="E388" s="15" t="n"/>
    </row>
    <row r="389" ht="15.75" customHeight="1" s="252">
      <c r="A389" s="51" t="n"/>
      <c r="B389" s="52" t="n"/>
      <c r="C389" s="52" t="n"/>
      <c r="D389" s="53" t="n"/>
      <c r="E389" s="15" t="n"/>
    </row>
    <row r="390" ht="15.75" customHeight="1" s="252">
      <c r="A390" s="51" t="n"/>
      <c r="B390" s="52" t="n"/>
      <c r="C390" s="52" t="n"/>
      <c r="D390" s="53" t="n"/>
      <c r="E390" s="15" t="n"/>
    </row>
    <row r="391" ht="15.75" customHeight="1" s="252">
      <c r="A391" s="51" t="n"/>
      <c r="B391" s="52" t="n"/>
      <c r="C391" s="52" t="n"/>
      <c r="D391" s="53" t="n"/>
      <c r="E391" s="15" t="n"/>
    </row>
    <row r="392" ht="15.75" customHeight="1" s="252">
      <c r="A392" s="51" t="n"/>
      <c r="B392" s="52" t="n"/>
      <c r="C392" s="52" t="n"/>
      <c r="D392" s="53" t="n"/>
      <c r="E392" s="15" t="n"/>
    </row>
    <row r="393" ht="15.75" customHeight="1" s="252">
      <c r="A393" s="51" t="n"/>
      <c r="B393" s="52" t="n"/>
      <c r="C393" s="52" t="n"/>
      <c r="D393" s="53" t="n"/>
      <c r="E393" s="15" t="n"/>
    </row>
    <row r="394" ht="15.75" customHeight="1" s="252">
      <c r="A394" s="51" t="n"/>
      <c r="B394" s="52" t="n"/>
      <c r="C394" s="52" t="n"/>
      <c r="D394" s="53" t="n"/>
      <c r="E394" s="15" t="n"/>
    </row>
    <row r="395" ht="15.75" customHeight="1" s="252">
      <c r="A395" s="51" t="n"/>
      <c r="B395" s="52" t="n"/>
      <c r="C395" s="52" t="n"/>
      <c r="D395" s="53" t="n"/>
      <c r="E395" s="15" t="n"/>
    </row>
    <row r="396" ht="15.75" customHeight="1" s="252">
      <c r="A396" s="51" t="n"/>
      <c r="B396" s="52" t="n"/>
      <c r="C396" s="52" t="n"/>
      <c r="D396" s="53" t="n"/>
      <c r="E396" s="15" t="n"/>
    </row>
    <row r="397" ht="15.75" customHeight="1" s="252">
      <c r="A397" s="51" t="n"/>
      <c r="B397" s="52" t="n"/>
      <c r="C397" s="52" t="n"/>
      <c r="D397" s="53" t="n"/>
      <c r="E397" s="15" t="n"/>
    </row>
    <row r="398" ht="15.75" customHeight="1" s="252">
      <c r="A398" s="51" t="n"/>
      <c r="B398" s="52" t="n"/>
      <c r="C398" s="52" t="n"/>
      <c r="D398" s="53" t="n"/>
      <c r="E398" s="15" t="n"/>
    </row>
    <row r="399" ht="15.75" customHeight="1" s="252">
      <c r="A399" s="51" t="n"/>
      <c r="B399" s="52" t="n"/>
      <c r="C399" s="52" t="n"/>
      <c r="D399" s="53" t="n"/>
      <c r="E399" s="15" t="n"/>
    </row>
    <row r="400" ht="15.75" customHeight="1" s="252">
      <c r="A400" s="51" t="n"/>
      <c r="B400" s="52" t="n"/>
      <c r="C400" s="52" t="n"/>
      <c r="D400" s="53" t="n"/>
      <c r="E400" s="15" t="n"/>
    </row>
    <row r="401" ht="15.75" customHeight="1" s="252">
      <c r="A401" s="51" t="n"/>
      <c r="B401" s="52" t="n"/>
      <c r="C401" s="52" t="n"/>
      <c r="D401" s="53" t="n"/>
      <c r="E401" s="15" t="n"/>
    </row>
    <row r="402" ht="15.75" customHeight="1" s="252">
      <c r="A402" s="51" t="n"/>
      <c r="B402" s="52" t="n"/>
      <c r="C402" s="52" t="n"/>
      <c r="D402" s="53" t="n"/>
      <c r="E402" s="15" t="n"/>
    </row>
    <row r="403" ht="15.75" customHeight="1" s="252">
      <c r="C403" s="54" t="n"/>
    </row>
    <row r="404" ht="15.75" customHeight="1" s="252">
      <c r="C404" s="54" t="n"/>
    </row>
    <row r="405" ht="15.75" customHeight="1" s="252">
      <c r="C405" s="54" t="n"/>
    </row>
    <row r="406" ht="15.75" customHeight="1" s="252">
      <c r="C406" s="54" t="n"/>
    </row>
    <row r="407" ht="15.75" customHeight="1" s="252">
      <c r="C407" s="54" t="n"/>
    </row>
    <row r="408" ht="15.75" customHeight="1" s="252">
      <c r="C408" s="54" t="n"/>
    </row>
    <row r="409" ht="15.75" customHeight="1" s="252">
      <c r="C409" s="54" t="n"/>
    </row>
    <row r="410" ht="15.75" customHeight="1" s="252">
      <c r="C410" s="54" t="n"/>
    </row>
    <row r="411" ht="15.75" customHeight="1" s="252">
      <c r="C411" s="54" t="n"/>
    </row>
    <row r="412" ht="15.75" customHeight="1" s="252">
      <c r="C412" s="54" t="n"/>
    </row>
    <row r="413" ht="15.75" customHeight="1" s="252">
      <c r="C413" s="54" t="n"/>
    </row>
    <row r="414" ht="15.75" customHeight="1" s="252">
      <c r="C414" s="54" t="n"/>
    </row>
    <row r="415" ht="15.75" customHeight="1" s="252">
      <c r="C415" s="54" t="n"/>
    </row>
    <row r="416" ht="15.75" customHeight="1" s="252">
      <c r="C416" s="54" t="n"/>
    </row>
    <row r="417" ht="15.75" customHeight="1" s="252">
      <c r="C417" s="54" t="n"/>
    </row>
    <row r="418" ht="15.75" customHeight="1" s="252">
      <c r="C418" s="54" t="n"/>
    </row>
    <row r="419" ht="15.75" customHeight="1" s="252">
      <c r="C419" s="54" t="n"/>
    </row>
    <row r="420" ht="15.75" customHeight="1" s="252">
      <c r="C420" s="54" t="n"/>
    </row>
    <row r="421" ht="15.75" customHeight="1" s="252">
      <c r="C421" s="54" t="n"/>
    </row>
    <row r="422" ht="15.75" customHeight="1" s="252">
      <c r="C422" s="54" t="n"/>
    </row>
    <row r="423" ht="15.75" customHeight="1" s="252">
      <c r="C423" s="54" t="n"/>
    </row>
    <row r="424" ht="15.75" customHeight="1" s="252">
      <c r="C424" s="54" t="n"/>
    </row>
    <row r="425" ht="15.75" customHeight="1" s="252">
      <c r="C425" s="54" t="n"/>
    </row>
    <row r="426" ht="15.75" customHeight="1" s="252">
      <c r="C426" s="54" t="n"/>
    </row>
    <row r="427" ht="15.75" customHeight="1" s="252">
      <c r="C427" s="54" t="n"/>
    </row>
    <row r="428" ht="15.75" customHeight="1" s="252">
      <c r="C428" s="54" t="n"/>
    </row>
    <row r="429" ht="15.75" customHeight="1" s="252">
      <c r="C429" s="54" t="n"/>
    </row>
    <row r="430" ht="15.75" customHeight="1" s="252">
      <c r="C430" s="54" t="n"/>
    </row>
    <row r="431" ht="15.75" customHeight="1" s="252">
      <c r="C431" s="54" t="n"/>
    </row>
    <row r="432" ht="15.75" customHeight="1" s="252">
      <c r="C432" s="54" t="n"/>
    </row>
    <row r="433" ht="15.75" customHeight="1" s="252">
      <c r="C433" s="54" t="n"/>
    </row>
    <row r="434" ht="15.75" customHeight="1" s="252">
      <c r="C434" s="54" t="n"/>
    </row>
    <row r="435" ht="15.75" customHeight="1" s="252">
      <c r="C435" s="54" t="n"/>
    </row>
    <row r="436" ht="15.75" customHeight="1" s="252">
      <c r="C436" s="54" t="n"/>
    </row>
    <row r="437" ht="15.75" customHeight="1" s="252">
      <c r="C437" s="54" t="n"/>
    </row>
    <row r="438" ht="15.75" customHeight="1" s="252">
      <c r="C438" s="54" t="n"/>
    </row>
    <row r="439" ht="15.75" customHeight="1" s="252">
      <c r="C439" s="54" t="n"/>
    </row>
    <row r="440" ht="15.75" customHeight="1" s="252">
      <c r="C440" s="54" t="n"/>
    </row>
    <row r="441" ht="15.75" customHeight="1" s="252">
      <c r="C441" s="54" t="n"/>
    </row>
    <row r="442" ht="15.75" customHeight="1" s="252">
      <c r="C442" s="54" t="n"/>
    </row>
    <row r="443" ht="15.75" customHeight="1" s="252">
      <c r="C443" s="54" t="n"/>
    </row>
    <row r="444" ht="15.75" customHeight="1" s="252">
      <c r="C444" s="54" t="n"/>
    </row>
    <row r="445" ht="15.75" customHeight="1" s="252">
      <c r="C445" s="54" t="n"/>
    </row>
    <row r="446" ht="15.75" customHeight="1" s="252">
      <c r="C446" s="54" t="n"/>
    </row>
    <row r="447" ht="15.75" customHeight="1" s="252">
      <c r="C447" s="54" t="n"/>
    </row>
    <row r="448" ht="15.75" customHeight="1" s="252">
      <c r="C448" s="54" t="n"/>
    </row>
    <row r="449" ht="15.75" customHeight="1" s="252">
      <c r="C449" s="54" t="n"/>
    </row>
    <row r="450" ht="15.75" customHeight="1" s="252">
      <c r="C450" s="54" t="n"/>
    </row>
    <row r="451" ht="15.75" customHeight="1" s="252">
      <c r="C451" s="54" t="n"/>
    </row>
    <row r="452" ht="15.75" customHeight="1" s="252">
      <c r="C452" s="54" t="n"/>
    </row>
    <row r="453" ht="15.75" customHeight="1" s="252">
      <c r="C453" s="54" t="n"/>
    </row>
    <row r="454" ht="15.75" customHeight="1" s="252">
      <c r="C454" s="54" t="n"/>
    </row>
    <row r="455" ht="15.75" customHeight="1" s="252">
      <c r="C455" s="54" t="n"/>
    </row>
    <row r="456" ht="15.75" customHeight="1" s="252">
      <c r="C456" s="54" t="n"/>
    </row>
    <row r="457" ht="15.75" customHeight="1" s="252">
      <c r="C457" s="54" t="n"/>
    </row>
    <row r="458" ht="15.75" customHeight="1" s="252">
      <c r="C458" s="54" t="n"/>
    </row>
    <row r="459" ht="15.75" customHeight="1" s="252">
      <c r="C459" s="54" t="n"/>
    </row>
    <row r="460" ht="15.75" customHeight="1" s="252">
      <c r="C460" s="54" t="n"/>
    </row>
    <row r="461" ht="15.75" customHeight="1" s="252">
      <c r="C461" s="54" t="n"/>
    </row>
    <row r="462" ht="15.75" customHeight="1" s="252">
      <c r="C462" s="54" t="n"/>
    </row>
    <row r="463" ht="15.75" customHeight="1" s="252">
      <c r="C463" s="54" t="n"/>
    </row>
    <row r="464" ht="15.75" customHeight="1" s="252">
      <c r="C464" s="54" t="n"/>
    </row>
    <row r="465" ht="15.75" customHeight="1" s="252">
      <c r="C465" s="54" t="n"/>
    </row>
    <row r="466" ht="15.75" customHeight="1" s="252">
      <c r="C466" s="54" t="n"/>
    </row>
    <row r="467" ht="15.75" customHeight="1" s="252">
      <c r="C467" s="54" t="n"/>
    </row>
    <row r="468" ht="15.75" customHeight="1" s="252">
      <c r="C468" s="54" t="n"/>
    </row>
    <row r="469" ht="15.75" customHeight="1" s="252">
      <c r="C469" s="54" t="n"/>
    </row>
    <row r="470" ht="15.75" customHeight="1" s="252">
      <c r="C470" s="54" t="n"/>
    </row>
    <row r="471" ht="15.75" customHeight="1" s="252">
      <c r="C471" s="54" t="n"/>
    </row>
    <row r="472" ht="15.75" customHeight="1" s="252">
      <c r="C472" s="54" t="n"/>
    </row>
    <row r="473" ht="15.75" customHeight="1" s="252">
      <c r="C473" s="54" t="n"/>
    </row>
    <row r="474" ht="15.75" customHeight="1" s="252">
      <c r="C474" s="54" t="n"/>
    </row>
    <row r="475" ht="15.75" customHeight="1" s="252">
      <c r="C475" s="54" t="n"/>
    </row>
    <row r="476" ht="15.75" customHeight="1" s="252">
      <c r="C476" s="54" t="n"/>
    </row>
    <row r="477" ht="15.75" customHeight="1" s="252">
      <c r="C477" s="54" t="n"/>
    </row>
    <row r="478" ht="15.75" customHeight="1" s="252">
      <c r="C478" s="54" t="n"/>
    </row>
    <row r="479" ht="15.75" customHeight="1" s="252">
      <c r="C479" s="54" t="n"/>
    </row>
    <row r="480" ht="15.75" customHeight="1" s="252">
      <c r="C480" s="54" t="n"/>
    </row>
    <row r="481" ht="15.75" customHeight="1" s="252">
      <c r="C481" s="54" t="n"/>
    </row>
    <row r="482" ht="15.75" customHeight="1" s="252">
      <c r="C482" s="54" t="n"/>
    </row>
    <row r="483" ht="15.75" customHeight="1" s="252">
      <c r="C483" s="54" t="n"/>
    </row>
    <row r="484" ht="15.75" customHeight="1" s="252">
      <c r="C484" s="54" t="n"/>
    </row>
    <row r="485" ht="15.75" customHeight="1" s="252">
      <c r="C485" s="54" t="n"/>
    </row>
    <row r="486" ht="15.75" customHeight="1" s="252">
      <c r="C486" s="54" t="n"/>
    </row>
    <row r="487" ht="15.75" customHeight="1" s="252">
      <c r="C487" s="54" t="n"/>
    </row>
    <row r="488" ht="15.75" customHeight="1" s="252">
      <c r="C488" s="54" t="n"/>
    </row>
    <row r="489" ht="15.75" customHeight="1" s="252">
      <c r="C489" s="54" t="n"/>
    </row>
    <row r="490" ht="15.75" customHeight="1" s="252">
      <c r="C490" s="54" t="n"/>
    </row>
    <row r="491" ht="15.75" customHeight="1" s="252">
      <c r="C491" s="54" t="n"/>
    </row>
    <row r="492" ht="15.75" customHeight="1" s="252">
      <c r="C492" s="54" t="n"/>
    </row>
    <row r="493" ht="15.75" customHeight="1" s="252">
      <c r="C493" s="54" t="n"/>
    </row>
    <row r="494" ht="15.75" customHeight="1" s="252">
      <c r="C494" s="54" t="n"/>
    </row>
    <row r="495" ht="15.75" customHeight="1" s="252">
      <c r="C495" s="54" t="n"/>
    </row>
    <row r="496" ht="15.75" customHeight="1" s="252">
      <c r="C496" s="54" t="n"/>
    </row>
    <row r="497" ht="15.75" customHeight="1" s="252">
      <c r="C497" s="54" t="n"/>
    </row>
    <row r="498" ht="15.75" customHeight="1" s="252">
      <c r="C498" s="54" t="n"/>
    </row>
    <row r="499" ht="15.75" customHeight="1" s="252">
      <c r="C499" s="54" t="n"/>
    </row>
    <row r="500" ht="15.75" customHeight="1" s="252">
      <c r="C500" s="54" t="n"/>
    </row>
    <row r="501" ht="15.75" customHeight="1" s="252">
      <c r="C501" s="54" t="n"/>
    </row>
    <row r="502" ht="15.75" customHeight="1" s="252">
      <c r="C502" s="54" t="n"/>
    </row>
    <row r="503" ht="15.75" customHeight="1" s="252">
      <c r="C503" s="54" t="n"/>
    </row>
    <row r="504" ht="15.75" customHeight="1" s="252">
      <c r="C504" s="54" t="n"/>
    </row>
    <row r="505" ht="15.75" customHeight="1" s="252">
      <c r="C505" s="54" t="n"/>
    </row>
    <row r="506" ht="15.75" customHeight="1" s="252">
      <c r="C506" s="54" t="n"/>
    </row>
    <row r="507" ht="15.75" customHeight="1" s="252">
      <c r="C507" s="54" t="n"/>
    </row>
    <row r="508" ht="15.75" customHeight="1" s="252">
      <c r="C508" s="54" t="n"/>
    </row>
    <row r="509" ht="15.75" customHeight="1" s="252">
      <c r="C509" s="54" t="n"/>
    </row>
    <row r="510" ht="15.75" customHeight="1" s="252">
      <c r="C510" s="54" t="n"/>
    </row>
    <row r="511" ht="15.75" customHeight="1" s="252">
      <c r="C511" s="54" t="n"/>
    </row>
    <row r="512" ht="15.75" customHeight="1" s="252">
      <c r="C512" s="54" t="n"/>
    </row>
    <row r="513" ht="15.75" customHeight="1" s="252">
      <c r="C513" s="54" t="n"/>
    </row>
    <row r="514" ht="15.75" customHeight="1" s="252">
      <c r="C514" s="54" t="n"/>
    </row>
    <row r="515" ht="15.75" customHeight="1" s="252">
      <c r="C515" s="54" t="n"/>
    </row>
    <row r="516" ht="15.75" customHeight="1" s="252">
      <c r="C516" s="54" t="n"/>
    </row>
    <row r="517" ht="15.75" customHeight="1" s="252">
      <c r="C517" s="54" t="n"/>
    </row>
    <row r="518" ht="15.75" customHeight="1" s="252">
      <c r="C518" s="54" t="n"/>
    </row>
    <row r="519" ht="15.75" customHeight="1" s="252">
      <c r="C519" s="54" t="n"/>
    </row>
    <row r="520" ht="15.75" customHeight="1" s="252">
      <c r="C520" s="54" t="n"/>
    </row>
    <row r="521" ht="15.75" customHeight="1" s="252">
      <c r="C521" s="54" t="n"/>
    </row>
    <row r="522" ht="15.75" customHeight="1" s="252">
      <c r="C522" s="54" t="n"/>
    </row>
    <row r="523" ht="15.75" customHeight="1" s="252">
      <c r="C523" s="54" t="n"/>
    </row>
    <row r="524" ht="15.75" customHeight="1" s="252">
      <c r="C524" s="54" t="n"/>
    </row>
    <row r="525" ht="15.75" customHeight="1" s="252">
      <c r="C525" s="54" t="n"/>
    </row>
    <row r="526" ht="15.75" customHeight="1" s="252">
      <c r="C526" s="54" t="n"/>
    </row>
    <row r="527" ht="15.75" customHeight="1" s="252">
      <c r="C527" s="54" t="n"/>
    </row>
    <row r="528" ht="15.75" customHeight="1" s="252">
      <c r="C528" s="54" t="n"/>
    </row>
    <row r="529" ht="15.75" customHeight="1" s="252">
      <c r="C529" s="54" t="n"/>
    </row>
    <row r="530" ht="15.75" customHeight="1" s="252">
      <c r="C530" s="54" t="n"/>
    </row>
    <row r="531" ht="15.75" customHeight="1" s="252">
      <c r="C531" s="54" t="n"/>
    </row>
    <row r="532" ht="15.75" customHeight="1" s="252">
      <c r="C532" s="54" t="n"/>
    </row>
    <row r="533" ht="15.75" customHeight="1" s="252">
      <c r="C533" s="54" t="n"/>
    </row>
    <row r="534" ht="15.75" customHeight="1" s="252">
      <c r="C534" s="54" t="n"/>
    </row>
    <row r="535" ht="15.75" customHeight="1" s="252">
      <c r="C535" s="54" t="n"/>
    </row>
    <row r="536" ht="15.75" customHeight="1" s="252">
      <c r="C536" s="54" t="n"/>
    </row>
    <row r="537" ht="15.75" customHeight="1" s="252">
      <c r="C537" s="54" t="n"/>
    </row>
    <row r="538" ht="15.75" customHeight="1" s="252">
      <c r="C538" s="54" t="n"/>
    </row>
    <row r="539" ht="15.75" customHeight="1" s="252">
      <c r="C539" s="54" t="n"/>
    </row>
    <row r="540" ht="15.75" customHeight="1" s="252">
      <c r="C540" s="54" t="n"/>
    </row>
    <row r="541" ht="15.75" customHeight="1" s="252">
      <c r="C541" s="54" t="n"/>
    </row>
    <row r="542" ht="15.75" customHeight="1" s="252">
      <c r="C542" s="54" t="n"/>
    </row>
    <row r="543" ht="15.75" customHeight="1" s="252">
      <c r="C543" s="54" t="n"/>
    </row>
    <row r="544" ht="15.75" customHeight="1" s="252">
      <c r="C544" s="54" t="n"/>
    </row>
    <row r="545" ht="15.75" customHeight="1" s="252">
      <c r="C545" s="54" t="n"/>
    </row>
    <row r="546" ht="15.75" customHeight="1" s="252">
      <c r="C546" s="54" t="n"/>
    </row>
    <row r="547" ht="15.75" customHeight="1" s="252">
      <c r="C547" s="54" t="n"/>
    </row>
    <row r="548" ht="15.75" customHeight="1" s="252">
      <c r="C548" s="54" t="n"/>
    </row>
    <row r="549" ht="15.75" customHeight="1" s="252">
      <c r="C549" s="54" t="n"/>
    </row>
    <row r="550" ht="15.75" customHeight="1" s="252">
      <c r="C550" s="54" t="n"/>
    </row>
    <row r="551" ht="15.75" customHeight="1" s="252">
      <c r="C551" s="54" t="n"/>
    </row>
    <row r="552" ht="15.75" customHeight="1" s="252">
      <c r="C552" s="54" t="n"/>
    </row>
    <row r="553" ht="15.75" customHeight="1" s="252">
      <c r="C553" s="54" t="n"/>
    </row>
    <row r="554" ht="15.75" customHeight="1" s="252">
      <c r="C554" s="54" t="n"/>
    </row>
    <row r="555" ht="15.75" customHeight="1" s="252">
      <c r="C555" s="54" t="n"/>
    </row>
    <row r="556" ht="15.75" customHeight="1" s="252">
      <c r="C556" s="54" t="n"/>
    </row>
    <row r="557" ht="15.75" customHeight="1" s="252">
      <c r="C557" s="54" t="n"/>
    </row>
    <row r="558" ht="15.75" customHeight="1" s="252">
      <c r="C558" s="54" t="n"/>
    </row>
    <row r="559" ht="15.75" customHeight="1" s="252">
      <c r="C559" s="54" t="n"/>
    </row>
    <row r="560" ht="15.75" customHeight="1" s="252">
      <c r="C560" s="54" t="n"/>
    </row>
    <row r="561" ht="15.75" customHeight="1" s="252">
      <c r="C561" s="54" t="n"/>
    </row>
    <row r="562" ht="15.75" customHeight="1" s="252">
      <c r="C562" s="54" t="n"/>
    </row>
    <row r="563" ht="15.75" customHeight="1" s="252">
      <c r="C563" s="54" t="n"/>
    </row>
    <row r="564" ht="15.75" customHeight="1" s="252">
      <c r="C564" s="54" t="n"/>
    </row>
    <row r="565" ht="15.75" customHeight="1" s="252">
      <c r="C565" s="54" t="n"/>
    </row>
    <row r="566" ht="15.75" customHeight="1" s="252">
      <c r="C566" s="54" t="n"/>
    </row>
    <row r="567" ht="15.75" customHeight="1" s="252">
      <c r="C567" s="54" t="n"/>
    </row>
    <row r="568" ht="15.75" customHeight="1" s="252">
      <c r="C568" s="54" t="n"/>
    </row>
    <row r="569" ht="15.75" customHeight="1" s="252">
      <c r="C569" s="54" t="n"/>
    </row>
    <row r="570" ht="15.75" customHeight="1" s="252">
      <c r="C570" s="54" t="n"/>
    </row>
    <row r="571" ht="15.75" customHeight="1" s="252">
      <c r="C571" s="54" t="n"/>
    </row>
    <row r="572" ht="15.75" customHeight="1" s="252">
      <c r="C572" s="54" t="n"/>
    </row>
    <row r="573" ht="15.75" customHeight="1" s="252">
      <c r="C573" s="54" t="n"/>
    </row>
    <row r="574" ht="15.75" customHeight="1" s="252">
      <c r="C574" s="54" t="n"/>
    </row>
    <row r="575" ht="15.75" customHeight="1" s="252">
      <c r="C575" s="54" t="n"/>
    </row>
    <row r="576" ht="15.75" customHeight="1" s="252">
      <c r="C576" s="54" t="n"/>
    </row>
    <row r="577" ht="15.75" customHeight="1" s="252">
      <c r="C577" s="54" t="n"/>
    </row>
    <row r="578" ht="15.75" customHeight="1" s="252">
      <c r="C578" s="54" t="n"/>
    </row>
    <row r="579" ht="15.75" customHeight="1" s="252">
      <c r="C579" s="54" t="n"/>
    </row>
    <row r="580" ht="15.75" customHeight="1" s="252">
      <c r="C580" s="54" t="n"/>
    </row>
    <row r="581" ht="15.75" customHeight="1" s="252">
      <c r="C581" s="54" t="n"/>
    </row>
    <row r="582" ht="15.75" customHeight="1" s="252">
      <c r="C582" s="54" t="n"/>
    </row>
    <row r="583" ht="15.75" customHeight="1" s="252">
      <c r="C583" s="54" t="n"/>
    </row>
    <row r="584" ht="15.75" customHeight="1" s="252">
      <c r="C584" s="54" t="n"/>
    </row>
    <row r="585" ht="15.75" customHeight="1" s="252">
      <c r="C585" s="54" t="n"/>
    </row>
    <row r="586" ht="15.75" customHeight="1" s="252">
      <c r="C586" s="54" t="n"/>
    </row>
    <row r="587" ht="15.75" customHeight="1" s="252">
      <c r="C587" s="54" t="n"/>
    </row>
    <row r="588" ht="15.75" customHeight="1" s="252">
      <c r="C588" s="54" t="n"/>
    </row>
    <row r="589" ht="15.75" customHeight="1" s="252">
      <c r="C589" s="54" t="n"/>
    </row>
    <row r="590" ht="15.75" customHeight="1" s="252">
      <c r="C590" s="54" t="n"/>
    </row>
    <row r="591" ht="15.75" customHeight="1" s="252">
      <c r="C591" s="54" t="n"/>
    </row>
    <row r="592" ht="15.75" customHeight="1" s="252">
      <c r="C592" s="54" t="n"/>
    </row>
    <row r="593" ht="15.75" customHeight="1" s="252">
      <c r="C593" s="54" t="n"/>
    </row>
    <row r="594" ht="15.75" customHeight="1" s="252">
      <c r="C594" s="54" t="n"/>
    </row>
    <row r="595" ht="15.75" customHeight="1" s="252">
      <c r="C595" s="54" t="n"/>
    </row>
    <row r="596" ht="15.75" customHeight="1" s="252">
      <c r="C596" s="54" t="n"/>
    </row>
    <row r="597" ht="15.75" customHeight="1" s="252">
      <c r="C597" s="54" t="n"/>
    </row>
    <row r="598" ht="15.75" customHeight="1" s="252">
      <c r="C598" s="54" t="n"/>
    </row>
    <row r="599" ht="15.75" customHeight="1" s="252">
      <c r="C599" s="54" t="n"/>
    </row>
    <row r="600" ht="15.75" customHeight="1" s="252">
      <c r="C600" s="54" t="n"/>
    </row>
    <row r="601" ht="15.75" customHeight="1" s="252">
      <c r="C601" s="54" t="n"/>
    </row>
    <row r="602" ht="15.75" customHeight="1" s="252">
      <c r="C602" s="54" t="n"/>
    </row>
    <row r="603" ht="15.75" customHeight="1" s="252">
      <c r="C603" s="54" t="n"/>
    </row>
    <row r="604" ht="15.75" customHeight="1" s="252">
      <c r="C604" s="54" t="n"/>
    </row>
    <row r="605" ht="15.75" customHeight="1" s="252">
      <c r="C605" s="54" t="n"/>
    </row>
    <row r="606" ht="15.75" customHeight="1" s="252">
      <c r="C606" s="54" t="n"/>
    </row>
    <row r="607" ht="15.75" customHeight="1" s="252">
      <c r="C607" s="54" t="n"/>
    </row>
    <row r="608" ht="15.75" customHeight="1" s="252">
      <c r="C608" s="54" t="n"/>
    </row>
    <row r="609" ht="15.75" customHeight="1" s="252">
      <c r="C609" s="54" t="n"/>
    </row>
    <row r="610" ht="15.75" customHeight="1" s="252">
      <c r="C610" s="54" t="n"/>
    </row>
    <row r="611" ht="15.75" customHeight="1" s="252">
      <c r="C611" s="54" t="n"/>
    </row>
    <row r="612" ht="15.75" customHeight="1" s="252">
      <c r="C612" s="54" t="n"/>
    </row>
    <row r="613" ht="15.75" customHeight="1" s="252">
      <c r="C613" s="54" t="n"/>
    </row>
    <row r="614" ht="15.75" customHeight="1" s="252">
      <c r="C614" s="54" t="n"/>
    </row>
    <row r="615" ht="15.75" customHeight="1" s="252">
      <c r="C615" s="54" t="n"/>
    </row>
    <row r="616" ht="15.75" customHeight="1" s="252">
      <c r="C616" s="54" t="n"/>
    </row>
    <row r="617" ht="15.75" customHeight="1" s="252">
      <c r="C617" s="54" t="n"/>
    </row>
    <row r="618" ht="15.75" customHeight="1" s="252">
      <c r="C618" s="54" t="n"/>
    </row>
    <row r="619" ht="15.75" customHeight="1" s="252">
      <c r="C619" s="54" t="n"/>
    </row>
    <row r="620" ht="15.75" customHeight="1" s="252">
      <c r="C620" s="54" t="n"/>
    </row>
    <row r="621" ht="15.75" customHeight="1" s="252">
      <c r="C621" s="54" t="n"/>
    </row>
    <row r="622" ht="15.75" customHeight="1" s="252">
      <c r="C622" s="54" t="n"/>
    </row>
    <row r="623" ht="15.75" customHeight="1" s="252">
      <c r="C623" s="54" t="n"/>
    </row>
    <row r="624" ht="15.75" customHeight="1" s="252">
      <c r="C624" s="54" t="n"/>
    </row>
    <row r="625" ht="15.75" customHeight="1" s="252">
      <c r="C625" s="54" t="n"/>
    </row>
    <row r="626" ht="15.75" customHeight="1" s="252">
      <c r="C626" s="54" t="n"/>
    </row>
    <row r="627" ht="15.75" customHeight="1" s="252">
      <c r="C627" s="54" t="n"/>
    </row>
    <row r="628" ht="15.75" customHeight="1" s="252">
      <c r="C628" s="54" t="n"/>
    </row>
    <row r="629" ht="15.75" customHeight="1" s="252">
      <c r="C629" s="54" t="n"/>
    </row>
    <row r="630" ht="15.75" customHeight="1" s="252">
      <c r="C630" s="54" t="n"/>
    </row>
    <row r="631" ht="15.75" customHeight="1" s="252">
      <c r="C631" s="54" t="n"/>
    </row>
    <row r="632" ht="15.75" customHeight="1" s="252">
      <c r="C632" s="54" t="n"/>
    </row>
    <row r="633" ht="15.75" customHeight="1" s="252">
      <c r="C633" s="54" t="n"/>
    </row>
    <row r="634" ht="15.75" customHeight="1" s="252">
      <c r="C634" s="54" t="n"/>
    </row>
    <row r="635" ht="15.75" customHeight="1" s="252">
      <c r="C635" s="54" t="n"/>
    </row>
    <row r="636" ht="15.75" customHeight="1" s="252">
      <c r="C636" s="54" t="n"/>
    </row>
    <row r="637" ht="15.75" customHeight="1" s="252">
      <c r="C637" s="54" t="n"/>
    </row>
    <row r="638" ht="15.75" customHeight="1" s="252">
      <c r="C638" s="54" t="n"/>
    </row>
    <row r="639" ht="15.75" customHeight="1" s="252">
      <c r="C639" s="54" t="n"/>
    </row>
    <row r="640" ht="15.75" customHeight="1" s="252">
      <c r="C640" s="54" t="n"/>
    </row>
    <row r="641" ht="15.75" customHeight="1" s="252">
      <c r="C641" s="54" t="n"/>
    </row>
    <row r="642" ht="15.75" customHeight="1" s="252">
      <c r="C642" s="54" t="n"/>
    </row>
    <row r="643" ht="15.75" customHeight="1" s="252">
      <c r="C643" s="54" t="n"/>
    </row>
    <row r="644" ht="15.75" customHeight="1" s="252">
      <c r="C644" s="54" t="n"/>
    </row>
    <row r="645" ht="15.75" customHeight="1" s="252">
      <c r="C645" s="54" t="n"/>
    </row>
    <row r="646" ht="15.75" customHeight="1" s="252">
      <c r="C646" s="54" t="n"/>
    </row>
    <row r="647" ht="15.75" customHeight="1" s="252">
      <c r="C647" s="54" t="n"/>
    </row>
    <row r="648" ht="15.75" customHeight="1" s="252">
      <c r="C648" s="54" t="n"/>
    </row>
    <row r="649" ht="15.75" customHeight="1" s="252">
      <c r="C649" s="54" t="n"/>
    </row>
    <row r="650" ht="15.75" customHeight="1" s="252">
      <c r="C650" s="54" t="n"/>
    </row>
    <row r="651" ht="15.75" customHeight="1" s="252">
      <c r="C651" s="54" t="n"/>
    </row>
    <row r="652" ht="15.75" customHeight="1" s="252">
      <c r="C652" s="54" t="n"/>
    </row>
    <row r="653" ht="15.75" customHeight="1" s="252">
      <c r="C653" s="54" t="n"/>
    </row>
    <row r="654" ht="15.75" customHeight="1" s="252">
      <c r="C654" s="54" t="n"/>
    </row>
    <row r="655" ht="15.75" customHeight="1" s="252">
      <c r="C655" s="54" t="n"/>
    </row>
    <row r="656" ht="15.75" customHeight="1" s="252">
      <c r="C656" s="54" t="n"/>
    </row>
    <row r="657" ht="15.75" customHeight="1" s="252">
      <c r="C657" s="54" t="n"/>
    </row>
    <row r="658" ht="15.75" customHeight="1" s="252">
      <c r="C658" s="54" t="n"/>
    </row>
    <row r="659" ht="15.75" customHeight="1" s="252">
      <c r="C659" s="54" t="n"/>
    </row>
    <row r="660" ht="15.75" customHeight="1" s="252">
      <c r="C660" s="54" t="n"/>
    </row>
    <row r="661" ht="15.75" customHeight="1" s="252">
      <c r="C661" s="54" t="n"/>
    </row>
    <row r="662" ht="15.75" customHeight="1" s="252">
      <c r="C662" s="54" t="n"/>
    </row>
    <row r="663" ht="15.75" customHeight="1" s="252">
      <c r="C663" s="54" t="n"/>
    </row>
    <row r="664" ht="15.75" customHeight="1" s="252">
      <c r="C664" s="54" t="n"/>
    </row>
    <row r="665" ht="15.75" customHeight="1" s="252">
      <c r="C665" s="54" t="n"/>
    </row>
    <row r="666" ht="15.75" customHeight="1" s="252">
      <c r="C666" s="54" t="n"/>
    </row>
    <row r="667" ht="15.75" customHeight="1" s="252">
      <c r="C667" s="54" t="n"/>
    </row>
    <row r="668" ht="15.75" customHeight="1" s="252">
      <c r="C668" s="54" t="n"/>
    </row>
    <row r="669" ht="15.75" customHeight="1" s="252">
      <c r="C669" s="54" t="n"/>
    </row>
    <row r="670" ht="15.75" customHeight="1" s="252">
      <c r="C670" s="54" t="n"/>
    </row>
    <row r="671" ht="15.75" customHeight="1" s="252">
      <c r="C671" s="54" t="n"/>
    </row>
    <row r="672" ht="15.75" customHeight="1" s="252">
      <c r="C672" s="54" t="n"/>
    </row>
    <row r="673" ht="15.75" customHeight="1" s="252">
      <c r="C673" s="54" t="n"/>
    </row>
    <row r="674" ht="15.75" customHeight="1" s="252">
      <c r="C674" s="54" t="n"/>
    </row>
    <row r="675" ht="15.75" customHeight="1" s="252">
      <c r="C675" s="54" t="n"/>
    </row>
    <row r="676" ht="15.75" customHeight="1" s="252">
      <c r="C676" s="54" t="n"/>
    </row>
    <row r="677" ht="15.75" customHeight="1" s="252">
      <c r="C677" s="54" t="n"/>
    </row>
    <row r="678" ht="15.75" customHeight="1" s="252">
      <c r="C678" s="54" t="n"/>
    </row>
    <row r="679" ht="15.75" customHeight="1" s="252">
      <c r="C679" s="54" t="n"/>
    </row>
    <row r="680" ht="15.75" customHeight="1" s="252">
      <c r="C680" s="54" t="n"/>
    </row>
    <row r="681" ht="15.75" customHeight="1" s="252">
      <c r="C681" s="54" t="n"/>
    </row>
    <row r="682" ht="15.75" customHeight="1" s="252">
      <c r="C682" s="54" t="n"/>
    </row>
    <row r="683" ht="15.75" customHeight="1" s="252">
      <c r="C683" s="54" t="n"/>
    </row>
    <row r="684" ht="15.75" customHeight="1" s="252">
      <c r="C684" s="54" t="n"/>
    </row>
    <row r="685" ht="15.75" customHeight="1" s="252">
      <c r="C685" s="54" t="n"/>
    </row>
    <row r="686" ht="15.75" customHeight="1" s="252">
      <c r="C686" s="54" t="n"/>
    </row>
    <row r="687" ht="15.75" customHeight="1" s="252">
      <c r="C687" s="54" t="n"/>
    </row>
    <row r="688" ht="15.75" customHeight="1" s="252">
      <c r="C688" s="54" t="n"/>
    </row>
    <row r="689" ht="15.75" customHeight="1" s="252">
      <c r="C689" s="54" t="n"/>
    </row>
    <row r="690" ht="15.75" customHeight="1" s="252">
      <c r="C690" s="54" t="n"/>
    </row>
    <row r="691" ht="15.75" customHeight="1" s="252">
      <c r="C691" s="54" t="n"/>
    </row>
    <row r="692" ht="15.75" customHeight="1" s="252">
      <c r="C692" s="54" t="n"/>
    </row>
    <row r="693" ht="15.75" customHeight="1" s="252">
      <c r="C693" s="54" t="n"/>
    </row>
    <row r="694" ht="15.75" customHeight="1" s="252">
      <c r="C694" s="54" t="n"/>
    </row>
    <row r="695" ht="15.75" customHeight="1" s="252">
      <c r="C695" s="54" t="n"/>
    </row>
    <row r="696" ht="15.75" customHeight="1" s="252">
      <c r="C696" s="54" t="n"/>
    </row>
    <row r="697" ht="15.75" customHeight="1" s="252">
      <c r="C697" s="54" t="n"/>
    </row>
    <row r="698" ht="15.75" customHeight="1" s="252">
      <c r="C698" s="54" t="n"/>
    </row>
    <row r="699" ht="15.75" customHeight="1" s="252">
      <c r="C699" s="54" t="n"/>
    </row>
    <row r="700" ht="15.75" customHeight="1" s="252">
      <c r="C700" s="54" t="n"/>
    </row>
    <row r="701" ht="15.75" customHeight="1" s="252">
      <c r="C701" s="54" t="n"/>
    </row>
    <row r="702" ht="15.75" customHeight="1" s="252">
      <c r="C702" s="54" t="n"/>
    </row>
    <row r="703" ht="15.75" customHeight="1" s="252">
      <c r="C703" s="54" t="n"/>
    </row>
    <row r="704" ht="15.75" customHeight="1" s="252">
      <c r="C704" s="54" t="n"/>
    </row>
    <row r="705" ht="15.75" customHeight="1" s="252">
      <c r="C705" s="54" t="n"/>
    </row>
    <row r="706" ht="15.75" customHeight="1" s="252">
      <c r="C706" s="54" t="n"/>
    </row>
    <row r="707" ht="15.75" customHeight="1" s="252">
      <c r="C707" s="54" t="n"/>
    </row>
    <row r="708" ht="15.75" customHeight="1" s="252">
      <c r="C708" s="54" t="n"/>
    </row>
    <row r="709" ht="15.75" customHeight="1" s="252">
      <c r="C709" s="54" t="n"/>
    </row>
    <row r="710" ht="15.75" customHeight="1" s="252">
      <c r="C710" s="54" t="n"/>
    </row>
    <row r="711" ht="15.75" customHeight="1" s="252">
      <c r="C711" s="54" t="n"/>
    </row>
    <row r="712" ht="15.75" customHeight="1" s="252">
      <c r="C712" s="54" t="n"/>
    </row>
    <row r="713" ht="15.75" customHeight="1" s="252">
      <c r="C713" s="54" t="n"/>
    </row>
    <row r="714" ht="15.75" customHeight="1" s="252">
      <c r="C714" s="54" t="n"/>
    </row>
    <row r="715" ht="15.75" customHeight="1" s="252">
      <c r="C715" s="54" t="n"/>
    </row>
    <row r="716" ht="15.75" customHeight="1" s="252">
      <c r="C716" s="54" t="n"/>
    </row>
    <row r="717" ht="15.75" customHeight="1" s="252">
      <c r="C717" s="54" t="n"/>
    </row>
    <row r="718" ht="15.75" customHeight="1" s="252">
      <c r="C718" s="54" t="n"/>
    </row>
    <row r="719" ht="15.75" customHeight="1" s="252">
      <c r="C719" s="54" t="n"/>
    </row>
    <row r="720" ht="15.75" customHeight="1" s="252">
      <c r="C720" s="54" t="n"/>
    </row>
    <row r="721" ht="15.75" customHeight="1" s="252">
      <c r="C721" s="54" t="n"/>
    </row>
    <row r="722" ht="15.75" customHeight="1" s="252">
      <c r="C722" s="54" t="n"/>
    </row>
    <row r="723" ht="15.75" customHeight="1" s="252">
      <c r="C723" s="54" t="n"/>
    </row>
    <row r="724" ht="15.75" customHeight="1" s="252">
      <c r="C724" s="54" t="n"/>
    </row>
    <row r="725" ht="15.75" customHeight="1" s="252">
      <c r="C725" s="54" t="n"/>
    </row>
    <row r="726" ht="15.75" customHeight="1" s="252">
      <c r="C726" s="54" t="n"/>
    </row>
    <row r="727" ht="15.75" customHeight="1" s="252">
      <c r="C727" s="54" t="n"/>
    </row>
    <row r="728" ht="15.75" customHeight="1" s="252">
      <c r="C728" s="54" t="n"/>
    </row>
    <row r="729" ht="15.75" customHeight="1" s="252">
      <c r="C729" s="54" t="n"/>
    </row>
    <row r="730" ht="15.75" customHeight="1" s="252">
      <c r="C730" s="54" t="n"/>
    </row>
    <row r="731" ht="15.75" customHeight="1" s="252">
      <c r="C731" s="54" t="n"/>
    </row>
    <row r="732" ht="15.75" customHeight="1" s="252">
      <c r="C732" s="54" t="n"/>
    </row>
    <row r="733" ht="15.75" customHeight="1" s="252">
      <c r="C733" s="54" t="n"/>
    </row>
    <row r="734" ht="15.75" customHeight="1" s="252">
      <c r="C734" s="54" t="n"/>
    </row>
    <row r="735" ht="15.75" customHeight="1" s="252">
      <c r="C735" s="54" t="n"/>
    </row>
    <row r="736" ht="15.75" customHeight="1" s="252">
      <c r="C736" s="54" t="n"/>
    </row>
    <row r="737" ht="15.75" customHeight="1" s="252">
      <c r="C737" s="54" t="n"/>
    </row>
    <row r="738" ht="15.75" customHeight="1" s="252">
      <c r="C738" s="54" t="n"/>
    </row>
    <row r="739" ht="15.75" customHeight="1" s="252">
      <c r="C739" s="54" t="n"/>
    </row>
    <row r="740" ht="15.75" customHeight="1" s="252">
      <c r="C740" s="54" t="n"/>
    </row>
    <row r="741" ht="15.75" customHeight="1" s="252">
      <c r="C741" s="54" t="n"/>
    </row>
    <row r="742" ht="15.75" customHeight="1" s="252">
      <c r="C742" s="54" t="n"/>
    </row>
    <row r="743" ht="15.75" customHeight="1" s="252">
      <c r="C743" s="54" t="n"/>
    </row>
    <row r="744" ht="15.75" customHeight="1" s="252">
      <c r="C744" s="54" t="n"/>
    </row>
    <row r="745" ht="15.75" customHeight="1" s="252">
      <c r="C745" s="54" t="n"/>
    </row>
    <row r="746" ht="15.75" customHeight="1" s="252">
      <c r="C746" s="54" t="n"/>
    </row>
    <row r="747" ht="15.75" customHeight="1" s="252">
      <c r="C747" s="54" t="n"/>
    </row>
    <row r="748" ht="15.75" customHeight="1" s="252">
      <c r="C748" s="54" t="n"/>
    </row>
    <row r="749" ht="15.75" customHeight="1" s="252">
      <c r="C749" s="54" t="n"/>
    </row>
    <row r="750" ht="15.75" customHeight="1" s="252">
      <c r="C750" s="54" t="n"/>
    </row>
    <row r="751" ht="15.75" customHeight="1" s="252">
      <c r="C751" s="54" t="n"/>
    </row>
    <row r="752" ht="15.75" customHeight="1" s="252">
      <c r="C752" s="54" t="n"/>
    </row>
    <row r="753" ht="15.75" customHeight="1" s="252">
      <c r="C753" s="54" t="n"/>
    </row>
    <row r="754" ht="15.75" customHeight="1" s="252">
      <c r="C754" s="54" t="n"/>
    </row>
    <row r="755" ht="15.75" customHeight="1" s="252">
      <c r="C755" s="54" t="n"/>
    </row>
    <row r="756" ht="15.75" customHeight="1" s="252">
      <c r="C756" s="54" t="n"/>
    </row>
    <row r="757" ht="15.75" customHeight="1" s="252">
      <c r="C757" s="54" t="n"/>
    </row>
    <row r="758" ht="15.75" customHeight="1" s="252">
      <c r="C758" s="54" t="n"/>
    </row>
    <row r="759" ht="15.75" customHeight="1" s="252">
      <c r="C759" s="54" t="n"/>
    </row>
    <row r="760" ht="15.75" customHeight="1" s="252">
      <c r="C760" s="54" t="n"/>
    </row>
    <row r="761" ht="15.75" customHeight="1" s="252">
      <c r="C761" s="54" t="n"/>
    </row>
    <row r="762" ht="15.75" customHeight="1" s="252">
      <c r="C762" s="54" t="n"/>
    </row>
    <row r="763" ht="15.75" customHeight="1" s="252">
      <c r="C763" s="54" t="n"/>
    </row>
    <row r="764" ht="15.75" customHeight="1" s="252">
      <c r="C764" s="54" t="n"/>
    </row>
    <row r="765" ht="15.75" customHeight="1" s="252">
      <c r="C765" s="54" t="n"/>
    </row>
    <row r="766" ht="15.75" customHeight="1" s="252">
      <c r="C766" s="54" t="n"/>
    </row>
    <row r="767" ht="15.75" customHeight="1" s="252">
      <c r="C767" s="54" t="n"/>
    </row>
    <row r="768" ht="15.75" customHeight="1" s="252">
      <c r="C768" s="54" t="n"/>
    </row>
    <row r="769" ht="15.75" customHeight="1" s="252">
      <c r="C769" s="54" t="n"/>
    </row>
    <row r="770" ht="15.75" customHeight="1" s="252">
      <c r="C770" s="54" t="n"/>
    </row>
    <row r="771" ht="15.75" customHeight="1" s="252">
      <c r="C771" s="54" t="n"/>
    </row>
    <row r="772" ht="15.75" customHeight="1" s="252">
      <c r="C772" s="54" t="n"/>
    </row>
    <row r="773" ht="15.75" customHeight="1" s="252">
      <c r="C773" s="54" t="n"/>
    </row>
    <row r="774" ht="15.75" customHeight="1" s="252">
      <c r="C774" s="54" t="n"/>
    </row>
    <row r="775" ht="15.75" customHeight="1" s="252">
      <c r="C775" s="54" t="n"/>
    </row>
    <row r="776" ht="15.75" customHeight="1" s="252">
      <c r="C776" s="54" t="n"/>
    </row>
    <row r="777" ht="15.75" customHeight="1" s="252">
      <c r="C777" s="54" t="n"/>
    </row>
    <row r="778" ht="15.75" customHeight="1" s="252">
      <c r="C778" s="54" t="n"/>
    </row>
    <row r="779" ht="15.75" customHeight="1" s="252">
      <c r="C779" s="54" t="n"/>
    </row>
    <row r="780" ht="15.75" customHeight="1" s="252">
      <c r="C780" s="54" t="n"/>
    </row>
    <row r="781" ht="15.75" customHeight="1" s="252">
      <c r="C781" s="54" t="n"/>
    </row>
    <row r="782" ht="15.75" customHeight="1" s="252">
      <c r="C782" s="54" t="n"/>
    </row>
    <row r="783" ht="15.75" customHeight="1" s="252">
      <c r="C783" s="54" t="n"/>
    </row>
    <row r="784" ht="15.75" customHeight="1" s="252">
      <c r="C784" s="54" t="n"/>
    </row>
    <row r="785" ht="15.75" customHeight="1" s="252">
      <c r="C785" s="54" t="n"/>
    </row>
    <row r="786" ht="15.75" customHeight="1" s="252">
      <c r="C786" s="54" t="n"/>
    </row>
    <row r="787" ht="15.75" customHeight="1" s="252">
      <c r="C787" s="54" t="n"/>
    </row>
    <row r="788" ht="15.75" customHeight="1" s="252">
      <c r="C788" s="54" t="n"/>
    </row>
    <row r="789" ht="15.75" customHeight="1" s="252">
      <c r="C789" s="54" t="n"/>
    </row>
    <row r="790" ht="15.75" customHeight="1" s="252">
      <c r="C790" s="54" t="n"/>
    </row>
    <row r="791" ht="15.75" customHeight="1" s="252">
      <c r="C791" s="54" t="n"/>
    </row>
    <row r="792" ht="15.75" customHeight="1" s="252">
      <c r="C792" s="54" t="n"/>
    </row>
    <row r="793" ht="15.75" customHeight="1" s="252">
      <c r="C793" s="54" t="n"/>
    </row>
    <row r="794" ht="15.75" customHeight="1" s="252">
      <c r="C794" s="54" t="n"/>
    </row>
    <row r="795" ht="15.75" customHeight="1" s="252">
      <c r="C795" s="54" t="n"/>
    </row>
    <row r="796" ht="15.75" customHeight="1" s="252">
      <c r="C796" s="54" t="n"/>
    </row>
    <row r="797" ht="15.75" customHeight="1" s="252">
      <c r="C797" s="54" t="n"/>
    </row>
    <row r="798" ht="15.75" customHeight="1" s="252">
      <c r="C798" s="54" t="n"/>
    </row>
    <row r="799" ht="15.75" customHeight="1" s="252">
      <c r="C799" s="54" t="n"/>
    </row>
    <row r="800" ht="15.75" customHeight="1" s="252">
      <c r="C800" s="54" t="n"/>
    </row>
    <row r="801" ht="15.75" customHeight="1" s="252">
      <c r="C801" s="54" t="n"/>
    </row>
    <row r="802" ht="15.75" customHeight="1" s="252">
      <c r="C802" s="54" t="n"/>
    </row>
    <row r="803" ht="15.75" customHeight="1" s="252">
      <c r="C803" s="54" t="n"/>
    </row>
    <row r="804" ht="15.75" customHeight="1" s="252">
      <c r="C804" s="54" t="n"/>
    </row>
    <row r="805" ht="15.75" customHeight="1" s="252">
      <c r="C805" s="54" t="n"/>
    </row>
    <row r="806" ht="15.75" customHeight="1" s="252">
      <c r="C806" s="54" t="n"/>
    </row>
    <row r="807" ht="15.75" customHeight="1" s="252">
      <c r="C807" s="54" t="n"/>
    </row>
    <row r="808" ht="15.75" customHeight="1" s="252">
      <c r="C808" s="54" t="n"/>
    </row>
    <row r="809" ht="15.75" customHeight="1" s="252">
      <c r="C809" s="54" t="n"/>
    </row>
    <row r="810" ht="15.75" customHeight="1" s="252">
      <c r="C810" s="54" t="n"/>
    </row>
    <row r="811" ht="15.75" customHeight="1" s="252">
      <c r="C811" s="54" t="n"/>
    </row>
    <row r="812" ht="15.75" customHeight="1" s="252">
      <c r="C812" s="54" t="n"/>
    </row>
    <row r="813" ht="15.75" customHeight="1" s="252">
      <c r="C813" s="54" t="n"/>
    </row>
    <row r="814" ht="15.75" customHeight="1" s="252">
      <c r="C814" s="54" t="n"/>
    </row>
    <row r="815" ht="15.75" customHeight="1" s="252">
      <c r="C815" s="54" t="n"/>
    </row>
    <row r="816" ht="15.75" customHeight="1" s="252">
      <c r="C816" s="54" t="n"/>
    </row>
    <row r="817" ht="15.75" customHeight="1" s="252">
      <c r="C817" s="54" t="n"/>
    </row>
    <row r="818" ht="15.75" customHeight="1" s="252">
      <c r="C818" s="54" t="n"/>
    </row>
    <row r="819" ht="15.75" customHeight="1" s="252">
      <c r="C819" s="54" t="n"/>
    </row>
    <row r="820" ht="15.75" customHeight="1" s="252">
      <c r="C820" s="54" t="n"/>
    </row>
    <row r="821" ht="15.75" customHeight="1" s="252">
      <c r="C821" s="54" t="n"/>
    </row>
    <row r="822" ht="15.75" customHeight="1" s="252">
      <c r="C822" s="54" t="n"/>
    </row>
    <row r="823" ht="15.75" customHeight="1" s="252">
      <c r="C823" s="54" t="n"/>
    </row>
    <row r="824" ht="15.75" customHeight="1" s="252">
      <c r="C824" s="54" t="n"/>
    </row>
    <row r="825" ht="15.75" customHeight="1" s="252">
      <c r="C825" s="54" t="n"/>
    </row>
    <row r="826" ht="15.75" customHeight="1" s="252">
      <c r="C826" s="54" t="n"/>
    </row>
    <row r="827" ht="15.75" customHeight="1" s="252">
      <c r="C827" s="54" t="n"/>
    </row>
    <row r="828" ht="15.75" customHeight="1" s="252">
      <c r="C828" s="54" t="n"/>
    </row>
    <row r="829" ht="15.75" customHeight="1" s="252">
      <c r="C829" s="54" t="n"/>
    </row>
    <row r="830" ht="15.75" customHeight="1" s="252">
      <c r="C830" s="54" t="n"/>
    </row>
    <row r="831" ht="15.75" customHeight="1" s="252">
      <c r="C831" s="54" t="n"/>
    </row>
    <row r="832" ht="15.75" customHeight="1" s="252">
      <c r="C832" s="54" t="n"/>
    </row>
    <row r="833" ht="15.75" customHeight="1" s="252">
      <c r="C833" s="54" t="n"/>
    </row>
    <row r="834" ht="15.75" customHeight="1" s="252">
      <c r="C834" s="54" t="n"/>
    </row>
    <row r="835" ht="15.75" customHeight="1" s="252">
      <c r="C835" s="54" t="n"/>
    </row>
    <row r="836" ht="15.75" customHeight="1" s="252">
      <c r="C836" s="54" t="n"/>
    </row>
    <row r="837" ht="15.75" customHeight="1" s="252">
      <c r="C837" s="54" t="n"/>
    </row>
    <row r="838" ht="15.75" customHeight="1" s="252">
      <c r="C838" s="54" t="n"/>
    </row>
    <row r="839" ht="15.75" customHeight="1" s="252">
      <c r="C839" s="54" t="n"/>
    </row>
    <row r="840" ht="15.75" customHeight="1" s="252">
      <c r="C840" s="54" t="n"/>
    </row>
    <row r="841" ht="15.75" customHeight="1" s="252">
      <c r="C841" s="54" t="n"/>
    </row>
    <row r="842" ht="15.75" customHeight="1" s="252">
      <c r="C842" s="54" t="n"/>
    </row>
    <row r="843" ht="15.75" customHeight="1" s="252">
      <c r="C843" s="54" t="n"/>
    </row>
    <row r="844" ht="15.75" customHeight="1" s="252">
      <c r="C844" s="54" t="n"/>
    </row>
    <row r="845" ht="15.75" customHeight="1" s="252">
      <c r="C845" s="54" t="n"/>
    </row>
    <row r="846" ht="15.75" customHeight="1" s="252">
      <c r="C846" s="54" t="n"/>
    </row>
    <row r="847" ht="15.75" customHeight="1" s="252">
      <c r="C847" s="54" t="n"/>
    </row>
    <row r="848" ht="15.75" customHeight="1" s="252">
      <c r="C848" s="54" t="n"/>
    </row>
    <row r="849" ht="15.75" customHeight="1" s="252">
      <c r="C849" s="54" t="n"/>
    </row>
    <row r="850" ht="15.75" customHeight="1" s="252">
      <c r="C850" s="54" t="n"/>
    </row>
    <row r="851" ht="15.75" customHeight="1" s="252">
      <c r="C851" s="54" t="n"/>
    </row>
    <row r="852" ht="15.75" customHeight="1" s="252">
      <c r="C852" s="54" t="n"/>
    </row>
    <row r="853" ht="15.75" customHeight="1" s="252">
      <c r="C853" s="54" t="n"/>
    </row>
    <row r="854" ht="15.75" customHeight="1" s="252">
      <c r="C854" s="54" t="n"/>
    </row>
    <row r="855" ht="15.75" customHeight="1" s="252">
      <c r="C855" s="54" t="n"/>
    </row>
    <row r="856" ht="15.75" customHeight="1" s="252">
      <c r="C856" s="54" t="n"/>
    </row>
    <row r="857" ht="15.75" customHeight="1" s="252">
      <c r="C857" s="54" t="n"/>
    </row>
    <row r="858" ht="15.75" customHeight="1" s="252">
      <c r="C858" s="54" t="n"/>
    </row>
    <row r="859" ht="15.75" customHeight="1" s="252">
      <c r="C859" s="54" t="n"/>
    </row>
    <row r="860" ht="15.75" customHeight="1" s="252">
      <c r="C860" s="54" t="n"/>
    </row>
    <row r="861" ht="15.75" customHeight="1" s="252">
      <c r="C861" s="54" t="n"/>
    </row>
    <row r="862" ht="15.75" customHeight="1" s="252">
      <c r="C862" s="54" t="n"/>
    </row>
    <row r="863" ht="15.75" customHeight="1" s="252">
      <c r="C863" s="54" t="n"/>
    </row>
    <row r="864" ht="15.75" customHeight="1" s="252">
      <c r="C864" s="54" t="n"/>
    </row>
    <row r="865" ht="15.75" customHeight="1" s="252">
      <c r="C865" s="54" t="n"/>
    </row>
    <row r="866" ht="15.75" customHeight="1" s="252">
      <c r="C866" s="54" t="n"/>
    </row>
    <row r="867" ht="15.75" customHeight="1" s="252">
      <c r="C867" s="54" t="n"/>
    </row>
    <row r="868" ht="15.75" customHeight="1" s="252">
      <c r="C868" s="54" t="n"/>
    </row>
    <row r="869" ht="15.75" customHeight="1" s="252">
      <c r="C869" s="54" t="n"/>
    </row>
    <row r="870" ht="15.75" customHeight="1" s="252">
      <c r="C870" s="54" t="n"/>
    </row>
    <row r="871" ht="15.75" customHeight="1" s="252">
      <c r="C871" s="54" t="n"/>
    </row>
    <row r="872" ht="15.75" customHeight="1" s="252">
      <c r="C872" s="54" t="n"/>
    </row>
    <row r="873" ht="15.75" customHeight="1" s="252">
      <c r="C873" s="54" t="n"/>
    </row>
    <row r="874" ht="15.75" customHeight="1" s="252">
      <c r="C874" s="54" t="n"/>
    </row>
    <row r="875" ht="15.75" customHeight="1" s="252">
      <c r="C875" s="54" t="n"/>
    </row>
    <row r="876" ht="15.75" customHeight="1" s="252">
      <c r="C876" s="54" t="n"/>
    </row>
    <row r="877" ht="15.75" customHeight="1" s="252">
      <c r="C877" s="54" t="n"/>
    </row>
    <row r="878" ht="15.75" customHeight="1" s="252">
      <c r="C878" s="54" t="n"/>
    </row>
    <row r="879" ht="15.75" customHeight="1" s="252">
      <c r="C879" s="54" t="n"/>
    </row>
    <row r="880" ht="15.75" customHeight="1" s="252">
      <c r="C880" s="54" t="n"/>
    </row>
    <row r="881" ht="15.75" customHeight="1" s="252">
      <c r="C881" s="54" t="n"/>
    </row>
    <row r="882" ht="15.75" customHeight="1" s="252">
      <c r="C882" s="54" t="n"/>
    </row>
    <row r="883" ht="15.75" customHeight="1" s="252">
      <c r="C883" s="54" t="n"/>
    </row>
    <row r="884" ht="15.75" customHeight="1" s="252">
      <c r="C884" s="54" t="n"/>
    </row>
    <row r="885" ht="15.75" customHeight="1" s="252">
      <c r="C885" s="54" t="n"/>
    </row>
    <row r="886" ht="15.75" customHeight="1" s="252">
      <c r="C886" s="54" t="n"/>
    </row>
    <row r="887" ht="15.75" customHeight="1" s="252">
      <c r="C887" s="54" t="n"/>
    </row>
    <row r="888" ht="15.75" customHeight="1" s="252">
      <c r="C888" s="54" t="n"/>
    </row>
    <row r="889" ht="15.75" customHeight="1" s="252">
      <c r="C889" s="54" t="n"/>
    </row>
    <row r="890" ht="15.75" customHeight="1" s="252">
      <c r="C890" s="54" t="n"/>
    </row>
    <row r="891" ht="15.75" customHeight="1" s="252">
      <c r="C891" s="54" t="n"/>
    </row>
    <row r="892" ht="15.75" customHeight="1" s="252">
      <c r="C892" s="54" t="n"/>
    </row>
    <row r="893" ht="15.75" customHeight="1" s="252">
      <c r="C893" s="54" t="n"/>
    </row>
    <row r="894" ht="15.75" customHeight="1" s="252">
      <c r="C894" s="54" t="n"/>
    </row>
    <row r="895" ht="15.75" customHeight="1" s="252">
      <c r="C895" s="54" t="n"/>
    </row>
    <row r="896" ht="15.75" customHeight="1" s="252">
      <c r="C896" s="54" t="n"/>
    </row>
    <row r="897" ht="15.75" customHeight="1" s="252">
      <c r="C897" s="54" t="n"/>
    </row>
    <row r="898" ht="15.75" customHeight="1" s="252">
      <c r="C898" s="54" t="n"/>
    </row>
    <row r="899" ht="15.75" customHeight="1" s="252">
      <c r="C899" s="54" t="n"/>
    </row>
    <row r="900" ht="15.75" customHeight="1" s="252">
      <c r="C900" s="54" t="n"/>
    </row>
    <row r="901" ht="15.75" customHeight="1" s="252">
      <c r="C901" s="54" t="n"/>
    </row>
    <row r="902" ht="15.75" customHeight="1" s="252">
      <c r="C902" s="54" t="n"/>
    </row>
    <row r="903" ht="15.75" customHeight="1" s="252">
      <c r="C903" s="54" t="n"/>
    </row>
    <row r="904" ht="15.75" customHeight="1" s="252">
      <c r="C904" s="54" t="n"/>
    </row>
    <row r="905" ht="15.75" customHeight="1" s="252">
      <c r="C905" s="54" t="n"/>
    </row>
    <row r="906" ht="15.75" customHeight="1" s="252">
      <c r="C906" s="54" t="n"/>
    </row>
    <row r="907" ht="15.75" customHeight="1" s="252">
      <c r="C907" s="54" t="n"/>
    </row>
    <row r="908" ht="15.75" customHeight="1" s="252">
      <c r="C908" s="54" t="n"/>
    </row>
    <row r="909" ht="15.75" customHeight="1" s="252">
      <c r="C909" s="54" t="n"/>
    </row>
    <row r="910" ht="15.75" customHeight="1" s="252">
      <c r="C910" s="54" t="n"/>
    </row>
    <row r="911" ht="15.75" customHeight="1" s="252">
      <c r="C911" s="54" t="n"/>
    </row>
    <row r="912" ht="15.75" customHeight="1" s="252">
      <c r="C912" s="54" t="n"/>
    </row>
    <row r="913" ht="15.75" customHeight="1" s="252">
      <c r="C913" s="54" t="n"/>
    </row>
    <row r="914" ht="15.75" customHeight="1" s="252">
      <c r="C914" s="54" t="n"/>
    </row>
    <row r="915" ht="15.75" customHeight="1" s="252">
      <c r="C915" s="54" t="n"/>
    </row>
    <row r="916" ht="15.75" customHeight="1" s="252">
      <c r="C916" s="54" t="n"/>
    </row>
    <row r="917" ht="15.75" customHeight="1" s="252">
      <c r="C917" s="54" t="n"/>
    </row>
    <row r="918" ht="15.75" customHeight="1" s="252">
      <c r="C918" s="54" t="n"/>
    </row>
    <row r="919" ht="15.75" customHeight="1" s="252">
      <c r="C919" s="54" t="n"/>
    </row>
    <row r="920" ht="15.75" customHeight="1" s="252">
      <c r="C920" s="54" t="n"/>
    </row>
    <row r="921" ht="15.75" customHeight="1" s="252">
      <c r="C921" s="54" t="n"/>
    </row>
    <row r="922" ht="15.75" customHeight="1" s="252">
      <c r="C922" s="54" t="n"/>
    </row>
    <row r="923" ht="15.75" customHeight="1" s="252">
      <c r="C923" s="54" t="n"/>
    </row>
    <row r="924" ht="15.75" customHeight="1" s="252">
      <c r="C924" s="54" t="n"/>
    </row>
    <row r="925" ht="15.75" customHeight="1" s="252">
      <c r="C925" s="54" t="n"/>
    </row>
    <row r="926" ht="15.75" customHeight="1" s="252">
      <c r="C926" s="54" t="n"/>
    </row>
    <row r="927" ht="15.75" customHeight="1" s="252">
      <c r="C927" s="54" t="n"/>
    </row>
    <row r="928" ht="15.75" customHeight="1" s="252">
      <c r="C928" s="54" t="n"/>
    </row>
    <row r="929" ht="15.75" customHeight="1" s="252">
      <c r="C929" s="54" t="n"/>
    </row>
    <row r="930" ht="15.75" customHeight="1" s="252">
      <c r="C930" s="54" t="n"/>
    </row>
    <row r="931" ht="15.75" customHeight="1" s="252">
      <c r="C931" s="54" t="n"/>
    </row>
    <row r="932" ht="15.75" customHeight="1" s="252">
      <c r="C932" s="54" t="n"/>
    </row>
    <row r="933" ht="15.75" customHeight="1" s="252">
      <c r="C933" s="54" t="n"/>
    </row>
    <row r="934" ht="15.75" customHeight="1" s="252">
      <c r="C934" s="54" t="n"/>
    </row>
    <row r="935" ht="15.75" customHeight="1" s="252">
      <c r="C935" s="54" t="n"/>
    </row>
    <row r="936" ht="15.75" customHeight="1" s="252">
      <c r="C936" s="54" t="n"/>
    </row>
    <row r="937" ht="15.75" customHeight="1" s="252">
      <c r="C937" s="54" t="n"/>
    </row>
    <row r="938" ht="15.75" customHeight="1" s="252">
      <c r="C938" s="54" t="n"/>
    </row>
    <row r="939" ht="15.75" customHeight="1" s="252">
      <c r="C939" s="54" t="n"/>
    </row>
    <row r="940" ht="15.75" customHeight="1" s="252">
      <c r="C940" s="54" t="n"/>
    </row>
    <row r="941" ht="15.75" customHeight="1" s="252">
      <c r="C941" s="54" t="n"/>
    </row>
    <row r="942" ht="15.75" customHeight="1" s="252">
      <c r="C942" s="54" t="n"/>
    </row>
    <row r="943" ht="15.75" customHeight="1" s="252">
      <c r="C943" s="54" t="n"/>
    </row>
    <row r="944" ht="15.75" customHeight="1" s="252">
      <c r="C944" s="54" t="n"/>
    </row>
    <row r="945" ht="15.75" customHeight="1" s="252">
      <c r="C945" s="54" t="n"/>
    </row>
    <row r="946" ht="15.75" customHeight="1" s="252">
      <c r="C946" s="54" t="n"/>
    </row>
    <row r="947" ht="15.75" customHeight="1" s="252">
      <c r="C947" s="54" t="n"/>
    </row>
    <row r="948" ht="15.75" customHeight="1" s="252">
      <c r="C948" s="54" t="n"/>
    </row>
    <row r="949" ht="15.75" customHeight="1" s="252">
      <c r="C949" s="54" t="n"/>
    </row>
    <row r="950" ht="15.75" customHeight="1" s="252">
      <c r="A950" t="inlineStr">
        <is>
          <t>2025-11-17</t>
        </is>
      </c>
      <c r="B950" t="inlineStr">
        <is>
          <t>Sam Johnson</t>
        </is>
      </c>
      <c r="C950" s="54" t="inlineStr">
        <is>
          <t>XRP</t>
        </is>
      </c>
      <c r="D950" t="n">
        <v>135003</v>
      </c>
      <c r="E950" t="inlineStr">
        <is>
          <t>Ryan Van Der Wall</t>
        </is>
      </c>
      <c r="F950" t="n">
        <v>0.04</v>
      </c>
      <c r="G950" t="n">
        <v>0.16</v>
      </c>
    </row>
    <row r="951" ht="15.75" customHeight="1" s="252">
      <c r="A951" t="inlineStr">
        <is>
          <t>2025-11-25</t>
        </is>
      </c>
      <c r="B951" t="inlineStr">
        <is>
          <t>Sam Johnson</t>
        </is>
      </c>
      <c r="C951" s="54" t="inlineStr">
        <is>
          <t>XRP</t>
        </is>
      </c>
      <c r="D951" t="n">
        <v>49000</v>
      </c>
      <c r="E951" t="inlineStr"/>
      <c r="F951" t="n">
        <v>0</v>
      </c>
      <c r="G951" t="n">
        <v>0.16</v>
      </c>
    </row>
    <row r="952" ht="15.75" customHeight="1" s="252">
      <c r="C952" s="54" t="n"/>
    </row>
    <row r="953" ht="15.75" customHeight="1" s="252">
      <c r="C953" s="54" t="n"/>
    </row>
    <row r="954" ht="15.75" customHeight="1" s="252">
      <c r="C954" s="54" t="n"/>
    </row>
    <row r="955" ht="15.75" customHeight="1" s="252">
      <c r="C955" s="54" t="n"/>
    </row>
    <row r="956" ht="15.75" customHeight="1" s="252">
      <c r="C956" s="54" t="n"/>
    </row>
    <row r="957" ht="15.75" customHeight="1" s="252">
      <c r="C957" s="54" t="n"/>
    </row>
    <row r="958" ht="15.75" customHeight="1" s="252">
      <c r="C958" s="54" t="n"/>
    </row>
    <row r="959" ht="15.75" customHeight="1" s="252">
      <c r="C959" s="54" t="n"/>
    </row>
    <row r="960" ht="15.75" customHeight="1" s="252">
      <c r="C960" s="54" t="n"/>
    </row>
    <row r="961" ht="15.75" customHeight="1" s="252">
      <c r="C961" s="54" t="n"/>
    </row>
    <row r="962" ht="15.75" customHeight="1" s="252">
      <c r="C962" s="54" t="n"/>
    </row>
    <row r="963" ht="15.75" customHeight="1" s="252">
      <c r="C963" s="54" t="n"/>
    </row>
    <row r="964" ht="15.75" customHeight="1" s="252">
      <c r="C964" s="54" t="n"/>
    </row>
    <row r="965" ht="15.75" customHeight="1" s="252">
      <c r="C965" s="54" t="n"/>
    </row>
    <row r="966" ht="15.75" customHeight="1" s="252">
      <c r="C966" s="54" t="n"/>
    </row>
    <row r="967" ht="15.75" customHeight="1" s="252">
      <c r="C967" s="54" t="n"/>
    </row>
    <row r="968" ht="15.75" customHeight="1" s="252">
      <c r="C968" s="54" t="n"/>
    </row>
    <row r="969" ht="15.75" customHeight="1" s="252">
      <c r="C969" s="54" t="n"/>
    </row>
    <row r="970" ht="15.75" customHeight="1" s="252">
      <c r="C970" s="54" t="n"/>
    </row>
    <row r="971" ht="15.75" customHeight="1" s="252">
      <c r="C971" s="54" t="n"/>
    </row>
    <row r="972" ht="15.75" customHeight="1" s="252">
      <c r="C972" s="54" t="n"/>
    </row>
    <row r="973" ht="15.75" customHeight="1" s="252">
      <c r="C973" s="54" t="n"/>
    </row>
    <row r="974" ht="15.75" customHeight="1" s="252">
      <c r="C974" s="54" t="n"/>
    </row>
    <row r="975" ht="15.75" customHeight="1" s="252">
      <c r="C975" s="54" t="n"/>
    </row>
    <row r="976" ht="15.75" customHeight="1" s="252">
      <c r="C976" s="54" t="n"/>
    </row>
    <row r="977" ht="15.75" customHeight="1" s="252">
      <c r="C977" s="54" t="n"/>
    </row>
    <row r="978" ht="15.75" customHeight="1" s="252">
      <c r="C978" s="54" t="n"/>
    </row>
    <row r="979" ht="15.75" customHeight="1" s="252">
      <c r="C979" s="54" t="n"/>
    </row>
    <row r="980" ht="15.75" customHeight="1" s="252">
      <c r="C980" s="54" t="n"/>
    </row>
    <row r="981" ht="15.75" customHeight="1" s="252">
      <c r="C981" s="54" t="n"/>
    </row>
    <row r="982" ht="15.75" customHeight="1" s="252">
      <c r="C982" s="54" t="n"/>
    </row>
    <row r="983" ht="15.75" customHeight="1" s="252">
      <c r="C983" s="54" t="n"/>
    </row>
    <row r="984" ht="15.75" customHeight="1" s="252">
      <c r="C984" s="54" t="n"/>
    </row>
    <row r="985" ht="15.75" customHeight="1" s="252">
      <c r="C985" s="54" t="n"/>
    </row>
    <row r="986" ht="15.75" customHeight="1" s="252">
      <c r="C986" s="54" t="n"/>
    </row>
    <row r="987" ht="15.75" customHeight="1" s="252">
      <c r="C987" s="54" t="n"/>
    </row>
    <row r="988" ht="15.75" customHeight="1" s="252">
      <c r="C988" s="54" t="n"/>
    </row>
    <row r="989" ht="15.75" customHeight="1" s="252">
      <c r="C989" s="54" t="n"/>
    </row>
    <row r="990" ht="15.75" customHeight="1" s="252">
      <c r="C990" s="54" t="n"/>
    </row>
    <row r="991" ht="15.75" customHeight="1" s="252">
      <c r="C991" s="54" t="n"/>
    </row>
    <row r="992" ht="15.75" customHeight="1" s="252">
      <c r="C992" s="54" t="n"/>
    </row>
    <row r="993" ht="15.75" customHeight="1" s="252">
      <c r="C993" s="54" t="n"/>
    </row>
    <row r="994" ht="15.75" customHeight="1" s="252">
      <c r="C994" s="54" t="n"/>
    </row>
    <row r="995" ht="15.75" customHeight="1" s="252">
      <c r="C995" s="54" t="n"/>
    </row>
    <row r="996" ht="15.75" customHeight="1" s="252">
      <c r="C996" s="54" t="n"/>
    </row>
    <row r="997" ht="15.75" customHeight="1" s="252">
      <c r="C997" s="54" t="n"/>
    </row>
    <row r="998" ht="15.75" customHeight="1" s="252">
      <c r="C998" s="54" t="n"/>
    </row>
    <row r="999" ht="15.75" customHeight="1" s="252">
      <c r="C999" s="54" t="n"/>
    </row>
    <row r="1000" ht="15.75" customHeight="1" s="252">
      <c r="C1000" s="54" t="n"/>
    </row>
    <row r="1001" ht="15.75" customHeight="1" s="252">
      <c r="C1001" s="54" t="n"/>
    </row>
    <row r="1002" ht="15.75" customHeight="1" s="252">
      <c r="C1002" s="54" t="n"/>
    </row>
    <row r="1003" ht="15.75" customHeight="1" s="252">
      <c r="C1003" s="54" t="n"/>
    </row>
    <row r="1004" ht="15.75" customHeight="1" s="252">
      <c r="C1004" s="54" t="n"/>
    </row>
    <row r="1005" ht="15.75" customHeight="1" s="252">
      <c r="C1005" s="54" t="n"/>
    </row>
    <row r="1006" ht="15.75" customHeight="1" s="252">
      <c r="C1006" s="54" t="n"/>
    </row>
    <row r="1007" ht="15.75" customHeight="1" s="252">
      <c r="C1007" s="54" t="n"/>
    </row>
    <row r="1008" ht="15.75" customHeight="1" s="252">
      <c r="C1008" s="54" t="n"/>
    </row>
    <row r="1009" ht="15.75" customHeight="1" s="252">
      <c r="C1009" s="54" t="n"/>
    </row>
    <row r="1010" ht="15.75" customHeight="1" s="252">
      <c r="C1010" s="54" t="n"/>
    </row>
    <row r="1011" ht="15.75" customHeight="1" s="252">
      <c r="C1011" s="54" t="n"/>
    </row>
    <row r="1012" ht="15.75" customHeight="1" s="252">
      <c r="C1012" s="54" t="n"/>
    </row>
    <row r="1013" ht="15.75" customHeight="1" s="252">
      <c r="C1013" s="54" t="n"/>
    </row>
    <row r="1014" ht="15.75" customHeight="1" s="252">
      <c r="C1014" s="54" t="n"/>
    </row>
    <row r="1015" ht="15.75" customHeight="1" s="252">
      <c r="C1015" s="54" t="n"/>
    </row>
    <row r="1016" ht="15.75" customHeight="1" s="252">
      <c r="C1016" s="54" t="n"/>
    </row>
    <row r="1017" ht="15.75" customHeight="1" s="252">
      <c r="C1017" s="54" t="n"/>
    </row>
    <row r="1018" ht="15.75" customHeight="1" s="252">
      <c r="C1018" s="54" t="n"/>
    </row>
    <row r="1019" ht="15.75" customHeight="1" s="252">
      <c r="C1019" s="54" t="n"/>
    </row>
    <row r="1020" ht="15.75" customHeight="1" s="252">
      <c r="C1020" s="54" t="n"/>
    </row>
    <row r="1021" ht="15.75" customHeight="1" s="252">
      <c r="C1021" s="54" t="n"/>
    </row>
    <row r="1022" ht="15.75" customHeight="1" s="252">
      <c r="C1022" s="54" t="n"/>
    </row>
    <row r="1023" ht="15.75" customHeight="1" s="252">
      <c r="C1023" s="54" t="n"/>
    </row>
    <row r="1024" ht="15.75" customHeight="1" s="252">
      <c r="C1024" s="54" t="n"/>
    </row>
    <row r="1025" ht="15.75" customHeight="1" s="252">
      <c r="C1025" s="54" t="n"/>
    </row>
    <row r="1026" ht="15.75" customHeight="1" s="252">
      <c r="C1026" s="54" t="n"/>
    </row>
  </sheetData>
  <autoFilter ref="$A$1:$D$1026">
    <sortState ref="A1:D1026">
      <sortCondition ref="A1:A1026"/>
    </sortState>
  </autoFilter>
  <dataValidations count="1">
    <dataValidation sqref="C2:C1026" showDropDown="0" showInputMessage="0" showErrorMessage="1" allowBlank="1" type="list">
      <formula1>"BTC,ETH,ETH TAC,USDT,SOL,XRP,BTC TAC,BTC Boost"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BZ249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baseColWidth="8" defaultColWidth="12.63" defaultRowHeight="15" customHeight="1" outlineLevelRow="1"/>
  <cols>
    <col width="16.5" customWidth="1" style="252" min="1" max="1"/>
    <col width="6.75" customWidth="1" style="252" min="2" max="2"/>
    <col width="9.25" customWidth="1" style="252" min="3" max="10"/>
    <col width="9.380000000000001" customWidth="1" style="252" min="11" max="11"/>
    <col width="9.25" customWidth="1" style="252" min="12" max="13"/>
    <col width="21.13" customWidth="1" style="252" min="14" max="14"/>
    <col width="9.380000000000001" customWidth="1" style="252" min="15" max="17"/>
    <col width="13.38" customWidth="1" style="252" min="18" max="18"/>
    <col width="10.25" customWidth="1" style="252" min="19" max="19"/>
    <col width="9.25" customWidth="1" style="252" min="20" max="20"/>
    <col width="10.13" customWidth="1" style="252" min="21" max="21"/>
    <col width="9.25" customWidth="1" style="252" min="22" max="22"/>
    <col width="9.630000000000001" customWidth="1" style="252" min="23" max="23"/>
    <col width="9.75" customWidth="1" style="252" min="24" max="24"/>
    <col width="9.880000000000001" customWidth="1" style="252" min="25" max="26"/>
    <col width="9.130000000000001" customWidth="1" style="252" min="27" max="27"/>
    <col width="9.880000000000001" customWidth="1" style="252" min="28" max="29"/>
    <col width="9.630000000000001" customWidth="1" style="252" min="30" max="31"/>
    <col width="9.880000000000001" customWidth="1" style="252" min="32" max="32"/>
    <col width="14.13" customWidth="1" style="252" min="35" max="35"/>
  </cols>
  <sheetData>
    <row r="1" outlineLevel="1" ht="15.75" customHeight="1" s="252">
      <c r="A1" s="55" t="inlineStr">
        <is>
          <t>AUM Before</t>
        </is>
      </c>
      <c r="B1" s="56" t="n"/>
      <c r="C1" s="57" t="n"/>
      <c r="D1" s="58" t="n">
        <v>0</v>
      </c>
      <c r="E1" s="59" t="n">
        <v>3.49</v>
      </c>
      <c r="F1" s="59" t="n">
        <v>3.5</v>
      </c>
      <c r="G1" s="59" t="n">
        <v>5.51</v>
      </c>
      <c r="H1" s="59" t="n">
        <v>5.54</v>
      </c>
      <c r="I1" s="59" t="n">
        <v>21.99</v>
      </c>
      <c r="J1" s="59">
        <f>22.02</f>
        <v/>
      </c>
      <c r="K1" s="59" t="n">
        <v>21.84</v>
      </c>
      <c r="L1" s="59" t="n">
        <v>21.88</v>
      </c>
      <c r="M1" s="59">
        <f>L3</f>
        <v/>
      </c>
      <c r="N1" s="59" t="n">
        <v>10.24</v>
      </c>
      <c r="O1" s="59" t="n">
        <v>10.3</v>
      </c>
      <c r="P1" s="59" t="n">
        <v>10.34</v>
      </c>
      <c r="Q1" s="59" t="n">
        <v>10.38</v>
      </c>
      <c r="R1" s="59" t="n">
        <v>3.68</v>
      </c>
      <c r="S1" s="59" t="n">
        <v>15.76</v>
      </c>
      <c r="T1" s="59" t="n">
        <v>15.78</v>
      </c>
      <c r="U1" s="59">
        <f>13.69+0.044</f>
        <v/>
      </c>
      <c r="V1" s="59" t="n">
        <v>13.6446</v>
      </c>
      <c r="W1" s="59" t="n">
        <v>15.6577</v>
      </c>
      <c r="X1" s="59" t="n">
        <v>15.7177</v>
      </c>
      <c r="Y1" s="59" t="n">
        <v>28.1007</v>
      </c>
      <c r="Z1" s="59" t="n">
        <v>30.2177</v>
      </c>
      <c r="AA1" s="59" t="n">
        <v>29.9777</v>
      </c>
      <c r="AB1" s="59" t="n">
        <v>30.66</v>
      </c>
      <c r="AC1" s="59" t="n">
        <v>30.565</v>
      </c>
      <c r="AD1" s="59" t="n">
        <v>31.49</v>
      </c>
      <c r="AE1" s="59" t="n">
        <v>31.6</v>
      </c>
      <c r="AF1" s="59" t="n">
        <v>31.62</v>
      </c>
      <c r="AG1" s="59" t="n">
        <v>32.14</v>
      </c>
      <c r="AH1" s="59" t="n">
        <v>32.21</v>
      </c>
      <c r="AI1" s="59" t="n">
        <v>32.23</v>
      </c>
      <c r="AJ1" s="59" t="n">
        <v>31.55</v>
      </c>
      <c r="AK1" s="59" t="n">
        <v>32.06</v>
      </c>
      <c r="AL1" s="59" t="n">
        <v>35.36</v>
      </c>
      <c r="AM1" s="59" t="n">
        <v>36.92</v>
      </c>
      <c r="AN1" s="59" t="n">
        <v>41.331</v>
      </c>
      <c r="AO1" s="59" t="n">
        <v>42.58</v>
      </c>
      <c r="AP1" s="59" t="n">
        <v>43.73</v>
      </c>
      <c r="AQ1" s="59" t="n">
        <v>44.4</v>
      </c>
      <c r="AR1" s="59" t="n">
        <v>45.58</v>
      </c>
      <c r="AS1" s="59" t="n">
        <v>40.5905</v>
      </c>
      <c r="AT1" s="59" t="n">
        <v>40.5905</v>
      </c>
      <c r="AU1" s="59" t="n">
        <v>32.82</v>
      </c>
      <c r="AV1" s="59" t="n">
        <v>31.61</v>
      </c>
      <c r="AW1" s="59" t="n">
        <v>32.36</v>
      </c>
      <c r="AX1" s="59" t="n">
        <v>36.24</v>
      </c>
      <c r="AY1" s="59" t="n">
        <v>32.25</v>
      </c>
      <c r="AZ1" s="59" t="n">
        <v>32.4</v>
      </c>
      <c r="BA1" s="59" t="n">
        <v>32.4</v>
      </c>
      <c r="BB1" s="59" t="n">
        <v>33.07</v>
      </c>
      <c r="BC1" s="59" t="n">
        <v>33.25</v>
      </c>
      <c r="BD1" s="59" t="n">
        <v>42.016</v>
      </c>
      <c r="BE1" s="59" t="n">
        <v>38.39</v>
      </c>
      <c r="BF1" s="59" t="n">
        <v>38.541</v>
      </c>
      <c r="BG1" s="37" t="n"/>
      <c r="BH1" s="37" t="n"/>
      <c r="BI1" s="37" t="n"/>
      <c r="BJ1" s="37" t="n"/>
      <c r="BK1" s="37" t="n"/>
      <c r="BL1" s="37" t="n"/>
      <c r="BM1" s="37" t="n"/>
      <c r="BN1" s="37" t="n"/>
      <c r="BO1" s="37" t="n"/>
      <c r="BP1" s="37" t="n"/>
      <c r="BQ1" s="37" t="n"/>
      <c r="BR1" s="37" t="n"/>
      <c r="BS1" s="37" t="n"/>
      <c r="BT1" s="37" t="n"/>
      <c r="BU1" s="37" t="n"/>
      <c r="BV1" s="37" t="n"/>
      <c r="BW1" s="37" t="n"/>
      <c r="BX1" s="37" t="n"/>
      <c r="BY1" s="37" t="n"/>
      <c r="BZ1" s="37" t="n"/>
    </row>
    <row r="2" outlineLevel="1" ht="15.75" customHeight="1" s="252">
      <c r="A2" s="55" t="inlineStr">
        <is>
          <t>Top Up / Withdrawals</t>
        </is>
      </c>
      <c r="B2" s="56" t="n"/>
      <c r="C2" s="56" t="n"/>
      <c r="D2" s="60">
        <f>SUMIFS(Investments!$D:$D,Investments!$C:$C,"BTC",Investments!$A:$A,D$8)</f>
        <v/>
      </c>
      <c r="E2" s="60">
        <f>SUMIFS(Investments!$D:$D,Investments!$C:$C,"BTC",Investments!$A:$A,E$8)</f>
        <v/>
      </c>
      <c r="F2" s="60">
        <f>SUMIFS(Investments!$D:$D,Investments!$C:$C,"BTC",Investments!$A:$A,F$8)</f>
        <v/>
      </c>
      <c r="G2" s="60">
        <f>SUMIFS(Investments!$D:$D,Investments!$C:$C,"BTC",Investments!$A:$A,G$8)</f>
        <v/>
      </c>
      <c r="H2" s="60">
        <f>SUMIFS(Investments!$D:$D,Investments!$C:$C,"BTC",Investments!$A:$A,H$8)</f>
        <v/>
      </c>
      <c r="I2" s="60">
        <f>SUMIFS(Investments!$D:$D,Investments!$C:$C,"BTC",Investments!$A:$A,I$8)</f>
        <v/>
      </c>
      <c r="J2" s="60">
        <f>SUMIFS(Investments!$D:$D,Investments!$C:$C,"BTC",Investments!$A:$A,J$8)</f>
        <v/>
      </c>
      <c r="K2" s="60">
        <f>SUMIFS(Investments!$D:$D,Investments!$C:$C,"BTC",Investments!$A:$A,K$8)</f>
        <v/>
      </c>
      <c r="L2" s="60">
        <f>SUMIFS(Investments!$D:$D,Investments!$C:$C,"BTC",Investments!$A:$A,L$8)</f>
        <v/>
      </c>
      <c r="M2" s="60">
        <f>SUMIFS(Investments!$D:$D,Investments!$C:$C,"BTC",Investments!$A:$A,M$8)</f>
        <v/>
      </c>
      <c r="N2" s="60">
        <f>SUMIFS(Investments!$D:$D,Investments!$C:$C,"BTC",Investments!$A:$A,N$8)</f>
        <v/>
      </c>
      <c r="O2" s="60">
        <f>SUMIFS(Investments!$D:$D,Investments!$C:$C,"BTC",Investments!$A:$A,O$8)</f>
        <v/>
      </c>
      <c r="P2" s="60">
        <f>SUMIFS(Investments!$D:$D,Investments!$C:$C,"BTC",Investments!$A:$A,P$8)</f>
        <v/>
      </c>
      <c r="Q2" s="60">
        <f>SUMIFS(Investments!$D:$D,Investments!$C:$C,"BTC",Investments!$A:$A,Q$8)</f>
        <v/>
      </c>
      <c r="R2" s="60">
        <f>SUMIFS(Investments!$D:$D,Investments!$C:$C,"BTC",Investments!$A:$A,R$8)</f>
        <v/>
      </c>
      <c r="S2" s="60">
        <f>SUMIFS(Investments!$D:$D,Investments!$C:$C,"BTC",Investments!$A:$A,S$8)</f>
        <v/>
      </c>
      <c r="T2" s="60">
        <f>SUMIFS(Investments!$D:$D,Investments!$C:$C,"BTC",Investments!$A:$A,T$8)</f>
        <v/>
      </c>
      <c r="U2" s="60">
        <f>SUMIFS(Investments!$D:$D,Investments!$C:$C,"BTC",Investments!$A:$A,U$8)</f>
        <v/>
      </c>
      <c r="V2" s="60">
        <f>SUMIFS(Investments!$D:$D,Investments!$C:$C,"BTC",Investments!$A:$A,V$8)</f>
        <v/>
      </c>
      <c r="W2" s="60">
        <f>SUMIFS(Investments!$D:$D,Investments!$C:$C,"BTC",Investments!$A:$A,W$8)</f>
        <v/>
      </c>
      <c r="X2" s="60">
        <f>SUMIFS(Investments!$D:$D,Investments!$C:$C,"BTC",Investments!$A:$A,X$8)</f>
        <v/>
      </c>
      <c r="Y2" s="60">
        <f>SUMIFS(Investments!$D:$D,Investments!$C:$C,"BTC",Investments!$A:$A,Y$8)</f>
        <v/>
      </c>
      <c r="Z2" s="60">
        <f>SUMIFS(Investments!$D:$D,Investments!$C:$C,"BTC",Investments!$A:$A,Z$8)</f>
        <v/>
      </c>
      <c r="AA2" s="60">
        <f>SUMIFS(Investments!$D:$D,Investments!$C:$C,"BTC",Investments!$A:$A,AA$8)</f>
        <v/>
      </c>
      <c r="AB2" s="60">
        <f>SUMIFS(Investments!$D:$D,Investments!$C:$C,"BTC",Investments!$A:$A,AB$8)</f>
        <v/>
      </c>
      <c r="AC2" s="60">
        <f>SUMIFS(Investments!$D:$D,Investments!$C:$C,"BTC",Investments!$A:$A,AC$8)</f>
        <v/>
      </c>
      <c r="AD2" s="60">
        <f>SUMIFS(Investments!$D:$D,Investments!$C:$C,"BTC",Investments!$A:$A,AD$8)</f>
        <v/>
      </c>
      <c r="AE2" s="60">
        <f>SUMIFS(Investments!$D:$D,Investments!$C:$C,"BTC",Investments!$A:$A,AE$8)</f>
        <v/>
      </c>
      <c r="AF2" s="60">
        <f>SUMIFS(Investments!$D:$D,Investments!$C:$C,"BTC",Investments!$A:$A,AF$8)</f>
        <v/>
      </c>
      <c r="AG2" s="60">
        <f>SUMIFS(Investments!$D:$D,Investments!$C:$C,"BTC",Investments!$A:$A,AG$8)</f>
        <v/>
      </c>
      <c r="AH2" s="60">
        <f>SUMIFS(Investments!$D:$D,Investments!$C:$C,"BTC",Investments!$A:$A,AH$8)</f>
        <v/>
      </c>
      <c r="AI2" s="60">
        <f>SUMIFS(Investments!$D:$D,Investments!$C:$C,"BTC",Investments!$A:$A,AI$8)</f>
        <v/>
      </c>
      <c r="AJ2" s="60">
        <f>SUMIFS(Investments!$D:$D,Investments!$C:$C,"BTC",Investments!$A:$A,AJ$8)</f>
        <v/>
      </c>
      <c r="AK2" s="60">
        <f>SUMIFS(Investments!$D:$D,Investments!$C:$C,"BTC",Investments!$A:$A,AK$8)</f>
        <v/>
      </c>
      <c r="AL2" s="60">
        <f>SUMIFS(Investments!$D:$D,Investments!$C:$C,"BTC",Investments!$A:$A,AL$8)</f>
        <v/>
      </c>
      <c r="AM2" s="60">
        <f>SUMIFS(Investments!$D:$D,Investments!$C:$C,"BTC",Investments!$A:$A,AM$8)</f>
        <v/>
      </c>
      <c r="AN2" s="60">
        <f>SUMIFS(Investments!$D:$D,Investments!$C:$C,"BTC",Investments!$A:$A,AN$8)</f>
        <v/>
      </c>
      <c r="AO2" s="60">
        <f>SUMIFS(Investments!$D:$D,Investments!$C:$C,"BTC",Investments!$A:$A,AO$8)</f>
        <v/>
      </c>
      <c r="AP2" s="60">
        <f>SUMIFS(Investments!$D:$D,Investments!$C:$C,"BTC",Investments!$A:$A,AP$8)</f>
        <v/>
      </c>
      <c r="AQ2" s="60">
        <f>SUMIFS(Investments!$D:$D,Investments!$C:$C,"BTC",Investments!$A:$A,AQ$8)</f>
        <v/>
      </c>
      <c r="AR2" s="60">
        <f>SUMIFS(Investments!$D:$D,Investments!$C:$C,"BTC",Investments!$A:$A,AR$8)</f>
        <v/>
      </c>
      <c r="AS2" s="60">
        <f>SUMIFS(Investments!$D:$D,Investments!$C:$C,"BTC",Investments!$A:$A,AS$8)</f>
        <v/>
      </c>
      <c r="AT2" s="60">
        <f>SUMIFS(Investments!$D:$D,Investments!$C:$C,"BTC",Investments!$A:$A,AT$8)</f>
        <v/>
      </c>
      <c r="AU2" s="60">
        <f>SUMIFS(Investments!$D:$D,Investments!$C:$C,"BTC",Investments!$A:$A,AU$8)</f>
        <v/>
      </c>
      <c r="AV2" s="60">
        <f>SUMIFS(Investments!$D:$D,Investments!$C:$C,"BTC",Investments!$A:$A,AV$8)</f>
        <v/>
      </c>
      <c r="AW2" s="60">
        <f>SUMIFS(Investments!$D:$D,Investments!$C:$C,"BTC",Investments!$A:$A,AW$8)</f>
        <v/>
      </c>
      <c r="AX2" s="60">
        <f>SUMIFS(Investments!$D:$D,Investments!$C:$C,"BTC",Investments!$A:$A,AX$8)</f>
        <v/>
      </c>
      <c r="AY2" s="60">
        <f>SUMIFS(Investments!$D:$D,Investments!$C:$C,"BTC",Investments!$A:$A,AY$8)</f>
        <v/>
      </c>
      <c r="AZ2" s="60">
        <f>SUMIFS(Investments!$D:$D,Investments!$C:$C,"BTC",Investments!$A:$A,AZ$8)</f>
        <v/>
      </c>
      <c r="BA2" s="60">
        <f>SUMIFS(Investments!$D:$D,Investments!$C:$C,"BTC",Investments!$A:$A,BA$8)</f>
        <v/>
      </c>
      <c r="BB2" s="60">
        <f>SUMIFS(Investments!$D:$D,Investments!$C:$C,"BTC",Investments!$A:$A,BB$8)</f>
        <v/>
      </c>
      <c r="BC2" s="60">
        <f>SUMIFS(Investments!$D:$D,Investments!$C:$C,"BTC",Investments!$A:$A,BC$8)</f>
        <v/>
      </c>
      <c r="BD2" s="60">
        <f>SUMIFS(Investments!$D:$D,Investments!$C:$C,"BTC",Investments!$A:$A,BD$8)</f>
        <v/>
      </c>
      <c r="BE2" s="60">
        <f>SUMIFS(Investments!$D:$D,Investments!$C:$C,"BTC",Investments!$A:$A,BE$8)</f>
        <v/>
      </c>
      <c r="BF2" s="60">
        <f>SUMIFS(Investments!$D:$D,Investments!$C:$C,"BTC",Investments!$A:$A,BF$8)</f>
        <v/>
      </c>
      <c r="BG2" s="37" t="n"/>
      <c r="BH2" s="37" t="n"/>
      <c r="BI2" s="37" t="n"/>
      <c r="BJ2" s="37" t="n"/>
      <c r="BK2" s="37" t="n"/>
      <c r="BL2" s="37" t="n"/>
      <c r="BM2" s="37" t="n"/>
      <c r="BN2" s="37" t="n"/>
      <c r="BO2" s="37" t="n"/>
      <c r="BP2" s="37" t="n"/>
      <c r="BQ2" s="37" t="n"/>
      <c r="BR2" s="37" t="n"/>
      <c r="BS2" s="37" t="n"/>
      <c r="BT2" s="37" t="n"/>
      <c r="BU2" s="37" t="n"/>
      <c r="BV2" s="37" t="n"/>
      <c r="BW2" s="37" t="n"/>
      <c r="BX2" s="37" t="n"/>
      <c r="BY2" s="37" t="n"/>
      <c r="BZ2" s="37" t="n"/>
    </row>
    <row r="3" outlineLevel="1" ht="15.75" customHeight="1" s="252">
      <c r="A3" s="55" t="inlineStr">
        <is>
          <t>AUM After</t>
        </is>
      </c>
      <c r="B3" s="56" t="n"/>
      <c r="C3" s="56" t="n"/>
      <c r="D3" s="59" t="n">
        <v>3.468</v>
      </c>
      <c r="E3" s="59" t="n">
        <v>3.49</v>
      </c>
      <c r="F3" s="59">
        <f>3.5+2</f>
        <v/>
      </c>
      <c r="G3" s="59">
        <f>G1</f>
        <v/>
      </c>
      <c r="H3" s="59">
        <f>H1+4.62+6.5193+5.2</f>
        <v/>
      </c>
      <c r="I3" s="59">
        <f>I1</f>
        <v/>
      </c>
      <c r="J3" s="59">
        <f>J1-0.27</f>
        <v/>
      </c>
      <c r="K3" s="59">
        <f>K1</f>
        <v/>
      </c>
      <c r="L3" s="59">
        <f>21.88-0.124</f>
        <v/>
      </c>
      <c r="M3" s="59">
        <f>21.88-0.124-11.5681</f>
        <v/>
      </c>
      <c r="N3" s="59">
        <f>N1</f>
        <v/>
      </c>
      <c r="O3" s="59">
        <f>O1</f>
        <v/>
      </c>
      <c r="P3" s="59">
        <f>P1</f>
        <v/>
      </c>
      <c r="Q3" s="59">
        <f>Q1-6.7249</f>
        <v/>
      </c>
      <c r="R3" s="59">
        <f>R1+12.02</f>
        <v/>
      </c>
      <c r="S3" s="59">
        <f>S1</f>
        <v/>
      </c>
      <c r="T3" s="59">
        <f>T1+T2</f>
        <v/>
      </c>
      <c r="U3" s="59">
        <f>U1-0.13</f>
        <v/>
      </c>
      <c r="V3" s="59">
        <f>V1+2</f>
        <v/>
      </c>
      <c r="W3" s="59">
        <f>W1</f>
        <v/>
      </c>
      <c r="X3" s="59">
        <f>X1+11.384+0.9914</f>
        <v/>
      </c>
      <c r="Y3" s="59">
        <f>Y1+2.115364</f>
        <v/>
      </c>
      <c r="Z3" s="59">
        <f>Z1-0.26</f>
        <v/>
      </c>
      <c r="AA3" s="59">
        <f>AA1+0.6</f>
        <v/>
      </c>
      <c r="AB3" s="59">
        <f>AB1-0.11</f>
        <v/>
      </c>
      <c r="AC3" s="59">
        <f>AC1+0.9102</f>
        <v/>
      </c>
      <c r="AD3" s="59">
        <f>AD1</f>
        <v/>
      </c>
      <c r="AE3" s="59">
        <f>AE1</f>
        <v/>
      </c>
      <c r="AF3" s="59">
        <f>AF1+0.4395</f>
        <v/>
      </c>
      <c r="AG3" s="59">
        <f>AG1+0.062</f>
        <v/>
      </c>
      <c r="AH3" s="59">
        <f>AH1</f>
        <v/>
      </c>
      <c r="AI3" s="59">
        <f>AI1-0.283-0.4408</f>
        <v/>
      </c>
      <c r="AJ3" s="59">
        <f>AJ1+0.4867</f>
        <v/>
      </c>
      <c r="AK3" s="59">
        <f>AK1+3.3</f>
        <v/>
      </c>
      <c r="AL3" s="59">
        <f>AL1+1+0.548</f>
        <v/>
      </c>
      <c r="AM3" s="59">
        <f>AM1+1+3.411</f>
        <v/>
      </c>
      <c r="AN3" s="59">
        <f>AN1+1.2</f>
        <v/>
      </c>
      <c r="AO3" s="59">
        <f>AO1+1.1</f>
        <v/>
      </c>
      <c r="AP3" s="59">
        <f>AP1+0.657</f>
        <v/>
      </c>
      <c r="AQ3" s="59">
        <f>AQ1+1.17</f>
        <v/>
      </c>
      <c r="AR3" s="59">
        <f>AR1-4.9895</f>
        <v/>
      </c>
      <c r="AS3" s="59">
        <f>AS1</f>
        <v/>
      </c>
      <c r="AT3" s="59">
        <f>AS1-7.7852</f>
        <v/>
      </c>
      <c r="AU3" s="59">
        <f>AU1-3.4221+2.1577</f>
        <v/>
      </c>
      <c r="AV3" s="59">
        <f>AV1+0.622+0.1135766</f>
        <v/>
      </c>
      <c r="AW3" s="59">
        <f>AW1+3.9998-0.12</f>
        <v/>
      </c>
      <c r="AX3" s="59">
        <f>AX1-3.99</f>
        <v/>
      </c>
      <c r="AY3" s="59">
        <f>AY1+0.14207</f>
        <v/>
      </c>
      <c r="AZ3" s="59">
        <f>AZ1</f>
        <v/>
      </c>
      <c r="BA3" s="59">
        <f>BA1+0.60672</f>
        <v/>
      </c>
      <c r="BB3" s="61">
        <f>BB1+BB2</f>
        <v/>
      </c>
      <c r="BC3" s="61">
        <f>BC1+BC2</f>
        <v/>
      </c>
      <c r="BD3" s="61">
        <f>BD1+BD2</f>
        <v/>
      </c>
      <c r="BE3" s="61">
        <f>BE1+BE2</f>
        <v/>
      </c>
      <c r="BF3" s="61">
        <f>BF1+BF2</f>
        <v/>
      </c>
      <c r="BG3" s="37" t="n"/>
      <c r="BH3" s="37" t="n"/>
      <c r="BI3" s="37" t="n"/>
      <c r="BJ3" s="37" t="n"/>
      <c r="BK3" s="37" t="n"/>
      <c r="BL3" s="37" t="n"/>
      <c r="BM3" s="37" t="n"/>
      <c r="BN3" s="37" t="n"/>
      <c r="BO3" s="37" t="n"/>
      <c r="BP3" s="37" t="n"/>
      <c r="BQ3" s="37" t="n"/>
      <c r="BR3" s="37" t="n"/>
      <c r="BS3" s="37" t="n"/>
      <c r="BT3" s="37" t="n"/>
      <c r="BU3" s="37" t="n"/>
      <c r="BV3" s="37" t="n"/>
      <c r="BW3" s="37" t="n"/>
      <c r="BX3" s="37" t="n"/>
      <c r="BY3" s="37" t="n"/>
      <c r="BZ3" s="37" t="n"/>
    </row>
    <row r="4" outlineLevel="1" ht="15.75" customHeight="1" s="252">
      <c r="A4" s="55" t="inlineStr">
        <is>
          <t>Gross Performance</t>
        </is>
      </c>
      <c r="B4" s="56" t="n"/>
      <c r="C4" s="56" t="n"/>
      <c r="D4" s="56" t="n"/>
      <c r="E4" s="62">
        <f>(E3-D3)/D3</f>
        <v/>
      </c>
      <c r="F4" s="62">
        <f>(F1-E3)/E3</f>
        <v/>
      </c>
      <c r="G4" s="62">
        <f>(G1-F3)/F3</f>
        <v/>
      </c>
      <c r="H4" s="62">
        <f>(H1/G1)-100%</f>
        <v/>
      </c>
      <c r="I4" s="62">
        <f>(I1/H3)-100%</f>
        <v/>
      </c>
      <c r="J4" s="62">
        <f>(J1/I1)-100%</f>
        <v/>
      </c>
      <c r="K4" s="62">
        <f>(K1/J3)-100%</f>
        <v/>
      </c>
      <c r="L4" s="62">
        <f>(L1/K1)-100%</f>
        <v/>
      </c>
      <c r="M4" s="56" t="n"/>
      <c r="N4" s="62">
        <f>(N1/M3)-100%</f>
        <v/>
      </c>
      <c r="O4" s="62">
        <f>(O1/N1)-100%</f>
        <v/>
      </c>
      <c r="P4" s="62">
        <f>(P1/O1)-100%</f>
        <v/>
      </c>
      <c r="Q4" s="62">
        <f>(Q1/P1)-100%</f>
        <v/>
      </c>
      <c r="R4" s="62">
        <f>(R1-Q3)/Q3</f>
        <v/>
      </c>
      <c r="S4" s="62">
        <f>(S1/R3)-100%</f>
        <v/>
      </c>
      <c r="T4" s="62">
        <f>(T1/S1)-100%</f>
        <v/>
      </c>
      <c r="U4" s="62">
        <f>(U1-T3)/T3</f>
        <v/>
      </c>
      <c r="V4" s="62">
        <f>(V1/U3)-100%</f>
        <v/>
      </c>
      <c r="W4" s="62">
        <f>(W1/V3)-100%</f>
        <v/>
      </c>
      <c r="X4" s="62">
        <f>(X1/W1)-100%</f>
        <v/>
      </c>
      <c r="Y4" s="62">
        <f>(Y1/X3)-100%</f>
        <v/>
      </c>
      <c r="Z4" s="62">
        <f>(Z1/Y3)-100%</f>
        <v/>
      </c>
      <c r="AA4" s="62">
        <f>(AA1/Z3)-100%</f>
        <v/>
      </c>
      <c r="AB4" s="62">
        <f>(AB1/AA3)-100%</f>
        <v/>
      </c>
      <c r="AC4" s="62">
        <f>(AC1/AB3)-100%</f>
        <v/>
      </c>
      <c r="AD4" s="62">
        <f>(AD1/AC3)-100%</f>
        <v/>
      </c>
      <c r="AE4" s="62">
        <f>(AE1/AD1)-100%</f>
        <v/>
      </c>
      <c r="AF4" s="62">
        <f>(AF1/AE1)-100%</f>
        <v/>
      </c>
      <c r="AG4" s="62">
        <f>(AG1/AF3)-100%</f>
        <v/>
      </c>
      <c r="AH4" s="62">
        <f>(AH1/AG3)-100%</f>
        <v/>
      </c>
      <c r="AI4" s="62">
        <f>(AI1/AH1)-100%</f>
        <v/>
      </c>
      <c r="AJ4" s="62">
        <f>(AJ1/AI3)-100%</f>
        <v/>
      </c>
      <c r="AK4" s="62">
        <f>(AK1/AJ3)-100%</f>
        <v/>
      </c>
      <c r="AL4" s="62">
        <f>(AL1/AK3)-100%</f>
        <v/>
      </c>
      <c r="AM4" s="62">
        <f>(AM1/AL3)-100%</f>
        <v/>
      </c>
      <c r="AN4" s="62">
        <f>(AN1/AM3)-100%</f>
        <v/>
      </c>
      <c r="AO4" s="62">
        <f>(AO1/AN3)-100%</f>
        <v/>
      </c>
      <c r="AP4" s="62">
        <f>(AP1/AO3)-100%</f>
        <v/>
      </c>
      <c r="AQ4" s="62">
        <f>(AQ1/AP3)-100%</f>
        <v/>
      </c>
      <c r="AR4" s="62">
        <f>(AR1/AQ3)-100%</f>
        <v/>
      </c>
      <c r="AS4" s="62">
        <f>(AS1/AR3)-100%</f>
        <v/>
      </c>
      <c r="AT4" s="62">
        <f>(AT1/AS1)-100%</f>
        <v/>
      </c>
      <c r="AU4" s="62">
        <f>(AU1/AT3)-100%</f>
        <v/>
      </c>
      <c r="AV4" s="62">
        <f>(AV1/AU3)-100%</f>
        <v/>
      </c>
      <c r="AW4" s="62">
        <f>(AW1/AV3)-100%</f>
        <v/>
      </c>
      <c r="AX4" s="62">
        <f>(AX1/AW3)-100%</f>
        <v/>
      </c>
      <c r="AY4" s="62">
        <f>(AY1/AX3)-100%</f>
        <v/>
      </c>
      <c r="AZ4" s="62">
        <f>(AZ1/AY3)-100%</f>
        <v/>
      </c>
      <c r="BA4" s="62">
        <f>(BA1/AZ1)-100%</f>
        <v/>
      </c>
      <c r="BB4" s="60">
        <f>(BB1-BA3)/BA3</f>
        <v/>
      </c>
      <c r="BC4" s="60">
        <f>(BC1-BB3)/BB3</f>
        <v/>
      </c>
      <c r="BD4" s="60">
        <f>(BD1-BC3)/BC3</f>
        <v/>
      </c>
      <c r="BE4" s="60">
        <f>(BE1-BD3)/BD3</f>
        <v/>
      </c>
      <c r="BF4" s="60">
        <f>(BF1-BE3)/BE3</f>
        <v/>
      </c>
      <c r="BG4" s="37" t="n"/>
      <c r="BH4" s="37" t="n"/>
      <c r="BI4" s="37" t="n"/>
      <c r="BJ4" s="37" t="n"/>
      <c r="BK4" s="37" t="n"/>
      <c r="BL4" s="37" t="n"/>
      <c r="BM4" s="37" t="n"/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</row>
    <row r="5" outlineLevel="1" ht="15.75" customHeight="1" s="252">
      <c r="A5" s="55" t="inlineStr">
        <is>
          <t>Net Performance</t>
        </is>
      </c>
      <c r="B5" s="56" t="n"/>
      <c r="C5" s="56" t="n"/>
      <c r="D5" s="56" t="n"/>
      <c r="E5" s="62">
        <f>E4*0.8</f>
        <v/>
      </c>
      <c r="F5" s="62">
        <f>F4*0.8</f>
        <v/>
      </c>
      <c r="G5" s="62">
        <f>G4*0.8</f>
        <v/>
      </c>
      <c r="H5" s="62">
        <f>H4*0.8</f>
        <v/>
      </c>
      <c r="I5" s="62">
        <f>I4*0.8</f>
        <v/>
      </c>
      <c r="J5" s="62">
        <f>J4*0.8</f>
        <v/>
      </c>
      <c r="K5" s="62">
        <f>K4*0.8</f>
        <v/>
      </c>
      <c r="L5" s="62">
        <f>L4*0.8</f>
        <v/>
      </c>
      <c r="M5" s="56" t="n"/>
      <c r="N5" s="62">
        <f>N4*0.8</f>
        <v/>
      </c>
      <c r="O5" s="62">
        <f>O4*0.8</f>
        <v/>
      </c>
      <c r="P5" s="62">
        <f>P4*0.8</f>
        <v/>
      </c>
      <c r="Q5" s="62">
        <f>Q4*0.8</f>
        <v/>
      </c>
      <c r="R5" s="62">
        <f>R4*0.8</f>
        <v/>
      </c>
      <c r="S5" s="62">
        <f>S4*0.8</f>
        <v/>
      </c>
      <c r="T5" s="62">
        <f>T4*0.8</f>
        <v/>
      </c>
      <c r="U5" s="62">
        <f>U4*0.8</f>
        <v/>
      </c>
      <c r="V5" s="62">
        <f>V4*0.8</f>
        <v/>
      </c>
      <c r="W5" s="62">
        <f>W4*0.8</f>
        <v/>
      </c>
      <c r="X5" s="62">
        <f>X4*0.8</f>
        <v/>
      </c>
      <c r="Y5" s="62">
        <f>Y4*0.8</f>
        <v/>
      </c>
      <c r="Z5" s="62">
        <f>Z4*0.8</f>
        <v/>
      </c>
      <c r="AA5" s="62">
        <f>AA4*0.8</f>
        <v/>
      </c>
      <c r="AB5" s="62">
        <f>AB4*0.8</f>
        <v/>
      </c>
      <c r="AC5" s="62">
        <f>AC4*0.8</f>
        <v/>
      </c>
      <c r="AD5" s="62">
        <f>AD4*0.8</f>
        <v/>
      </c>
      <c r="AE5" s="62">
        <f>AE4*0.8</f>
        <v/>
      </c>
      <c r="AF5" s="62">
        <f>AF4*0.8</f>
        <v/>
      </c>
      <c r="AG5" s="62">
        <f>AG4*0.8</f>
        <v/>
      </c>
      <c r="AH5" s="62">
        <f>AH4*0.8</f>
        <v/>
      </c>
      <c r="AI5" s="62">
        <f>AI4*0.8</f>
        <v/>
      </c>
      <c r="AJ5" s="62">
        <f>AJ4*0.8</f>
        <v/>
      </c>
      <c r="AK5" s="62">
        <f>AK4*0.8</f>
        <v/>
      </c>
      <c r="AL5" s="62">
        <f>AL4*0.8</f>
        <v/>
      </c>
      <c r="AM5" s="62">
        <f>AM4*0.8</f>
        <v/>
      </c>
      <c r="AN5" s="62">
        <f>AN4*0.8</f>
        <v/>
      </c>
      <c r="AO5" s="62">
        <f>AO4*0.8</f>
        <v/>
      </c>
      <c r="AP5" s="62">
        <f>AP4*0.8</f>
        <v/>
      </c>
      <c r="AQ5" s="62">
        <f>AQ4*0.8</f>
        <v/>
      </c>
      <c r="AR5" s="62">
        <f>AR4*0.8</f>
        <v/>
      </c>
      <c r="AS5" s="62">
        <f>AS4*0.8</f>
        <v/>
      </c>
      <c r="AT5" s="62">
        <f>AT4*0.8</f>
        <v/>
      </c>
      <c r="AU5" s="62">
        <f>AU4*0.8</f>
        <v/>
      </c>
      <c r="AV5" s="62">
        <f>AV4*0.8</f>
        <v/>
      </c>
      <c r="AW5" s="62">
        <f>AW4*0.8</f>
        <v/>
      </c>
      <c r="AX5" s="62">
        <f>AX4*0.8</f>
        <v/>
      </c>
      <c r="AY5" s="62">
        <f>AY4*0.8</f>
        <v/>
      </c>
      <c r="AZ5" s="62">
        <f>AZ4*0.8</f>
        <v/>
      </c>
      <c r="BA5" s="62">
        <f>BA4*0.8</f>
        <v/>
      </c>
      <c r="BB5" s="60">
        <f>BB4*0.8</f>
        <v/>
      </c>
      <c r="BC5" s="60">
        <f>BC4*0.8</f>
        <v/>
      </c>
      <c r="BD5" s="60">
        <f>BD4*0.8</f>
        <v/>
      </c>
      <c r="BE5" s="60">
        <f>BE4*0.8</f>
        <v/>
      </c>
      <c r="BF5" s="60">
        <f>BF4*0.8</f>
        <v/>
      </c>
      <c r="BG5" s="37" t="n"/>
      <c r="BH5" s="37" t="n"/>
      <c r="BI5" s="37" t="n"/>
      <c r="BJ5" s="37" t="n"/>
      <c r="BK5" s="37" t="n"/>
      <c r="BL5" s="37" t="n"/>
      <c r="BM5" s="37" t="n"/>
      <c r="BN5" s="37" t="n"/>
      <c r="BO5" s="37" t="n"/>
      <c r="BP5" s="37" t="n"/>
      <c r="BQ5" s="37" t="n"/>
      <c r="BR5" s="37" t="n"/>
      <c r="BS5" s="37" t="n"/>
      <c r="BT5" s="37" t="n"/>
      <c r="BU5" s="37" t="n"/>
      <c r="BV5" s="37" t="n"/>
      <c r="BW5" s="37" t="n"/>
      <c r="BX5" s="37" t="n"/>
      <c r="BY5" s="37" t="n"/>
      <c r="BZ5" s="37" t="n"/>
    </row>
    <row r="6" outlineLevel="1" ht="15.75" customHeight="1" s="252">
      <c r="A6" s="55" t="inlineStr">
        <is>
          <t>Yearly APY</t>
        </is>
      </c>
      <c r="B6" s="56" t="n"/>
      <c r="C6" s="56" t="n"/>
      <c r="D6" s="56" t="n"/>
      <c r="E6" s="62">
        <f>E4*12</f>
        <v/>
      </c>
      <c r="F6" s="62">
        <f>F4*12</f>
        <v/>
      </c>
      <c r="G6" s="62">
        <f>G4*12</f>
        <v/>
      </c>
      <c r="H6" s="62">
        <f>H4*12</f>
        <v/>
      </c>
      <c r="I6" s="62">
        <f>I4*12</f>
        <v/>
      </c>
      <c r="J6" s="62">
        <f>J4*12</f>
        <v/>
      </c>
      <c r="K6" s="62">
        <f>K4*12</f>
        <v/>
      </c>
      <c r="L6" s="62">
        <f>L4*12</f>
        <v/>
      </c>
      <c r="M6" s="56" t="n"/>
      <c r="N6" s="62">
        <f>N4*12</f>
        <v/>
      </c>
      <c r="O6" s="62">
        <f>O4*12</f>
        <v/>
      </c>
      <c r="P6" s="62">
        <f>P4*12</f>
        <v/>
      </c>
      <c r="Q6" s="62">
        <f>Q4*12</f>
        <v/>
      </c>
      <c r="R6" s="62">
        <f>R4*12</f>
        <v/>
      </c>
      <c r="S6" s="62">
        <f>S4*12</f>
        <v/>
      </c>
      <c r="T6" s="62">
        <f>T4*12</f>
        <v/>
      </c>
      <c r="U6" s="62">
        <f>U4*12</f>
        <v/>
      </c>
      <c r="V6" s="62">
        <f>V4*12</f>
        <v/>
      </c>
      <c r="W6" s="62">
        <f>W4*12</f>
        <v/>
      </c>
      <c r="X6" s="62">
        <f>X4*12</f>
        <v/>
      </c>
      <c r="Y6" s="62">
        <f>Y4*12</f>
        <v/>
      </c>
      <c r="Z6" s="62">
        <f>Z4*12</f>
        <v/>
      </c>
      <c r="AA6" s="62">
        <f>AA4*12</f>
        <v/>
      </c>
      <c r="AB6" s="62">
        <f>AB4*12</f>
        <v/>
      </c>
      <c r="AC6" s="62">
        <f>AC4*12</f>
        <v/>
      </c>
      <c r="AD6" s="62">
        <f>AD4*12</f>
        <v/>
      </c>
      <c r="AE6" s="62">
        <f>AE4*12</f>
        <v/>
      </c>
      <c r="AF6" s="62">
        <f>AF4*12</f>
        <v/>
      </c>
      <c r="AG6" s="62">
        <f>AG4*12</f>
        <v/>
      </c>
      <c r="AH6" s="62">
        <f>AH4*12</f>
        <v/>
      </c>
      <c r="AI6" s="62">
        <f>AI4*12</f>
        <v/>
      </c>
      <c r="AJ6" s="62">
        <f>AJ4*12</f>
        <v/>
      </c>
      <c r="AK6" s="62">
        <f>AK4*12</f>
        <v/>
      </c>
      <c r="AL6" s="62">
        <f>AL4*12</f>
        <v/>
      </c>
      <c r="AM6" s="62">
        <f>AM4*12</f>
        <v/>
      </c>
      <c r="AN6" s="62">
        <f>AN4*12</f>
        <v/>
      </c>
      <c r="AO6" s="62">
        <f>AO4*12</f>
        <v/>
      </c>
      <c r="AP6" s="62">
        <f>AP4*12</f>
        <v/>
      </c>
      <c r="AQ6" s="62">
        <f>AQ4*12</f>
        <v/>
      </c>
      <c r="AR6" s="62">
        <f>AR4*12</f>
        <v/>
      </c>
      <c r="AS6" s="62">
        <f>AS4*12</f>
        <v/>
      </c>
      <c r="AT6" s="62">
        <f>AT4*12</f>
        <v/>
      </c>
      <c r="AU6" s="62">
        <f>AU4*12</f>
        <v/>
      </c>
      <c r="AV6" s="62">
        <f>AV4*12</f>
        <v/>
      </c>
      <c r="AW6" s="62">
        <f>AW4*12</f>
        <v/>
      </c>
      <c r="AX6" s="62">
        <f>AX4*12</f>
        <v/>
      </c>
      <c r="AY6" s="62">
        <f>AY4*12</f>
        <v/>
      </c>
      <c r="AZ6" s="62">
        <f>AZ4*12</f>
        <v/>
      </c>
      <c r="BA6" s="62">
        <f>BA4*12</f>
        <v/>
      </c>
      <c r="BB6" s="60">
        <f>BB4*12</f>
        <v/>
      </c>
      <c r="BC6" s="60">
        <f>BC4*12</f>
        <v/>
      </c>
      <c r="BD6" s="60">
        <f>BD4*12</f>
        <v/>
      </c>
      <c r="BE6" s="60">
        <f>BE4*12</f>
        <v/>
      </c>
      <c r="BF6" s="60">
        <f>BF4*12</f>
        <v/>
      </c>
      <c r="BG6" s="37" t="n"/>
      <c r="BH6" s="37" t="n"/>
      <c r="BI6" s="37" t="n"/>
      <c r="BJ6" s="37" t="n"/>
      <c r="BK6" s="37" t="n"/>
      <c r="BL6" s="37" t="n"/>
      <c r="BM6" s="37" t="n"/>
      <c r="BN6" s="37" t="n"/>
      <c r="BO6" s="37" t="n"/>
      <c r="BP6" s="37" t="n"/>
      <c r="BQ6" s="37" t="n"/>
      <c r="BR6" s="37" t="n"/>
      <c r="BS6" s="37" t="n"/>
      <c r="BT6" s="37" t="n"/>
      <c r="BU6" s="37" t="n"/>
      <c r="BV6" s="37" t="n"/>
      <c r="BW6" s="37" t="n"/>
      <c r="BX6" s="37" t="n"/>
      <c r="BY6" s="37" t="n"/>
      <c r="BZ6" s="37" t="n"/>
    </row>
    <row r="7" outlineLevel="1" ht="99" customHeight="1" s="252">
      <c r="A7" s="63" t="inlineStr">
        <is>
          <t>Comments</t>
        </is>
      </c>
      <c r="B7" s="56" t="n"/>
      <c r="C7" s="56" t="n"/>
      <c r="D7" s="56" t="n"/>
      <c r="E7" s="56" t="n"/>
      <c r="F7" s="64" t="inlineStr">
        <is>
          <t>Invest of Kyle with 2 BTC</t>
        </is>
      </c>
      <c r="G7" s="64" t="n"/>
      <c r="H7" s="64" t="inlineStr">
        <is>
          <t>Invest of Mathias / Thomas / Daniel with 16.3393 BTC</t>
        </is>
      </c>
      <c r="I7" s="64" t="n"/>
      <c r="J7" s="64" t="inlineStr">
        <is>
          <t>Withdraw 0.27 from Danielle</t>
        </is>
      </c>
      <c r="K7" s="64" t="n"/>
      <c r="L7" s="64" t="inlineStr">
        <is>
          <t>Withdraw 0.124 from Danielle</t>
        </is>
      </c>
      <c r="M7" s="64" t="inlineStr">
        <is>
          <t>Kyle / Mathias / Danielle go to Boosted Program with 11.5681 BTC</t>
        </is>
      </c>
      <c r="N7" s="64" t="n"/>
      <c r="O7" s="64" t="n"/>
      <c r="P7" s="64" t="n"/>
      <c r="Q7" s="64" t="inlineStr">
        <is>
          <t>Thomas go to TAC Program with 6.7249 BTC</t>
        </is>
      </c>
      <c r="R7" s="64" t="inlineStr">
        <is>
          <t>Transfert of 12.02 BTC from boosted program for Kyle Gulamerian / Matthias Reiser / Danielle Richetta</t>
        </is>
      </c>
      <c r="S7" s="64" t="n"/>
      <c r="T7" s="64" t="inlineStr">
        <is>
          <t>Withdraw 0.1078 BTC from Kyle 
Withdraw 2.0023 BTC from Kyle (all his account)</t>
        </is>
      </c>
      <c r="U7" s="65" t="inlineStr">
        <is>
          <t>+0.044 BTC for Gas Fees that has been forgoten
Withdraw 0.13 from Danielle Richetta</t>
        </is>
      </c>
      <c r="V7" s="64" t="inlineStr">
        <is>
          <t>Kabbaj deposit 2 BTC</t>
        </is>
      </c>
      <c r="W7" s="64" t="n"/>
      <c r="X7" s="64" t="inlineStr">
        <is>
          <t>Top Up from
Kabbaj : 0.9914 BTC
Transfert from TAC Program
Victoria :0.1484 BTC
Nathanael Cohen : 0.4460 BTC
Thomas Puech : 6.69 BTC
Blondish : 4.0996 BTC</t>
        </is>
      </c>
      <c r="Y7" s="64" t="inlineStr">
        <is>
          <t>oliver loisel : 2.115364 BTC</t>
        </is>
      </c>
      <c r="Z7" s="64" t="inlineStr">
        <is>
          <t>Withdrawal Danielle Richetta - 0.26 BTC</t>
        </is>
      </c>
      <c r="AA7" s="64" t="inlineStr">
        <is>
          <t>Kabbaj : 0.6 BTC</t>
        </is>
      </c>
      <c r="AB7" s="64" t="inlineStr">
        <is>
          <t>Withdrawal Danielle Richetta - 0.11 BTC</t>
        </is>
      </c>
      <c r="AC7" s="64" t="inlineStr">
        <is>
          <t>Top Up Kabbaj : 0.9102 BTC</t>
        </is>
      </c>
      <c r="AD7" s="64" t="n"/>
      <c r="AE7" s="64" t="n"/>
      <c r="AF7" s="64" t="inlineStr">
        <is>
          <t>Top Up Paul Johnson: 0.4395 BTC</t>
        </is>
      </c>
      <c r="AG7" s="64" t="inlineStr">
        <is>
          <t>Jose Molla BTC 0.062</t>
        </is>
      </c>
      <c r="AH7" s="64" t="n"/>
      <c r="AI7" s="64" t="inlineStr">
        <is>
          <t>Withdrawal 
Danielle Richetta - 0.283 BTC
Paul Johnson -0.4408 (OUT)</t>
        </is>
      </c>
      <c r="AJ7" s="64" t="inlineStr">
        <is>
          <t>Jose Molla BTC 0.4867</t>
        </is>
      </c>
      <c r="AK7" s="64" t="inlineStr">
        <is>
          <t>Sam Johnson BTC 3.30</t>
        </is>
      </c>
      <c r="AL7" s="64" t="inlineStr">
        <is>
          <t>Sam Johnson BTC 1
Jose Molla BTC 0.548</t>
        </is>
      </c>
      <c r="AM7" s="64" t="inlineStr">
        <is>
          <t>Nath &amp; Thomas        BTC        1.00
Vivie &amp; Liana        BTC        3.411</t>
        </is>
      </c>
      <c r="AN7" s="64" t="inlineStr">
        <is>
          <t>Sam Johnson BTC 1.2</t>
        </is>
      </c>
      <c r="AO7" s="64" t="inlineStr">
        <is>
          <t>Sam Johnson BTC 1.1</t>
        </is>
      </c>
      <c r="AP7" s="64" t="inlineStr">
        <is>
          <t>Thomas Puech : 0.657 BTC</t>
        </is>
      </c>
      <c r="AQ7" s="64" t="inlineStr">
        <is>
          <t>Sam Johnson BTC 1.17</t>
        </is>
      </c>
      <c r="AR7" s="64" t="inlineStr">
        <is>
          <t>Matthias Reiser out</t>
        </is>
      </c>
      <c r="AS7" s="64" t="n"/>
      <c r="AT7" s="64" t="inlineStr">
        <is>
          <t>Sam Johnson BTC -7.7852</t>
        </is>
      </c>
      <c r="AU7" s="64" t="inlineStr">
        <is>
          <t>Vivie &amp; Liana - Out -3.4221
Kabbaj BTC 2.1577</t>
        </is>
      </c>
      <c r="AV7" s="64" t="inlineStr">
        <is>
          <t>Nick Smits van Oyen        BTC        0.622
Thomas Puech        BTC        0.1135766</t>
        </is>
      </c>
      <c r="AW7" s="64" t="inlineStr">
        <is>
          <t>Kyle Gulamerian        BTC        3.9998
Danielle Richetta        BTC        -0.12</t>
        </is>
      </c>
      <c r="AX7" s="64" t="inlineStr">
        <is>
          <t>Kyle Gulamerian        BTC        -3.99</t>
        </is>
      </c>
      <c r="AY7" s="64" t="inlineStr">
        <is>
          <t>Thomas Puech        BTC        0.14207</t>
        </is>
      </c>
      <c r="AZ7" s="64" t="n"/>
      <c r="BA7" s="64" t="inlineStr">
        <is>
          <t>Thomas Puech        BTC        0.60672</t>
        </is>
      </c>
      <c r="BB7" s="64" t="inlineStr">
        <is>
          <t>NSVO Holdings        BTC        0.1773</t>
        </is>
      </c>
      <c r="BC7" s="64" t="inlineStr">
        <is>
          <t>Jose Molla        BTC        2.766
ALOK PAVAN BATRA        BTC        6.00</t>
        </is>
      </c>
      <c r="BD7" s="64" t="inlineStr">
        <is>
          <t>Thomas Puech        BTC        0.656
Danielle Richetta        BTC        -4.30</t>
        </is>
      </c>
      <c r="BE7" s="64" t="inlineStr">
        <is>
          <t>Thomas Puech        BTC        0.15103283</t>
        </is>
      </c>
      <c r="BF7" s="64" t="inlineStr">
        <is>
          <t>Thomas Puech        BTC        0.15103284</t>
        </is>
      </c>
      <c r="BG7" s="37" t="n"/>
      <c r="BH7" s="37" t="n"/>
      <c r="BI7" s="37" t="n"/>
      <c r="BJ7" s="37" t="n"/>
      <c r="BK7" s="37" t="n"/>
      <c r="BL7" s="37" t="n"/>
      <c r="BM7" s="37" t="n"/>
      <c r="BN7" s="37" t="n"/>
      <c r="BO7" s="37" t="n"/>
      <c r="BP7" s="37" t="n"/>
      <c r="BQ7" s="37" t="n"/>
      <c r="BR7" s="37" t="n"/>
      <c r="BS7" s="37" t="n"/>
      <c r="BT7" s="37" t="n"/>
      <c r="BU7" s="37" t="n"/>
      <c r="BV7" s="37" t="n"/>
      <c r="BW7" s="37" t="n"/>
      <c r="BX7" s="37" t="n"/>
      <c r="BY7" s="37" t="n"/>
      <c r="BZ7" s="37" t="n"/>
    </row>
    <row r="8" ht="15.75" customHeight="1" s="252">
      <c r="A8" s="66" t="inlineStr">
        <is>
          <t>Investors</t>
        </is>
      </c>
      <c r="B8" s="55" t="inlineStr">
        <is>
          <t>Fees</t>
        </is>
      </c>
      <c r="C8" s="67" t="inlineStr">
        <is>
          <t>IB</t>
        </is>
      </c>
      <c r="D8" s="68" t="n">
        <v>45474</v>
      </c>
      <c r="E8" s="69" t="n">
        <v>45505</v>
      </c>
      <c r="F8" s="68" t="n">
        <v>45525</v>
      </c>
      <c r="G8" s="69" t="n">
        <v>45536</v>
      </c>
      <c r="H8" s="69" t="n">
        <v>45566</v>
      </c>
      <c r="I8" s="69" t="n">
        <v>45597</v>
      </c>
      <c r="J8" s="68" t="n">
        <v>45605</v>
      </c>
      <c r="K8" s="69" t="n">
        <v>45627</v>
      </c>
      <c r="L8" s="68" t="n">
        <v>45640</v>
      </c>
      <c r="M8" s="68" t="n">
        <v>45641</v>
      </c>
      <c r="N8" s="69" t="n">
        <v>45658</v>
      </c>
      <c r="O8" s="69" t="n">
        <v>45689</v>
      </c>
      <c r="P8" s="69" t="n">
        <v>45717</v>
      </c>
      <c r="Q8" s="69" t="n">
        <v>45748</v>
      </c>
      <c r="R8" s="68" t="n">
        <v>45763</v>
      </c>
      <c r="S8" s="69" t="n">
        <v>45778</v>
      </c>
      <c r="T8" s="68" t="n">
        <v>45790</v>
      </c>
      <c r="U8" s="69" t="n">
        <v>45809</v>
      </c>
      <c r="V8" s="68" t="n">
        <v>45819</v>
      </c>
      <c r="W8" s="69" t="n">
        <v>45839</v>
      </c>
      <c r="X8" s="68" t="n">
        <v>45849</v>
      </c>
      <c r="Y8" s="68" t="n">
        <v>45862</v>
      </c>
      <c r="Z8" s="68" t="n">
        <v>45863</v>
      </c>
      <c r="AA8" s="69" t="n">
        <v>45869</v>
      </c>
      <c r="AB8" s="68" t="n">
        <v>45889</v>
      </c>
      <c r="AC8" s="68" t="n">
        <v>45894</v>
      </c>
      <c r="AD8" s="69" t="n">
        <v>45901</v>
      </c>
      <c r="AE8" s="69" t="n">
        <v>45930</v>
      </c>
      <c r="AF8" s="68" t="n">
        <v>45933</v>
      </c>
      <c r="AG8" s="68" t="n">
        <v>45953</v>
      </c>
      <c r="AH8" s="69" t="n">
        <v>45961</v>
      </c>
      <c r="AI8" s="68" t="n">
        <v>45966</v>
      </c>
      <c r="AJ8" s="68" t="n">
        <v>45969</v>
      </c>
      <c r="AK8" s="68" t="n">
        <v>45978</v>
      </c>
      <c r="AL8" s="68" t="n">
        <v>45986</v>
      </c>
      <c r="AM8" s="68" t="n">
        <v>45988</v>
      </c>
      <c r="AN8" s="69" t="n">
        <v>45991</v>
      </c>
      <c r="AO8" s="68" t="n">
        <v>45999</v>
      </c>
      <c r="AP8" s="68" t="n">
        <v>46000</v>
      </c>
      <c r="AQ8" s="68" t="n">
        <v>46006</v>
      </c>
      <c r="AR8" s="68" t="n">
        <v>46014</v>
      </c>
      <c r="AS8" s="69" t="n">
        <v>46023</v>
      </c>
      <c r="AT8" s="68" t="n">
        <v>46024</v>
      </c>
      <c r="AU8" s="68" t="n">
        <v>46027</v>
      </c>
      <c r="AV8" s="68" t="n">
        <v>46035</v>
      </c>
      <c r="AW8" s="68" t="n">
        <v>46041</v>
      </c>
      <c r="AX8" s="68" t="n">
        <v>46045</v>
      </c>
      <c r="AY8" s="68" t="n">
        <v>46052</v>
      </c>
      <c r="AZ8" s="69" t="n">
        <v>46054</v>
      </c>
      <c r="BA8" s="68" t="n">
        <v>46056</v>
      </c>
      <c r="BB8" s="68" t="n">
        <v>46059</v>
      </c>
      <c r="BC8" s="68" t="n">
        <v>46065</v>
      </c>
      <c r="BD8" s="68" t="n">
        <v>46066</v>
      </c>
      <c r="BE8" s="68" t="n">
        <v>46077</v>
      </c>
      <c r="BF8" s="69" t="n">
        <v>46081</v>
      </c>
      <c r="BG8" s="70" t="n"/>
      <c r="BH8" s="70" t="n"/>
      <c r="BI8" s="70" t="n"/>
      <c r="BJ8" s="70" t="n"/>
      <c r="BK8" s="70" t="n"/>
      <c r="BL8" s="70" t="n"/>
      <c r="BM8" s="70" t="n"/>
      <c r="BN8" s="70" t="n"/>
      <c r="BO8" s="70" t="n"/>
      <c r="BP8" s="70" t="n"/>
      <c r="BQ8" s="70" t="n"/>
      <c r="BR8" s="70" t="n"/>
      <c r="BS8" s="70" t="n"/>
      <c r="BT8" s="70" t="n"/>
      <c r="BU8" s="70" t="n"/>
      <c r="BV8" s="70" t="n"/>
      <c r="BW8" s="70" t="n"/>
      <c r="BX8" s="70" t="n"/>
      <c r="BY8" s="70" t="n"/>
      <c r="BZ8" s="70" t="n"/>
    </row>
    <row r="9" ht="15.75" customHeight="1" s="252">
      <c r="A9" s="71" t="inlineStr">
        <is>
          <t>Indigo Fees</t>
        </is>
      </c>
      <c r="B9" s="60" t="n">
        <v>0</v>
      </c>
      <c r="C9" s="60" t="n"/>
      <c r="D9" s="62" t="n"/>
      <c r="E9" s="62">
        <f>D3*E4*$B$10</f>
        <v/>
      </c>
      <c r="F9" s="62">
        <f>E9*$F$4*1+E9+(E10*$F$4*$B$10)</f>
        <v/>
      </c>
      <c r="G9" s="62">
        <f>F9*$G$4*1+F9+(F10*$G$4*$B$10)+(F11*$G$4*$B$11)</f>
        <v/>
      </c>
      <c r="H9" s="62">
        <f>G9*$H$4*1+G9+(G10*$H$4*$B$10)+(G11*$H$4*$B$11)</f>
        <v/>
      </c>
      <c r="I9" s="62">
        <f>H9*$I$4*1+H9+(H10*$I$4*$B$10)+(H11*$I$4*$B$11)+(H12*$I$4*$B$12)+(H14*$I$4*$B$14)</f>
        <v/>
      </c>
      <c r="J9" s="62">
        <f>I9*$J$4*1+I9+(I10*$J$4*$B$10)+(I11*$J$4*$B$11)+(I12*$J$4*$B$12)+(I14*$J$4*$B$14)</f>
        <v/>
      </c>
      <c r="K9" s="62">
        <f>J9*$K$4*1+J9+(J10*$K$4*$B$10)+(J11*$K$4*$B$11)+(J12*$K$4*$B$12)+(J14*$K$4*$B$14)</f>
        <v/>
      </c>
      <c r="L9" s="62">
        <f>K9*$L$4*1+K9+(K10*$L$4*$B$10)+(K11*$L$4*$B$11)+(K12*$L$4*$B$12)+(K14*$L$4*$B$14)</f>
        <v/>
      </c>
      <c r="M9" s="62">
        <f>L9+L11+L12+L14-2.0336-4.6717-4.8627</f>
        <v/>
      </c>
      <c r="N9" s="62">
        <f>M9*$N$4*1+M9+(M10*$N$4*$B$10)+(M11*$N$4*$B$11)+(M12*$N$4*$B$12)+(M14*$N$4*$B$14)</f>
        <v/>
      </c>
      <c r="O9" s="62">
        <f>N9*$O$4*1+N9+(N10*$O$4*$B$10)+(N11*$O$4*$B$11)+(N12*$O$4*$B$12)+(N14*$O$4*$B$14)</f>
        <v/>
      </c>
      <c r="P9" s="62">
        <f>O9*$P$4*1+O9+(O10*$P$4*$B$10)+(O11*$P$4*$B$11)+(O12*$P$4*$B$12)+(O14*$P$4*$B$14)</f>
        <v/>
      </c>
      <c r="Q9" s="62">
        <f>P9*$Q$4*1+P9+(P10*$Q$4*$B$10)+(P11*$Q$4*$B$11)+(P12*$Q$4*$B$12)+(P14*$Q$4*$B$14)+(P13*$Q$4*(1-$B13)+P13)-6.7249</f>
        <v/>
      </c>
      <c r="R9" s="62">
        <f>Q9*$R$4*1+Q9+(Q10*$R$4*$B$10)+(Q11*$R$4*$B$11)+(Q12*$R$4*$B$12)+(Q14*$R$4*$B$14)+0.0498</f>
        <v/>
      </c>
      <c r="S9" s="62">
        <f>R9*$S$4*1+R9+(R10*$S$4*$B$10)+(R11*$S$4*$B$11)+(R12*$S$4*$B$12)+(R14*$S$4*$B$14)</f>
        <v/>
      </c>
      <c r="T9" s="62">
        <f>S9*$T$4*1+S9+(S10*$T$4*$B$10)+(S11*$T$4*$B$11)+(S12*$T$4*$B$12)+(S14*$T$4*$B$14)+(S11*$T$4*(1-$B11)+S11)-0.1078-2.0023</f>
        <v/>
      </c>
      <c r="U9" s="62">
        <f>T9*$U$4*1+T9+(T10*$U$4*$B$10)+(T11*$U$4*$B$11)+(T12*$U$4*$B$12)+(T14*$U$4*$B$14)</f>
        <v/>
      </c>
      <c r="V9" s="62">
        <f>U9*$V$4*1+U9+(U10*$V$4*$B$10)+(U11*$V$4*$B$11)+(U12*$V$4*$B$12)+(U14*$V$4*$B$14)</f>
        <v/>
      </c>
      <c r="W9" s="62">
        <f>V9*$W$4*1+V9+(V10*$W$4*$B$10)+(V11*$W$4*$B$11)+(V12*$W$4*$B$12)+(V14*$W$4*$B$14)+(V15*$W$4*$B$15)</f>
        <v/>
      </c>
      <c r="X9" s="62">
        <f>W9*$X$4*1+W9+(W10*$X$4*$B$10)+(W11*$X$4*$B$11)+(W12*$X$4*$B$12)+(W14*$X$4*$B$14)+(W15*$X$4*$B$15)</f>
        <v/>
      </c>
      <c r="Y9" s="62">
        <f>X9*$Y$4*1+X9+(X10*$Y$4*$B$10)+(X11*$Y$4*$B$11)+(X12*$Y$4*$B$12)+(X13*$Y$4*$B$13)+(X14*$Y$4*$B$14)+(X15*$Y$4*$B$15)+(X16*$Y$4*$B$16)+(X17*$Y$4*$B$17)+(X18*$Y$4*$B$18)+(X19*$Y$4*$B$19)</f>
        <v/>
      </c>
      <c r="Z9" s="62">
        <f>Y9*$Z$4*1+Y9+(Y10*$Z$4*$B$10)+(Y11*$Z$4*$B$11)+(Y12*$Z$4*$B$12)+(Y13*$Z$4*$B$13)+(Y14*$Z$4*$B$14)+(Y15*$Z$4*$B$15)+(Y16*$Z$4*$B$16)+(Y17*$Z$4*$B$17)+(Y18*$Z$4*$B$18)+(Y19*$Z$4*$B$19)</f>
        <v/>
      </c>
      <c r="AA9" s="62">
        <f>Z9*$AA$4*1+Z9+(Z10*$AA$4*$B$10)+(Z11*$AA$4*$B$11)+(Z12*$AA$4*$B$12)+(Z13*$AA$4*$B$13)+(Z14*$AA$4*$B$14)+(Z15*$AA$4*$B$15)+(Z16*$AA$4*$B$16)+(Z17*$AA$4*$B$17)+(Z18*$AA$4*$B$18)+(Z19*$AA$4*$B$19)</f>
        <v/>
      </c>
      <c r="AB9" s="62">
        <f>AA9*$AB$4*1+AA9+(AA10*$AB$4*$B$10)+(AA11*$AB$4*$B$11)+(AA12*$AB$4*$B$12)+(AA13*$AB$4*$B$13)+(AA14*$AB$4*$B$14)+(AA15*$AB$4*$B$15)+(AA16*$AB$4*$B$16)+(AA17*$AB$4*$B$17)+(AA18*$AB$4*$B$18)+(AA19*$AB$4*$B$19)</f>
        <v/>
      </c>
      <c r="AC9" s="62">
        <f>AB9*$AC$4*1+AB9+(AB10*$AC$4*$B$10)+(AB11*$AC$4*$B$11)+(AB12*$AC$4*$B$12)+(AB13*$AC$4*$B$13)+(AB14*$AC$4*$B$14)+(AB15*$AC$4*$B$15)+(AB16*$AC$4*$B$16)+(AB17*$AC$4*$B$17)+(AB18*$AC$4*$B$18)+(AB19*$AC$4*$B$19)</f>
        <v/>
      </c>
      <c r="AD9" s="62">
        <f>AC9*$AD$4*1+AC9+(AC10*$AD$4*$B$10)+(AC11*$AD$4*$B$11)+(AC12*$AD$4*$B$12)+(AC13*$AD$4*$B$13)+(AC14*$AD$4*$B$14)+(AC15*$AD$4*$B$15)+(AC16*$AD$4*$B$16)+(AC17*$AD$4*$B$17)+(AC18*$AD$4*$B$18)+(AC19*$AD$4*$B$19)</f>
        <v/>
      </c>
      <c r="AE9" s="62">
        <f>AD9*$AE$4*1+AD9+(AD10*$AE$4*$B$10)+(AD11*$AE$4*$B$11)+(AD12*$AE$4*$B$12)+(AD13*$AE$4*$B$13)+(AD14*$AE$4*$B$14)+(AD15*$AE$4*$B$15)+(AD16*$AE$4*$B$16)+(AD17*$AE$4*$B$17)+(AD18*$AE$4*$B$18)+(AD19*$AE$4*$B$19)</f>
        <v/>
      </c>
      <c r="AF9" s="62">
        <f>AE9*$AF$4*1+AE9+(AE10*$AF$4*$B$10)+(AE11*$AF$4*$B$11)+(AE12*$AF$4*$B$12)+(AE13*$AF$4*$B$13)+(AE14*$AF$4*$B$14)+(AE15*$AF$4*$B$15)+(AE16*$AF$4*$B$16)+(AE17*$AF$4*$B$17)+(AE18*$AF$4*$B$18)+(AE19*$AF$4*$B$19)+(AE20*$AF$4*$B$20)+(AE21*$AF$4*$B$21)</f>
        <v/>
      </c>
      <c r="AG9" s="62">
        <f>AF9*$AG$4*1+AF9+(AF10*$AG$4*$B$10)+(AF11*$AG$4*$B$11)+(AF12*$AG$4*$B$12)+(AF13*$AG$4*$B$13)+(AF14*$AG$4*$B$14)+(AF15*$AG$4*$B$15)+(AF16*$AG$4*$B$16)+(AF17*$AG$4*$B$17)+(AF18*$AG$4*$B$18)+(AF19*$AG$4*$B$19)+(AF20*$AG$4*$B$20)+(AF21*$AG$4*$B$21)</f>
        <v/>
      </c>
      <c r="AH9" s="62">
        <f>AG9*$AH$4*1+AG9+(AG10*$AH$4*$B$10)+(AG11*$AH$4*$B$11)+(AG12*$AH$4*$B$12)+(AG13*$AH$4*$B$13)+(AG14*$AH$4*$B$14)+(AG15*$AH$4*$B$15)+(AG16*$AH$4*$B$16)+(AG17*$AH$4*$B$17)+(AG18*$AH$4*$B$18)+(AG19*$AH$4*$B$19)+(AG20*$AH$4*$B$20)+(AG21*$AH$4*$B$21)</f>
        <v/>
      </c>
      <c r="AI9" s="62">
        <f>AH9*$AI$4*1+AH9+(AH10*$AI$4*$B$10)+(AH11*$AI$4*$B$11)+(AH12*$AI$4*$B$12)+(AH13*$AI$4*$B$13)+(AH14*$AI$4*$B$14)+(AH15*$AI$4*$B$15)+(AH16*$AI$4*$B$16)+(AH17*$AI$4*$B$17)+(AH18*$AI$4*$B$18)+(AH19*$AI$4*$B$19)+(AH20*$AI$4*$B$20)+(AH21*$AI$4*$B$21)+(AH20*$AI$4*(1-$B20-$C20)+AH20)-0.4408</f>
        <v/>
      </c>
      <c r="AJ9" s="62">
        <f>AI9*$AJ$4*1+AI9+(AI10*$AJ$4*$B$10)+(AI11*$AJ$4*$B$11)+(AI12*$AJ$4*$B$12)+(AI13*$AJ$4*$B$13)+(AI14*$AJ$4*$B$14)+(AI15*$AJ$4*$B$15)+(AI16*$AJ$4*$B$16)+(AI17*$AJ$4*$B$17)+(AI18*$AJ$4*$B$18)+(AI19*$AJ$4*$B$19)+(AI20*$AJ$4*$B$20)+(AI21*$AJ$4*$B$21)+(AI22*$AJ$4*$B$22)</f>
        <v/>
      </c>
      <c r="AK9" s="62">
        <f>AJ9*$AK$4*1+AJ9+(AJ10*$AK$4*$B$10)+(AJ11*$AK$4*$B$11)+(AJ12*$AK$4*$B$12)+(AJ13*$AK$4*$B$13)+(AJ14*$AK$4*$B$14)+(AJ15*$AK$4*$B$15)+(AJ16*$AK$4*$B$16)+(AJ17*$AK$4*$B$17)+(AJ18*$AK$4*$B$18)+(AJ19*$AK$4*$B$19)+(AJ20*$AK$4*$B$20)+(AJ21*$AK$4*$B$21)+(AJ22*$AK$4*$B$22)</f>
        <v/>
      </c>
      <c r="AL9" s="62">
        <f>AK9*$AL$4*1+AK9+(AK10*$AL$4*$B$10)+(AK11*$AL$4*$B$11)+(AK12*$AL$4*$B$12)+(AK13*$AL$4*$B$13)+(AK14*$AL$4*$B$14)+(AK15*$AL$4*$B$15)+(AK16*$AL$4*$B$16)+(AK17*$AL$4*$B$17)+(AK18*$AL$4*$B$18)+(AK19*$AL$4*$B$19)+(AK20*$AL$4*$B$20)+(AK21*$AL$4*$B$21)+(AK22*$AL$4*$B$22)+(AK23*$AL$4*$B$23)</f>
        <v/>
      </c>
      <c r="AM9" s="62">
        <f>AL9*$AM$4*1+AL9+(AL10*$AM$4*$B$10)+(AL11*$AM$4*$B$11)+(AL12*$AM$4*$B$12)+(AL13*$AM$4*$B$13)+(AL14*$AM$4*$B$14)+(AL15*$AM$4*$B$15)+(AL16*$AM$4*$B$16)+(AL17*$AM$4*$B$17)+(AL18*$AM$4*$B$18)+(AL19*$AM$4*$B$19)+(AL20*$AM$4*$B$20)+(AL21*$AM$4*$B$21)+(AL22*$AM$4*$B$22)+(AL23*$AM$4*$B$23)+(AL24*$AM$4*$B$24)+(AL25*$AM$4*$B$25)</f>
        <v/>
      </c>
      <c r="AN9" s="62">
        <f>AM9*$AN$4*1+AM9+(AM10*$AN$4*$B$10)+(AM11*$AN$4*$B$11)+(AM12*$AN$4*$B$12)+(AM13*$AN$4*$B$13)+(AM14*$AN$4*$B$14)+(AM15*$AN$4*$B$15)+(AM16*$AN$4*$B$16)+(AM17*$AN$4*$B$17)+(AM18*$AN$4*$B$18)+(AM19*$AN$4*$B$19)+(AM20*$AN$4*$B$20)+(AM21*$AN$4*$B$21)+(AM22*$AN$4*$B$22)+(AM23*$AN$4*$B$23)+(AM24*$AN$4*$B$24)+(AM25*$AN$4*$B$25)</f>
        <v/>
      </c>
      <c r="AO9" s="62">
        <f>AN9*$AO$4*1+AN9+(AN10*$AO$4*$B$10)+(AN11*$AO$4*$B$11)+(AN12*$AO$4*$B$12)+(AN13*$AO$4*$B$13)+(AN14*$AO$4*$B$14)+(AN15*$AO$4*$B$15)+(AN16*$AO$4*$B$16)+(AN17*$AO$4*$B$17)+(AN18*$AO$4*$B$18)+(AN19*$AO$4*$B$19)+(AN20*$AO$4*$B$20)+(AN21*$AO$4*$B$21)+(AN22*$AO$4*$B$22)+(AN23*$AO$4*$B$23)+(AN24*$AO$4*$B$24)+(AN25*$AO$4*$B$25)</f>
        <v/>
      </c>
      <c r="AP9" s="62">
        <f>AO9*$AP$4*1+AO9+(AO10*$AP$4*$B$10)+(AO11*$AP$4*$B$11)+(AO12*$AP$4*$B$12)+(AO13*$AP$4*$B$13)+(AO14*$AP$4*$B$14)+(AO15*$AP$4*$B$15)+(AO16*$AP$4*$B$16)+(AO17*$AP$4*$B$17)+(AO18*$AP$4*$B$18)+(AO19*$AP$4*$B$19)+(AO20*$AP$4*$B$20)+(AO21*$AP$4*$B$21)+(AO22*$AP$4*$B$22)+(AO23*$AP$4*$B$23)+(AO24*$AP$4*$B$24)+(AO25*$AP$4*$B$25)</f>
        <v/>
      </c>
      <c r="AQ9" s="62">
        <f>AP9*$AQ$4*1+AP9+(AP10*$AQ$4*$B$10)+(AP11*$AQ$4*$B$11)+(AP12*$AQ$4*$B$12)+(AP13*$AQ$4*$B$13)+(AP14*$AQ$4*$B$14)+(AP15*$AQ$4*$B$15)+(AP16*$AQ$4*$B$16)+(AP17*$AQ$4*$B$17)+(AP18*$AQ$4*$B$18)+(AP19*$AQ$4*$B$19)+(AP20*$AQ$4*$B$20)+(AP21*$AQ$4*$B$21)+(AP22*$AQ$4*$B$22)+(AP23*$AQ$4*$B$23)+(AP24*$AQ$4*$B$24)+(AP25*$AQ$4*$B$25)</f>
        <v/>
      </c>
      <c r="AR9" s="62">
        <f>AQ9*$AR$4*1+AQ9+(AQ10*$AR$4*$B$10)+(AQ11*$AR$4*$B$11)+(AQ12*$AR$4*$B$12)+(AQ13*$AR$4*$B$13)+(AQ14*$AR$4*$B$14)+(AQ15*$AR$4*$B$15)+(AQ16*$AR$4*$B$16)+(AQ17*$AR$4*$B$17)+(AQ18*$AR$4*$B$18)+(AQ19*$AR$4*$B$19)+(AQ20*$AR$4*$B$20)+(AQ21*$AR$4*$B$21)+(AQ22*$AR$4*$B$22)+(AQ23*$AR$4*$B$23)+(AQ24*$AR$4*$B$24)+(AQ25*$AR$4*$B$25)+(AQ12*$AR$4*(1-$B12)+AQ12-4.9895)</f>
        <v/>
      </c>
      <c r="AS9" s="62">
        <f>AR9*$AS$4*1+AR9+(AR10*$AS$4*$B$10)+(AR11*$AS$4*$B$11)+(AR12*$AS$4*$B$12)+(AR13*$AS$4*$B$13)+(AR14*$AS$4*$B$14)+(AR15*$AS$4*$B$15)+(AR16*$AS$4*$B$16)+(AR17*$AS$4*$B$17)+(AR18*$AS$4*$B$18)+(AR19*$AS$4*$B$19)+(AR20*$AS$4*$B$20)+(AR21*$AS$4*$B$21)+(AR22*$AS$4*$B$22)+(AR23*$AS$4*$B$23)+(AR24*$AS$4*$B$24)+(AR25*$AS$4*$B$25)</f>
        <v/>
      </c>
      <c r="AT9" s="62">
        <f>AS9*$AT$4*1+AS9+(AS10*$AT$4*$B$10)+(AS11*$AT$4*$B$11)+(AS12*$AT$4*$B$12)+(AS13*$AT$4*$B$13)+(AS14*$AT$4*$B$14)+(AS15*$AT$4*$B$15)+(AS16*$AT$4*$B$16)+(AS17*$AT$4*$B$17)+(AS18*$AT$4*$B$18)+(AS19*$AT$4*$B$19)+(AS20*$AT$4*$B$20)+(AS21*$AT$4*$B$21)+(AS22*$AT$4*$B$22)+(AS23*$AT$4*$B$23)+(AS24*$AT$4*$B$24)+(AS25*$AT$4*$B$25)+(AS22*$AT$4*(1-$B22-$C22)+AS22)-7.7852</f>
        <v/>
      </c>
      <c r="AU9" s="62">
        <f>AT9*$AU$4*1+AT9+(AT10*$AU$4*$B$10)+(AT11*$AU$4*$B$11)+(AT12*$AU$4*$B$12)+(AT13*$AU$4*$B$13)+(AT14*$AU$4*$B$14)+(AT15*$AU$4*$B$15)+(AT16*$AU$4*$B$16)+(AT17*$AU$4*$B$17)+(AT18*$AU$4*$B$18)+(AT19*$AU$4*$B$19)+(AT20*$AU$4*$B$20)+(AT21*$AU$4*$B$21)+(AT22*$AU$4*$B$22)+(AT23*$AU$4*$B$23)+(AT24*$AU$4*$B$24)+(AT25*$AU$4*$B$25)+(AT25*$AU$4*(1-$B25)+AT25)-3.4221</f>
        <v/>
      </c>
      <c r="AV9" s="62">
        <f>AU9*$AV$4*1+AU9+(AU10*$AV$4*$B$10)+(AU11*$AV$4*$B$11)+(AU12*$AV$4*$B$12)+(AU13*$AV$4*$B$13)+(AU14*$AV$4*$B$14)+(AU15*$AV$4*$B$15)+(AU16*$AV$4*$B$16)+(AU17*$AV$4*$B$17)+(AU18*$AV$4*$B$18)+(AU19*$AV$4*$B$19)+(AU20*$AV$4*$B$20)+(AU21*$AV$4*$B$21)+(AU22*$AV$4*$B$22)+(AU23*$AV$4*$B$23)+(AU24*$AV$4*$B$24)+(AU25*$AV$4*$B$25)+(AU26*$AV$4*$B$26)</f>
        <v/>
      </c>
      <c r="AW9" s="62">
        <f>AV9*$AW$4*1+AV9+(AV10*$AW$4*$B$10)+(AV11*$AW$4*$B$11)+(AV12*$AW$4*$B$12)+(AV13*$AW$4*$B$13)+(AV14*$AW$4*$B$14)+(AV15*$AW$4*$B$15)+(AV16*$AW$4*$B$16)+(AV17*$AW$4*$B$17)+(AV18*$AW$4*$B$18)+(AV19*$AW$4*$B$19)+(AV20*$AW$4*$B$20)+(AV21*$AW$4*$B$21)+(AV22*$AW$4*$B$22)+(AV23*$AW$4*$B$23)+(AV24*$AW$4*$B$24)+(AV25*$AW$4*$B$25)+(AV26*$AW$4*$B$26)</f>
        <v/>
      </c>
      <c r="AX9" s="62">
        <f>AW9*$AX$4*1+AW9+(AW10*$AX$4*$B$10)+(AW11*$AX$4*$B$11)+(AW12*$AX$4*$B$12)+(AW13*$AX$4*$B$13)+(AW14*$AX$4*$B$14)+(AW15*$AX$4*$B$15)+(AW16*$AX$4*$B$16)+(AW17*$AX$4*$B$17)+(AW18*$AX$4*$B$18)+(AW19*$AX$4*$B$19)+(AW20*$AX$4*$B$20)+(AW21*$AX$4*$B$21)+(AW22*$AX$4*$B$22)+(AW23*$AX$4*$B$23)+(AW24*$AX$4*$B$24)+(AW25*$AX$4*$B$25)+(AW26*$AX$4*$B$26)+AW11*$AX$4*(1-$B11)+AW11-3.99</f>
        <v/>
      </c>
      <c r="AY9" s="62">
        <f>AX9*$AY$4*1+AX9+(AX10*$AY$4*$B$10)+(AX11*$AY$4*$B$11)+(AX12*$AY$4*$B$12)+(AX13*$AY$4*$B$13)+(AX14*$AY$4*$B$14)+(AX15*$AY$4*$B$15)+(AX16*$AY$4*$B$16)+(AX17*$AY$4*$B$17)+(AX18*$AY$4*$B$18)+(AX19*$AY$4*$B$19)+(AX20*$AY$4*$B$20)+(AX21*$AY$4*$B$21)+(AX22*$AY$4*$B$22)+(AX23*$AY$4*$B$23)+(AX24*$AY$4*$B$24)+(AX25*$AY$4*$B$25)+(AX26*$AY$4*$B$26)</f>
        <v/>
      </c>
      <c r="AZ9" s="62">
        <f>AY9*$AZ$4*1+AY9+(AY10*$AZ$4*$B$10)+(AY11*$AZ$4*$B$11)+(AY12*$AZ$4*$B$12)+(AY13*$AZ$4*$B$13)+(AY14*$AZ$4*$B$14)+(AY15*$AZ$4*$B$15)+(AY16*$AZ$4*$B$16)+(AY17*$AZ$4*$B$17)+(AY18*$AZ$4*$B$18)+(AY19*$AZ$4*$B$19)+(AY20*$AZ$4*$B$20)+(AY21*$AZ$4*$B$21)+(AY22*$AZ$4*$B$22)+(AY23*$AZ$4*$B$23)+(AY24*$AZ$4*$B$24)+(AY25*$AZ$4*$B$25)+(AY26*$AZ$4*$B$26)</f>
        <v/>
      </c>
      <c r="BA9" s="62">
        <f>AZ9*$BA$4*1+AZ9+(AZ10*$BA$4*$B$10)+(AZ11*$BA$4*$B$11)+(AZ12*$BA$4*$B$12)+(AZ13*$BA$4*$B$13)+(AZ14*$BA$4*$B$14)+(AZ15*$BA$4*$B$15)+(AZ16*$BA$4*$B$16)+(AZ17*$BA$4*$B$17)+(AZ18*$BA$4*$B$18)+(AZ19*$BA$4*$B$19)+(AZ20*$BA$4*$B$20)+(AZ21*$BA$4*$B$21)+(AZ22*$BA$4*$B$22)+(AZ23*$BA$4*$B$23)+(AZ24*$BA$4*$B$24)+(AZ25*$BA$4*$B$25)+(AZ26*$BA$4*$B$26)</f>
        <v/>
      </c>
      <c r="BB9" s="62">
        <f>BA9*BB$4*1+BA9+(BA10*BB$4*$B$10)+(BA11*BB$4*$B$11)+(BA12*BB$4*$B$12)+(BA13*BB$4*$B$13)+(BA14*BB$4*$B$14)+(BA15*BB$4*$B$15)+(BA16*BB$4*$B$16)+(BA17*BB$4*$B$17)+(BA18*BB$4*$B$18)+(BA19*BB$4*$B$19)+(BA20*BB$4*$B$20)+(BA21*BB$4*$B$21)+(BA22*BB$4*$B$22)+(BA23*BB$4*$B$23)+(BA24*BB$4*$B$24)+(BA25*BB$4*$B$25)+(BA26*BB$4*$B$26)+SUMIFS(Investments!$D:$D,Investments!$B:$B,$A9,Investments!$C:$C,"BTC",Investments!$A:$A,BB$8)</f>
        <v/>
      </c>
      <c r="BC9" s="62">
        <f>BB9*BC$4*1+BB9+(BB10*BC$4*$B$10)+(BB11*BC$4*$B$11)+(BB12*BC$4*$B$12)+(BB13*BC$4*$B$13)+(BB14*BC$4*$B$14)+(BB15*BC$4*$B$15)+(BB16*BC$4*$B$16)+(BB17*BC$4*$B$17)+(BB18*BC$4*$B$18)+(BB19*BC$4*$B$19)+(BB20*BC$4*$B$20)+(BB21*BC$4*$B$21)+(BB22*BC$4*$B$22)+(BB23*BC$4*$B$23)+(BB24*BC$4*$B$24)+(BB25*BC$4*$B$25)+(BB26*BC$4*$B$26)+SUMIFS(Investments!$D:$D,Investments!$B:$B,$A9,Investments!$C:$C,"BTC",Investments!$A:$A,BC$8)</f>
        <v/>
      </c>
      <c r="BD9" s="62">
        <f>BC9*BD$4*1+BC9+(BC10*BD$4*$B$10)+(BC11*BD$4*$B$11)+(BC12*BD$4*$B$12)+(BC13*BD$4*$B$13)+(BC14*BD$4*$B$14)+(BC15*BD$4*$B$15)+(BC16*BD$4*$B$16)+(BC17*BD$4*$B$17)+(BC18*BD$4*$B$18)+(BC19*BD$4*$B$19)+(BC20*BD$4*$B$20)+(BC21*BD$4*$B$21)+(BC22*BD$4*$B$22)+(BC23*BD$4*$B$23)+(BC24*BD$4*$B$24)+(BC25*BD$4*$B$25)+(BC26*BD$4*$B$26)+(BC27*BD$4*$B$27)+SUMIFS(Investments!$D:$D,Investments!$B:$B,$A9,Investments!$C:$C,"BTC",Investments!$A:$A,BD$8)+BC14*BD$4*(1-$B14)+BC14-4.3</f>
        <v/>
      </c>
      <c r="BE9" s="62">
        <f>BD9*BE$4*1+BD9+(BD10*BE$4*$B$10)+(BD11*BE$4*$B$11)+(BD12*BE$4*$B$12)+(BD13*BE$4*$B$13)+(BD14*BE$4*$B$14)+(BD15*BE$4*$B$15)+(BD16*BE$4*$B$16)+(BD17*BE$4*$B$17)+(BD18*BE$4*$B$18)+(BD19*BE$4*$B$19)+(BD20*BE$4*$B$20)+(BD21*BE$4*$B$21)+(BD22*BE$4*$B$22)+(BD23*BE$4*$B$23)+(BD24*BE$4*$B$24)+(BD25*BE$4*$B$25)+(BD26*BE$4*$B$26)+(BD27*BE$4*$B$27)+SUMIFS(Investments!$D:$D,Investments!$B:$B,$A9,Investments!$C:$C,"BTC",Investments!$A:$A,BE$8)</f>
        <v/>
      </c>
      <c r="BF9" s="62">
        <f>BE9*BF$4*1+BE9+(BE10*BF$4*$B$10)+(BE11*BF$4*$B$11)+(BE12*BF$4*$B$12)+(BE13*BF$4*$B$13)+(BE14*BF$4*$B$14)+(BE15*BF$4*$B$15)+(BE16*BF$4*$B$16)+(BE17*BF$4*$B$17)+(BE18*BF$4*$B$18)+(BE19*BF$4*$B$19)+(BE20*BF$4*$B$20)+(BE21*BF$4*$B$21)+(BE22*BF$4*$B$22)+(BE23*BF$4*$B$23)+(BE24*BF$4*$B$24)+(BE25*BF$4*$B$25)+(BE26*BF$4*$B$26)+(BE27*BF$4*$B$27)+SUMIFS(Investments!$D:$D,Investments!$B:$B,$A9,Investments!$C:$C,"BTC",Investments!$A:$A,BF$8)</f>
        <v/>
      </c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</row>
    <row r="10" ht="15.75" customHeight="1" s="252">
      <c r="A10" s="71" t="inlineStr">
        <is>
          <t>Jose Molla</t>
        </is>
      </c>
      <c r="B10" s="60" t="n">
        <v>0.15</v>
      </c>
      <c r="C10" s="60" t="n"/>
      <c r="D10" s="62" t="n">
        <v>3.468</v>
      </c>
      <c r="E10" s="62">
        <f>D10*E4*(1-$B10)+D10</f>
        <v/>
      </c>
      <c r="F10" s="62">
        <f>E10*F4*(1-$B10)+E10</f>
        <v/>
      </c>
      <c r="G10" s="62">
        <f>F10*$G$4*(1-$B10)+F10</f>
        <v/>
      </c>
      <c r="H10" s="62">
        <f>G10*$H$4*(1-$B10)+G10</f>
        <v/>
      </c>
      <c r="I10" s="62">
        <f>H10*$I$4*(1-$B10)+H10</f>
        <v/>
      </c>
      <c r="J10" s="62">
        <f>I10*$J$4*(1-$B10)+I10</f>
        <v/>
      </c>
      <c r="K10" s="62">
        <f>J10*$K$4*(1-$B10)+J10</f>
        <v/>
      </c>
      <c r="L10" s="62">
        <f>K10*$L$4*(1-$B10)+K10</f>
        <v/>
      </c>
      <c r="M10" s="62">
        <f>L10</f>
        <v/>
      </c>
      <c r="N10" s="62">
        <f>M10*$N$4*(1-$B10)+M10</f>
        <v/>
      </c>
      <c r="O10" s="62">
        <f>N10*$O$4*(1-$B10)+N10</f>
        <v/>
      </c>
      <c r="P10" s="62">
        <f>O10*$P$4*(1-$B10)+O10</f>
        <v/>
      </c>
      <c r="Q10" s="62">
        <f>P10*$Q$4*(1-$B10)+P10</f>
        <v/>
      </c>
      <c r="R10" s="62">
        <f>Q10*$R$4*(1-$B10)+Q10</f>
        <v/>
      </c>
      <c r="S10" s="62">
        <f>R10*$S$4*(1-$B10)+R10</f>
        <v/>
      </c>
      <c r="T10" s="62">
        <f>S10*$T$4*(1-$B10)+S10</f>
        <v/>
      </c>
      <c r="U10" s="62">
        <f>T10*$U$4*(1-$B10)+T10</f>
        <v/>
      </c>
      <c r="V10" s="62">
        <f>U10*$V$4*(1-$B10)+U10</f>
        <v/>
      </c>
      <c r="W10" s="62">
        <f>V10*$W$4*(1-$B10)+V10</f>
        <v/>
      </c>
      <c r="X10" s="62">
        <f>W10*$X$4*(1-$B10)+W10</f>
        <v/>
      </c>
      <c r="Y10" s="62">
        <f>X10*$Y$4*(1-$B10)+X10</f>
        <v/>
      </c>
      <c r="Z10" s="62">
        <f>Y10*$Z$4*(1-$B10)+Y10</f>
        <v/>
      </c>
      <c r="AA10" s="62">
        <f>Z10*$AA$4*(1-$B10)+Z10</f>
        <v/>
      </c>
      <c r="AB10" s="62">
        <f>AA10*$AB$4*(1-$B10)+AA10</f>
        <v/>
      </c>
      <c r="AC10" s="62">
        <f>AB10*$AC$4*(1-$B10)+AB10</f>
        <v/>
      </c>
      <c r="AD10" s="62">
        <f>AC10*$AD$4*(1-$B10)+AC10</f>
        <v/>
      </c>
      <c r="AE10" s="62">
        <f>AD10*$AE$4*(1-$B10)+AD10</f>
        <v/>
      </c>
      <c r="AF10" s="62">
        <f>AE10*$AF$4*(1-$B10)+AE10</f>
        <v/>
      </c>
      <c r="AG10" s="62">
        <f>AF10*$AG$4*(1-$B10)+AF10+0.062</f>
        <v/>
      </c>
      <c r="AH10" s="62">
        <f>AG10*$AH$4*(1-$B10)+AG10</f>
        <v/>
      </c>
      <c r="AI10" s="62">
        <f>AH10*$AI$4*(1-$B10)+AH10</f>
        <v/>
      </c>
      <c r="AJ10" s="62">
        <f>AI10*$AJ$4*(1-$B10)+AI10+0.4867</f>
        <v/>
      </c>
      <c r="AK10" s="62">
        <f>AJ10*$AK$4*(1-$B10)+AJ10</f>
        <v/>
      </c>
      <c r="AL10" s="62">
        <f>AK10*$AL$4*(1-$B10)+AK10+0.548</f>
        <v/>
      </c>
      <c r="AM10" s="62">
        <f>AL10*$AM$4*(1-$B10)+AL10</f>
        <v/>
      </c>
      <c r="AN10" s="62">
        <f>AM10*$AN$4*(1-$B10)+AM10</f>
        <v/>
      </c>
      <c r="AO10" s="62">
        <f>AN10*$AO$4*(1-$B10)+AN10</f>
        <v/>
      </c>
      <c r="AP10" s="62">
        <f>AO10*$AP$4*(1-$B10)+AO10</f>
        <v/>
      </c>
      <c r="AQ10" s="62">
        <f>AP10*$AQ$4*(1-$B10)+AP10</f>
        <v/>
      </c>
      <c r="AR10" s="62">
        <f>AQ10*$AR$4*(1-$B10)+AQ10</f>
        <v/>
      </c>
      <c r="AS10" s="62">
        <f>AR10*$AS$4*(1-$B10)+AR10</f>
        <v/>
      </c>
      <c r="AT10" s="62">
        <f>AS10*$AT$4*(1-$B10)+AS10</f>
        <v/>
      </c>
      <c r="AU10" s="62">
        <f>AT10*$AU$4*(1-$B10)+AT10</f>
        <v/>
      </c>
      <c r="AV10" s="62">
        <f>AU10*$AV$4*(1-$B10)+AU10</f>
        <v/>
      </c>
      <c r="AW10" s="62">
        <f>AV10*$AW$4*(1-$B10)+AV10</f>
        <v/>
      </c>
      <c r="AX10" s="62">
        <f>AW10*$AX$4*(1-$B10)+AW10</f>
        <v/>
      </c>
      <c r="AY10" s="62">
        <f>AX10*$AY$4*(1-$B10)+AX10</f>
        <v/>
      </c>
      <c r="AZ10" s="62">
        <f>AY10*$AZ$4*(1-$B10)+AY10</f>
        <v/>
      </c>
      <c r="BA10" s="62">
        <f>AZ10*$BA$4*(1-$B10)+AZ10</f>
        <v/>
      </c>
      <c r="BB10" s="62">
        <f>BA10*BB$4*(1-$B10)+BA10+SUMIFS(Investments!$D:$D,Investments!$B:$B,$A10,Investments!$C:$C,"BTC",Investments!$A:$A,BB$8)</f>
        <v/>
      </c>
      <c r="BC10" s="62">
        <f>BB10*BC$4*(1-$B10)+BB10+SUMIFS(Investments!$D:$D,Investments!$B:$B,$A10,Investments!$C:$C,"BTC",Investments!$A:$A,BC$8)</f>
        <v/>
      </c>
      <c r="BD10" s="62">
        <f>BC10*BD$4*(1-$B10)+BC10+SUMIFS(Investments!$D:$D,Investments!$B:$B,$A10,Investments!$C:$C,"BTC",Investments!$A:$A,BD$8)</f>
        <v/>
      </c>
      <c r="BE10" s="62">
        <f>BD10*BE$4*(1-$B10)+BD10+SUMIFS(Investments!$D:$D,Investments!$B:$B,$A10,Investments!$C:$C,"BTC",Investments!$A:$A,BE$8)</f>
        <v/>
      </c>
      <c r="BF10" s="62">
        <f>BE10*BF$4*(1-$B10)+BE10+SUMIFS(Investments!$D:$D,Investments!$B:$B,$A10,Investments!$C:$C,"BTC",Investments!$A:$A,BF$8)</f>
        <v/>
      </c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  <c r="BR10" s="13" t="n"/>
      <c r="BS10" s="13" t="n"/>
      <c r="BT10" s="13" t="n"/>
      <c r="BU10" s="13" t="n"/>
      <c r="BV10" s="13" t="n"/>
      <c r="BW10" s="13" t="n"/>
      <c r="BX10" s="13" t="n"/>
      <c r="BY10" s="13" t="n"/>
      <c r="BZ10" s="13" t="n"/>
    </row>
    <row r="11" ht="15.75" customHeight="1" s="252">
      <c r="A11" s="71" t="inlineStr">
        <is>
          <t>Kyle Gulamerian</t>
        </is>
      </c>
      <c r="B11" s="60" t="n">
        <v>0.15</v>
      </c>
      <c r="C11" s="60" t="n"/>
      <c r="D11" s="62" t="n"/>
      <c r="E11" s="62" t="n">
        <v>0</v>
      </c>
      <c r="F11" s="62" t="n">
        <v>2</v>
      </c>
      <c r="G11" s="62">
        <f>F11*$G$4*(1-$B11)+F11</f>
        <v/>
      </c>
      <c r="H11" s="62">
        <f>G11*$H$4*(1-$B11)+G11</f>
        <v/>
      </c>
      <c r="I11" s="62">
        <f>H11*$I$4*(1-$B11)+H11</f>
        <v/>
      </c>
      <c r="J11" s="62">
        <f>I11*$J$4*(1-$B11)+I11</f>
        <v/>
      </c>
      <c r="K11" s="62">
        <f>J11*$K$4*(1-$B11)+J11</f>
        <v/>
      </c>
      <c r="L11" s="62">
        <f>K11*$L$4*(1-$B11)+K11</f>
        <v/>
      </c>
      <c r="M11" s="62">
        <f>L11-L11</f>
        <v/>
      </c>
      <c r="N11" s="62">
        <f>M11*$N$4*(1-$B11)+M11</f>
        <v/>
      </c>
      <c r="O11" s="62">
        <f>N11*$O$4*(1-$B11)+N11</f>
        <v/>
      </c>
      <c r="P11" s="62">
        <f>O11*$P$4*(1-$B11)+O11</f>
        <v/>
      </c>
      <c r="Q11" s="62">
        <f>P11*$Q$4*(1-$B11)+P11</f>
        <v/>
      </c>
      <c r="R11" s="62">
        <f>Q11*$R$4*(1-$B11)+Q11+2.101</f>
        <v/>
      </c>
      <c r="S11" s="62">
        <f>R11*$S$4*(1-$B11)+R11</f>
        <v/>
      </c>
      <c r="T11" s="62">
        <f>S11*$T$4*(1-$B11)+S11-(S11*$T$4*(1-$B11)+S11)</f>
        <v/>
      </c>
      <c r="U11" s="62">
        <f>T11*$U$4*(1-$B11)+T11</f>
        <v/>
      </c>
      <c r="V11" s="62">
        <f>U11*$V$4*(1-$B11)+U11-(U11*$V$4*(1-$B11)+U11)</f>
        <v/>
      </c>
      <c r="W11" s="62">
        <f>V11*$W$4*(1-$B11)+V11-(V11*$W$4*(1-$B11)+V11)</f>
        <v/>
      </c>
      <c r="X11" s="62">
        <f>W11*$X$4*(1-$B11)+W11-(W11*$X$4*(1-$B11)+W11)</f>
        <v/>
      </c>
      <c r="Y11" s="62">
        <f>X11*$Y$4*(1-$B11)+X11-(X11*$Y$4*(1-$B11)+X11)</f>
        <v/>
      </c>
      <c r="Z11" s="62">
        <f>Y11*$Z$4*(1-$B11)+Y11-(Y11*$Z$4*(1-$B11)+Y11)</f>
        <v/>
      </c>
      <c r="AA11" s="62">
        <f>Z11*$AA$4*(1-$B11)+Z11-(Z11*$AA$4*(1-$B11)+Z11)</f>
        <v/>
      </c>
      <c r="AB11" s="62">
        <f>AA11*$AB$4*(1-$B11)+AA11-(AA11*$AB$4*(1-$B11)+AA11)</f>
        <v/>
      </c>
      <c r="AC11" s="62">
        <f>AB11*$AC$4*(1-$B11)+AB11-(AB11*$AC$4*(1-$B11)+AB11)</f>
        <v/>
      </c>
      <c r="AD11" s="62">
        <f>AC11*$AD$4*(1-$B11)+AC11-(AC11*$AD$4*(1-$B11)+AC11)</f>
        <v/>
      </c>
      <c r="AE11" s="62">
        <f>AD11*$AE$4*(1-$B11)+AD11-(AD11*$AE$4*(1-$B11)+AD11)</f>
        <v/>
      </c>
      <c r="AF11" s="62">
        <f>AE11*$AF$4*(1-$B11)+AE11-(AE11*$AF$4*(1-$B11)+AE11)</f>
        <v/>
      </c>
      <c r="AG11" s="62">
        <f>AF11*$AG$4*(1-$B11)+AF11-(AF11*$AG$4*(1-$B11)+AF11)</f>
        <v/>
      </c>
      <c r="AH11" s="62">
        <f>AG11*$AH$4*(1-$B11)+AG11-(AG11*$AH$4*(1-$B11)+AG11)</f>
        <v/>
      </c>
      <c r="AI11" s="62">
        <f>AH11*$AI$4*(1-$B11)+AH11-(AH11*$AI$4*(1-$B11)+AH11)</f>
        <v/>
      </c>
      <c r="AJ11" s="62">
        <f>AI11*$AJ$4*(1-$B11)+AI11-(AI11*$AJ$4*(1-$B11)+AI11)</f>
        <v/>
      </c>
      <c r="AK11" s="62">
        <f>AJ11*$AK$4*(1-$B11)+AJ11</f>
        <v/>
      </c>
      <c r="AL11" s="62">
        <f>AK11*$AL$4*(1-$B11)+AK11</f>
        <v/>
      </c>
      <c r="AM11" s="62">
        <f>AL11*$AM$4*(1-$B11)+AL11</f>
        <v/>
      </c>
      <c r="AN11" s="62">
        <f>AM11*$AN$4*(1-$B11)+AM11</f>
        <v/>
      </c>
      <c r="AO11" s="62">
        <f>AN11*$AO$4*(1-$B11)+AN11</f>
        <v/>
      </c>
      <c r="AP11" s="62">
        <f>AO11*$AP$4*(1-$B11)+AO11</f>
        <v/>
      </c>
      <c r="AQ11" s="62">
        <f>AP11*$AQ$4*(1-$B11)+AP11</f>
        <v/>
      </c>
      <c r="AR11" s="62">
        <f>AQ11*$AR$4*(1-$B11)+AQ11</f>
        <v/>
      </c>
      <c r="AS11" s="62">
        <f>AR11*$AS$4*(1-$B11)+AR11</f>
        <v/>
      </c>
      <c r="AT11" s="62">
        <f>AS11*$AT$4*(1-$B11)+AS11</f>
        <v/>
      </c>
      <c r="AU11" s="62">
        <f>AT11*$AU$4*(1-$B11)+AT11</f>
        <v/>
      </c>
      <c r="AV11" s="62">
        <f>AU11*$AV$4*(1-$B11)+AU11</f>
        <v/>
      </c>
      <c r="AW11" s="62">
        <f>AV11*$AW$4*(1-$B11)+AV11+3.9998</f>
        <v/>
      </c>
      <c r="AX11" s="62">
        <f>AW11*$AX$4*(1-$B11)+AW11-(AW11*$AX$4*(1-$B11)+AW11)</f>
        <v/>
      </c>
      <c r="AY11" s="62">
        <f>AX11*$AY$4*(1-$B11)+AX11</f>
        <v/>
      </c>
      <c r="AZ11" s="62">
        <f>AY11*$AZ$4*(1-$B11)+AY11</f>
        <v/>
      </c>
      <c r="BA11" s="62">
        <f>AZ11*$BA$4*(1-$B11)+AZ11</f>
        <v/>
      </c>
      <c r="BB11" s="62">
        <f>BA11*BB$4*(1-$B11)+BA11+SUMIFS(Investments!$D:$D,Investments!$B:$B,$A11,Investments!$C:$C,"BTC",Investments!$A:$A,BB$8)</f>
        <v/>
      </c>
      <c r="BC11" s="62">
        <f>BB11*BC$4*(1-$B11)+BB11+SUMIFS(Investments!$D:$D,Investments!$B:$B,$A11,Investments!$C:$C,"BTC",Investments!$A:$A,BC$8)</f>
        <v/>
      </c>
      <c r="BD11" s="62">
        <f>BC11*BD$4*(1-$B11)+BC11+SUMIFS(Investments!$D:$D,Investments!$B:$B,$A11,Investments!$C:$C,"BTC",Investments!$A:$A,BD$8)</f>
        <v/>
      </c>
      <c r="BE11" s="62">
        <f>BD11*BE$4*(1-$B11)+BD11+SUMIFS(Investments!$D:$D,Investments!$B:$B,$A11,Investments!$C:$C,"BTC",Investments!$A:$A,BE$8)</f>
        <v/>
      </c>
      <c r="BF11" s="62">
        <f>BE11*BF$4*(1-$B11)+BE11+SUMIFS(Investments!$D:$D,Investments!$B:$B,$A11,Investments!$C:$C,"BTC",Investments!$A:$A,BF$8)</f>
        <v/>
      </c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</row>
    <row r="12" ht="15.75" customHeight="1" s="252">
      <c r="A12" s="71" t="inlineStr">
        <is>
          <t>Matthias Reiser</t>
        </is>
      </c>
      <c r="B12" s="60" t="n">
        <v>0.1</v>
      </c>
      <c r="C12" s="60" t="n"/>
      <c r="D12" s="62" t="n"/>
      <c r="E12" s="62" t="n">
        <v>0</v>
      </c>
      <c r="F12" s="62" t="n">
        <v>0</v>
      </c>
      <c r="G12" s="62" t="n">
        <v>0</v>
      </c>
      <c r="H12" s="62" t="n">
        <v>4.62</v>
      </c>
      <c r="I12" s="62">
        <f>H12*$I$4*(1-$B12)+H12</f>
        <v/>
      </c>
      <c r="J12" s="62">
        <f>I12*$J$4*(1-$B12)+I12</f>
        <v/>
      </c>
      <c r="K12" s="62">
        <f>J12*$K$4*(1-$B12)+J12</f>
        <v/>
      </c>
      <c r="L12" s="62">
        <f>K12*$L$4*(1-$B12)+K12</f>
        <v/>
      </c>
      <c r="M12" s="62">
        <f>L12-L12</f>
        <v/>
      </c>
      <c r="N12" s="62">
        <f>M12*$N$4*(1-$B12)+M12</f>
        <v/>
      </c>
      <c r="O12" s="62">
        <f>N12*$O$4*(1-$B12)+N12</f>
        <v/>
      </c>
      <c r="P12" s="62">
        <f>O12*$P$4*(1-$B12)+O12</f>
        <v/>
      </c>
      <c r="Q12" s="62">
        <f>P12*$Q$4*(1-$B12)+P12</f>
        <v/>
      </c>
      <c r="R12" s="62">
        <f>Q12*$R$4*(1-$B12)+Q12+4.8357</f>
        <v/>
      </c>
      <c r="S12" s="62">
        <f>R12*$S$4*(1-$B12)+R12</f>
        <v/>
      </c>
      <c r="T12" s="62">
        <f>S12*$T$4*(1-$B12)+S12</f>
        <v/>
      </c>
      <c r="U12" s="62">
        <f>T12*$U$4*(1-$B12)+T12</f>
        <v/>
      </c>
      <c r="V12" s="62">
        <f>U12*$V$4*(1-$B12)+U12</f>
        <v/>
      </c>
      <c r="W12" s="62">
        <f>V12*$W$4*(1-$B12)+V12</f>
        <v/>
      </c>
      <c r="X12" s="62">
        <f>W12*$X$4*(1-$B12)+W12</f>
        <v/>
      </c>
      <c r="Y12" s="62">
        <f>X12*$Y$4*(1-$B12)+X12</f>
        <v/>
      </c>
      <c r="Z12" s="62">
        <f>Y12*$Z$4*(1-$B12)+Y12</f>
        <v/>
      </c>
      <c r="AA12" s="62">
        <f>Z12*$AA$4*(1-$B12)+Z12</f>
        <v/>
      </c>
      <c r="AB12" s="62">
        <f>AA12*$AB$4*(1-$B12)+AA12</f>
        <v/>
      </c>
      <c r="AC12" s="62">
        <f>AB12*$AC$4*(1-$B12)+AB12</f>
        <v/>
      </c>
      <c r="AD12" s="62">
        <f>AC12*$AD$4*(1-$B12)+AC12</f>
        <v/>
      </c>
      <c r="AE12" s="62">
        <f>AD12*$AE$4*(1-$B12)+AD12</f>
        <v/>
      </c>
      <c r="AF12" s="62">
        <f>AE12*$AF$4*(1-$B12)+AE12</f>
        <v/>
      </c>
      <c r="AG12" s="62">
        <f>AF12*$AG$4*(1-$B12)+AF12</f>
        <v/>
      </c>
      <c r="AH12" s="62">
        <f>AG12*$AH$4*(1-$B12)+AG12</f>
        <v/>
      </c>
      <c r="AI12" s="62">
        <f>AH12*$AI$4*(1-$B12)+AH12</f>
        <v/>
      </c>
      <c r="AJ12" s="62">
        <f>AI12*$AJ$4*(1-$B12)+AI12</f>
        <v/>
      </c>
      <c r="AK12" s="62">
        <f>AJ12*$AK$4*(1-$B12)+AJ12</f>
        <v/>
      </c>
      <c r="AL12" s="62">
        <f>AK12*$AL$4*(1-$B12)+AK12</f>
        <v/>
      </c>
      <c r="AM12" s="62">
        <f>AL12*$AM$4*(1-$B12)+AL12</f>
        <v/>
      </c>
      <c r="AN12" s="62">
        <f>AM12*$AN$4*(1-$B12)+AM12</f>
        <v/>
      </c>
      <c r="AO12" s="62">
        <f>AN12*$AO$4*(1-$B12)+AN12</f>
        <v/>
      </c>
      <c r="AP12" s="62">
        <f>AO12*$AP$4*(1-$B12)+AO12</f>
        <v/>
      </c>
      <c r="AQ12" s="62">
        <f>AP12*$AQ$4*(1-$B12)+AP12</f>
        <v/>
      </c>
      <c r="AR12" s="62">
        <f>AQ12*$AR$4*(1-$B12)+AQ12-(AQ12*$AR$4*(1-$B12)+AQ12)</f>
        <v/>
      </c>
      <c r="AS12" s="62">
        <f>AR12*$AS$4*(1-$B12)+AR12</f>
        <v/>
      </c>
      <c r="AT12" s="62">
        <f>AS12*$AT$4*(1-$B12)+AS12</f>
        <v/>
      </c>
      <c r="AU12" s="62">
        <f>AT12*$AU$4*(1-$B12)+AT12</f>
        <v/>
      </c>
      <c r="AV12" s="62">
        <f>AU12*$AV$4*(1-$B12)+AU12</f>
        <v/>
      </c>
      <c r="AW12" s="62">
        <f>AV12*$AW$4*(1-$B12)+AV12</f>
        <v/>
      </c>
      <c r="AX12" s="62">
        <f>AW12*$AX$4*(1-$B12)+AW12</f>
        <v/>
      </c>
      <c r="AY12" s="62">
        <f>AX12*$AY$4*(1-$B12)+AX12</f>
        <v/>
      </c>
      <c r="AZ12" s="62">
        <f>AY12*$AZ$4*(1-$B12)+AY12</f>
        <v/>
      </c>
      <c r="BA12" s="62">
        <f>AZ12*$BA$4*(1-$B12)+AZ12</f>
        <v/>
      </c>
      <c r="BB12" s="62">
        <f>BA12*BB$4*(1-$B12)+BA12+SUMIFS(Investments!$D:$D,Investments!$B:$B,$A12,Investments!$C:$C,"BTC",Investments!$A:$A,BB$8)</f>
        <v/>
      </c>
      <c r="BC12" s="62">
        <f>BB12*BC$4*(1-$B12)+BB12+SUMIFS(Investments!$D:$D,Investments!$B:$B,$A12,Investments!$C:$C,"BTC",Investments!$A:$A,BC$8)</f>
        <v/>
      </c>
      <c r="BD12" s="62">
        <f>BC12*BD$4*(1-$B12)+BC12+SUMIFS(Investments!$D:$D,Investments!$B:$B,$A12,Investments!$C:$C,"BTC",Investments!$A:$A,BD$8)</f>
        <v/>
      </c>
      <c r="BE12" s="62">
        <f>BD12*BE$4*(1-$B12)+BD12+SUMIFS(Investments!$D:$D,Investments!$B:$B,$A12,Investments!$C:$C,"BTC",Investments!$A:$A,BE$8)</f>
        <v/>
      </c>
      <c r="BF12" s="62">
        <f>BE12*BF$4*(1-$B12)+BE12+SUMIFS(Investments!$D:$D,Investments!$B:$B,$A12,Investments!$C:$C,"BTC",Investments!$A:$A,BF$8)</f>
        <v/>
      </c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  <c r="BR12" s="13" t="n"/>
      <c r="BS12" s="13" t="n"/>
      <c r="BT12" s="13" t="n"/>
      <c r="BU12" s="13" t="n"/>
      <c r="BV12" s="13" t="n"/>
      <c r="BW12" s="13" t="n"/>
      <c r="BX12" s="13" t="n"/>
      <c r="BY12" s="13" t="n"/>
      <c r="BZ12" s="13" t="n"/>
    </row>
    <row r="13" ht="15.75" customHeight="1" s="252">
      <c r="A13" s="71" t="inlineStr">
        <is>
          <t>Thomas Puech</t>
        </is>
      </c>
      <c r="B13" s="60" t="n">
        <v>0</v>
      </c>
      <c r="C13" s="60" t="n"/>
      <c r="D13" s="62" t="n"/>
      <c r="E13" s="62" t="n">
        <v>0</v>
      </c>
      <c r="F13" s="62" t="n">
        <v>0</v>
      </c>
      <c r="G13" s="62" t="n">
        <v>0</v>
      </c>
      <c r="H13" s="62" t="n">
        <v>6.5193</v>
      </c>
      <c r="I13" s="62">
        <f>H13*$I$4*(1-$B13)+H13</f>
        <v/>
      </c>
      <c r="J13" s="62">
        <f>I13*$J$4*(1-$B13)+I13</f>
        <v/>
      </c>
      <c r="K13" s="62">
        <f>J13*$K$4*(1-$B13)+J13</f>
        <v/>
      </c>
      <c r="L13" s="62">
        <f>K13*$L$4*(1-$B13)+K13</f>
        <v/>
      </c>
      <c r="M13" s="62">
        <f>L13</f>
        <v/>
      </c>
      <c r="N13" s="62">
        <f>M13*$N$4*(1-$B13)+M13</f>
        <v/>
      </c>
      <c r="O13" s="62">
        <f>N13*$O$4*(1-$B13)+N13</f>
        <v/>
      </c>
      <c r="P13" s="62">
        <f>O13*$P$4*(1-$B13)+O13</f>
        <v/>
      </c>
      <c r="Q13" s="62">
        <f>(P13*$Q$4*(1-$B13)+P13)-(P13*$Q$4*(1-$B13)+P13)</f>
        <v/>
      </c>
      <c r="R13" s="62">
        <f>Q13*$R$4*(1-$B13)+Q13</f>
        <v/>
      </c>
      <c r="S13" s="62">
        <f>R13*$S$4*(1-$B13)+R13</f>
        <v/>
      </c>
      <c r="T13" s="62">
        <f>S13*$T$4*(1-$B13)+S13</f>
        <v/>
      </c>
      <c r="U13" s="62">
        <f>T13*$U$4*(1-$B13)+T13</f>
        <v/>
      </c>
      <c r="V13" s="62">
        <f>U13*$V$4*(1-$B13)+U13</f>
        <v/>
      </c>
      <c r="W13" s="62">
        <f>V13*$W$4*(1-$B13)+V13</f>
        <v/>
      </c>
      <c r="X13" s="62">
        <f>W13*$X$4*(1-$B13)+W13+6.69</f>
        <v/>
      </c>
      <c r="Y13" s="62">
        <f>X13*$Y$4*(1-$B13)+X13</f>
        <v/>
      </c>
      <c r="Z13" s="62">
        <f>Y13*$Z$4*(1-$B13)+Y13</f>
        <v/>
      </c>
      <c r="AA13" s="62">
        <f>Z13*$AA$4*(1-$B13)+Z13</f>
        <v/>
      </c>
      <c r="AB13" s="62">
        <f>AA13*$AB$4*(1-$B13)+AA13</f>
        <v/>
      </c>
      <c r="AC13" s="62">
        <f>AB13*$AC$4*(1-$B13)+AB13</f>
        <v/>
      </c>
      <c r="AD13" s="62">
        <f>AC13*$AD$4*(1-$B13)+AC13</f>
        <v/>
      </c>
      <c r="AE13" s="62">
        <f>AD13*$AE$4*(1-$B13)+AD13</f>
        <v/>
      </c>
      <c r="AF13" s="62">
        <f>AE13*$AF$4*(1-$B13)+AE13</f>
        <v/>
      </c>
      <c r="AG13" s="62">
        <f>AF13*$AG$4*(1-$B13)+AF13</f>
        <v/>
      </c>
      <c r="AH13" s="62">
        <f>AG13*$AH$4*(1-$B13)+AG13</f>
        <v/>
      </c>
      <c r="AI13" s="62">
        <f>AH13*$AI$4*(1-$B13)+AH13</f>
        <v/>
      </c>
      <c r="AJ13" s="62">
        <f>AI13*$AJ$4*(1-$B13)+AI13</f>
        <v/>
      </c>
      <c r="AK13" s="62">
        <f>AJ13*$AK$4*(1-$B13)+AJ13</f>
        <v/>
      </c>
      <c r="AL13" s="62">
        <f>AK13*$AL$4*(1-$B13)+AK13</f>
        <v/>
      </c>
      <c r="AM13" s="62">
        <f>AL13*$AM$4*(1-$B13)+AL13</f>
        <v/>
      </c>
      <c r="AN13" s="62">
        <f>AM13*$AN$4*(1-$B13)+AM13</f>
        <v/>
      </c>
      <c r="AO13" s="62">
        <f>AN13*$AO$4*(1-$B13)+AN13</f>
        <v/>
      </c>
      <c r="AP13" s="62">
        <f>AO13*$AP$4*(1-$B13)+AO13+0.657</f>
        <v/>
      </c>
      <c r="AQ13" s="62">
        <f>AP13*$AQ$4*(1-$B13)+AP13</f>
        <v/>
      </c>
      <c r="AR13" s="62">
        <f>AQ13*$AR$4*(1-$B13)+AQ13</f>
        <v/>
      </c>
      <c r="AS13" s="62">
        <f>AR13*$AS$4*(1-$B13)+AR13</f>
        <v/>
      </c>
      <c r="AT13" s="62">
        <f>AS13*$AT$4*(1-$B13)+AS13</f>
        <v/>
      </c>
      <c r="AU13" s="62">
        <f>AT13*$AU$4*(1-$B13)+AT13</f>
        <v/>
      </c>
      <c r="AV13" s="62">
        <f>AU13*$AV$4*(1-$B13)+AU13+0.1135766</f>
        <v/>
      </c>
      <c r="AW13" s="62">
        <f>AV13*$AW$4*(1-$B13)+AV13</f>
        <v/>
      </c>
      <c r="AX13" s="62">
        <f>AW13*$AX$4*(1-$B13)+AW13</f>
        <v/>
      </c>
      <c r="AY13" s="62">
        <f>AX13*$AY$4*(1-$B13)+AX13+0.14207</f>
        <v/>
      </c>
      <c r="AZ13" s="62">
        <f>AY13*$AZ$4*(1-$B13)+AY13</f>
        <v/>
      </c>
      <c r="BA13" s="62">
        <f>AZ13*$BA$4*(1-$B13)+AZ13+0.60672</f>
        <v/>
      </c>
      <c r="BB13" s="62">
        <f>BA13*BB$4*(1-$B13)+BA13+SUMIFS(Investments!$D:$D,Investments!$B:$B,$A13,Investments!$C:$C,"BTC",Investments!$A:$A,BB$8)</f>
        <v/>
      </c>
      <c r="BC13" s="62">
        <f>BB13*BC$4*(1-$B13)+BB13+SUMIFS(Investments!$D:$D,Investments!$B:$B,$A13,Investments!$C:$C,"BTC",Investments!$A:$A,BC$8)</f>
        <v/>
      </c>
      <c r="BD13" s="62">
        <f>BC13*BD$4*(1-$B13)+BC13+SUMIFS(Investments!$D:$D,Investments!$B:$B,$A13,Investments!$C:$C,"BTC",Investments!$A:$A,BD$8)</f>
        <v/>
      </c>
      <c r="BE13" s="62">
        <f>BD13*BE$4*(1-$B13)+BD13+SUMIFS(Investments!$D:$D,Investments!$B:$B,$A13,Investments!$C:$C,"BTC",Investments!$A:$A,BE$8)</f>
        <v/>
      </c>
      <c r="BF13" s="62">
        <f>BE13*BF$4*(1-$B13)+BE13+SUMIFS(Investments!$D:$D,Investments!$B:$B,$A13,Investments!$C:$C,"BTC",Investments!$A:$A,BF$8)</f>
        <v/>
      </c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</row>
    <row r="14" ht="15.75" customHeight="1" s="252">
      <c r="A14" s="71" t="inlineStr">
        <is>
          <t>Danielle Richetta</t>
        </is>
      </c>
      <c r="B14" s="60" t="n">
        <v>0.1</v>
      </c>
      <c r="C14" s="60" t="n"/>
      <c r="D14" s="62" t="n"/>
      <c r="E14" s="62" t="n">
        <v>0</v>
      </c>
      <c r="F14" s="62" t="n">
        <v>0</v>
      </c>
      <c r="G14" s="62" t="n">
        <v>0</v>
      </c>
      <c r="H14" s="62" t="n">
        <v>5.2</v>
      </c>
      <c r="I14" s="62">
        <f>H14*$I$4*(1-$B14)+H14</f>
        <v/>
      </c>
      <c r="J14" s="62">
        <f>I14*$J$4*(1-$B14)+I14-0.27</f>
        <v/>
      </c>
      <c r="K14" s="62">
        <f>J14*$K$4*(1-$B14)+J14</f>
        <v/>
      </c>
      <c r="L14" s="62">
        <f>K14*$L$4*(1-$B14)+K14-0.124</f>
        <v/>
      </c>
      <c r="M14" s="62">
        <f>L14-L14</f>
        <v/>
      </c>
      <c r="N14" s="62">
        <f>M14*$N$4*(1-$B14)+M14</f>
        <v/>
      </c>
      <c r="O14" s="62">
        <f>N14*$O$4*(1-$B14)+N14</f>
        <v/>
      </c>
      <c r="P14" s="62">
        <f>O14*$P$4*(1-$B14)+O14</f>
        <v/>
      </c>
      <c r="Q14" s="62">
        <f>P14*$Q$4*(1-$B14)+P14</f>
        <v/>
      </c>
      <c r="R14" s="62">
        <f>Q14*$R$4*(1-$B14)+Q14+5.0334</f>
        <v/>
      </c>
      <c r="S14" s="62">
        <f>R14*$S$4*(1-$B14)+R14</f>
        <v/>
      </c>
      <c r="T14" s="62">
        <f>S14*$T$4*(1-$B14)+S14</f>
        <v/>
      </c>
      <c r="U14" s="62">
        <f>T14*$U$4*(1-$B14)+T14-0.13</f>
        <v/>
      </c>
      <c r="V14" s="62">
        <f>U14*$V$4*(1-$B14)+U14</f>
        <v/>
      </c>
      <c r="W14" s="62">
        <f>V14*$W$4*(1-$B14)+V14</f>
        <v/>
      </c>
      <c r="X14" s="62">
        <f>W14*$X$4*(1-$B14)+W14</f>
        <v/>
      </c>
      <c r="Y14" s="62">
        <f>X14*$Y$4*(1-$B14)+X14</f>
        <v/>
      </c>
      <c r="Z14" s="62">
        <f>Y14*$Z$4*(1-$B14)+Y14-0.26</f>
        <v/>
      </c>
      <c r="AA14" s="62">
        <f>Z14*$AA$4*(1-$B14)+Z14</f>
        <v/>
      </c>
      <c r="AB14" s="62">
        <f>AA14*$AB$4*(1-$B14)+AA14-0.11</f>
        <v/>
      </c>
      <c r="AC14" s="62">
        <f>AB14*$AC$4*(1-$B14)+AB14</f>
        <v/>
      </c>
      <c r="AD14" s="62">
        <f>AC14*$AD$4*(1-$B14)+AC14</f>
        <v/>
      </c>
      <c r="AE14" s="62">
        <f>AD14*$AE$4*(1-$B14)+AD14</f>
        <v/>
      </c>
      <c r="AF14" s="62">
        <f>AE14*$AF$4*(1-$B14)+AE14</f>
        <v/>
      </c>
      <c r="AG14" s="62">
        <f>AF14*$AG$4*(1-$B14)+AF14</f>
        <v/>
      </c>
      <c r="AH14" s="62">
        <f>AG14*$AH$4*(1-$B14)+AG14</f>
        <v/>
      </c>
      <c r="AI14" s="62">
        <f>AH14*$AI$4*(1-$B14)+AH14-0.283</f>
        <v/>
      </c>
      <c r="AJ14" s="62">
        <f>AI14*$AJ$4*(1-$B14)+AI14</f>
        <v/>
      </c>
      <c r="AK14" s="62">
        <f>AJ14*$AK$4*(1-$B14)+AJ14</f>
        <v/>
      </c>
      <c r="AL14" s="62">
        <f>AK14*$AL$4*(1-$B14)+AK14</f>
        <v/>
      </c>
      <c r="AM14" s="62">
        <f>AL14*$AM$4*(1-$B14)+AL14</f>
        <v/>
      </c>
      <c r="AN14" s="62">
        <f>AM14*$AN$4*(1-$B14)+AM14</f>
        <v/>
      </c>
      <c r="AO14" s="62">
        <f>AN14*$AO$4*(1-$B14)+AN14</f>
        <v/>
      </c>
      <c r="AP14" s="62">
        <f>AO14*$AP$4*(1-$B14)+AO14</f>
        <v/>
      </c>
      <c r="AQ14" s="62">
        <f>AP14*$AQ$4*(1-$B14)+AP14</f>
        <v/>
      </c>
      <c r="AR14" s="62">
        <f>AQ14*$AR$4*(1-$B14)+AQ14</f>
        <v/>
      </c>
      <c r="AS14" s="62">
        <f>AR14*$AS$4*(1-$B14)+AR14</f>
        <v/>
      </c>
      <c r="AT14" s="62">
        <f>AS14*$AT$4*(1-$B14)+AS14</f>
        <v/>
      </c>
      <c r="AU14" s="62">
        <f>AT14*$AU$4*(1-$B14)+AT14</f>
        <v/>
      </c>
      <c r="AV14" s="62">
        <f>AU14*$AV$4*(1-$B14)+AU14</f>
        <v/>
      </c>
      <c r="AW14" s="62">
        <f>AV14*$AW$4*(1-$B14)+AV14-0.12</f>
        <v/>
      </c>
      <c r="AX14" s="62">
        <f>AW14*$AX$4*(1-$B14)+AW14</f>
        <v/>
      </c>
      <c r="AY14" s="62">
        <f>AX14*$AY$4*(1-$B14)+AX14</f>
        <v/>
      </c>
      <c r="AZ14" s="62">
        <f>AY14*$AZ$4*(1-$B14)+AY14</f>
        <v/>
      </c>
      <c r="BA14" s="62">
        <f>AZ14*$BA$4*(1-$B14)+AZ14</f>
        <v/>
      </c>
      <c r="BB14" s="62">
        <f>BA14*BB$4*(1-$B14)+BA14+SUMIFS(Investments!$D:$D,Investments!$B:$B,$A14,Investments!$C:$C,"BTC",Investments!$A:$A,BB$8)</f>
        <v/>
      </c>
      <c r="BC14" s="62">
        <f>BB14*BC$4*(1-$B14)+BB14+SUMIFS(Investments!$D:$D,Investments!$B:$B,$A14,Investments!$C:$C,"BTC",Investments!$A:$A,BC$8)</f>
        <v/>
      </c>
      <c r="BD14" s="62">
        <f>BC14*BD$4*(1-$B14)+BC14-(BC14*BD$4*(1-$B14)+BC14)</f>
        <v/>
      </c>
      <c r="BE14" s="62">
        <f>BD14*BE$4*(1-$B14)+BD14-(BD14*BE$4*(1-$B14)+BD14)</f>
        <v/>
      </c>
      <c r="BF14" s="62">
        <f>BE14*BF$4*(1-$B14)+BE14-(BE14*BF$4*(1-$B14)+BE14)</f>
        <v/>
      </c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  <c r="BR14" s="13" t="n"/>
      <c r="BS14" s="13" t="n"/>
      <c r="BT14" s="13" t="n"/>
      <c r="BU14" s="13" t="n"/>
      <c r="BV14" s="13" t="n"/>
      <c r="BW14" s="13" t="n"/>
      <c r="BX14" s="13" t="n"/>
      <c r="BY14" s="13" t="n"/>
      <c r="BZ14" s="13" t="n"/>
    </row>
    <row r="15" ht="15.75" customHeight="1" s="252">
      <c r="A15" s="71" t="inlineStr">
        <is>
          <t>Kabbaj</t>
        </is>
      </c>
      <c r="B15" s="60" t="n">
        <v>0.2</v>
      </c>
      <c r="C15" s="60" t="n"/>
      <c r="D15" s="62" t="n"/>
      <c r="E15" s="62" t="n">
        <v>0</v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2</v>
      </c>
      <c r="W15" s="62">
        <f>V15*$W$4*(1-$B15)+V15</f>
        <v/>
      </c>
      <c r="X15" s="62">
        <f>W15*$X$4*(1-$B15)+W15+0.9914</f>
        <v/>
      </c>
      <c r="Y15" s="62">
        <f>X15*$Y$4*(1-$B15)+X15</f>
        <v/>
      </c>
      <c r="Z15" s="62">
        <f>Y15*$Z$4*(1-$B15)+Y15</f>
        <v/>
      </c>
      <c r="AA15" s="62">
        <f>Z15*$AA$4*(1-$B15)+Z15+0.6</f>
        <v/>
      </c>
      <c r="AB15" s="62">
        <f>AA15*$AB$4*(1-$B15)+AA15</f>
        <v/>
      </c>
      <c r="AC15" s="62">
        <f>AB15*$AC$4*(1-$B15)+AB15+0.9102</f>
        <v/>
      </c>
      <c r="AD15" s="62">
        <f>AC15*$AD$4*(1-$B15)+AC15</f>
        <v/>
      </c>
      <c r="AE15" s="62">
        <f>AD15*$AE$4*(1-$B15)+AD15</f>
        <v/>
      </c>
      <c r="AF15" s="62">
        <f>AE15*$AF$4*(1-$B15)+AE15</f>
        <v/>
      </c>
      <c r="AG15" s="62">
        <f>AF15*$AG$4*(1-$B15)+AF15</f>
        <v/>
      </c>
      <c r="AH15" s="62">
        <f>AG15*$AH$4*(1-$B15)+AG15</f>
        <v/>
      </c>
      <c r="AI15" s="62">
        <f>AH15*$AI$4*(1-$B15)+AH15</f>
        <v/>
      </c>
      <c r="AJ15" s="62">
        <f>AI15*$AJ$4*(1-$B15)+AI15</f>
        <v/>
      </c>
      <c r="AK15" s="62">
        <f>AJ15*$AK$4*(1-$B15)+AJ15</f>
        <v/>
      </c>
      <c r="AL15" s="62">
        <f>AK15*$AL$4*(1-$B15)+AK15</f>
        <v/>
      </c>
      <c r="AM15" s="62">
        <f>AL15*$AM$4*(1-$B15)+AL15</f>
        <v/>
      </c>
      <c r="AN15" s="62">
        <f>AM15*$AN$4*(1-$B15)+AM15</f>
        <v/>
      </c>
      <c r="AO15" s="62">
        <f>AN15*$AO$4*(1-$B15)+AN15</f>
        <v/>
      </c>
      <c r="AP15" s="62">
        <f>AO15*$AP$4*(1-$B15)+AO15</f>
        <v/>
      </c>
      <c r="AQ15" s="62">
        <f>AP15*$AQ$4*(1-$B15)+AP15</f>
        <v/>
      </c>
      <c r="AR15" s="62">
        <f>AQ15*$AR$4*(1-$B15)+AQ15</f>
        <v/>
      </c>
      <c r="AS15" s="62">
        <f>AR15*$AS$4*(1-$B15)+AR15</f>
        <v/>
      </c>
      <c r="AT15" s="62">
        <f>AS15*$AT$4*(1-$B15)+AS15</f>
        <v/>
      </c>
      <c r="AU15" s="62">
        <f>AT15*$AU$4*(1-$B15)+AT15+2.1577</f>
        <v/>
      </c>
      <c r="AV15" s="62">
        <f>AU15*$AV$4*(1-$B15)+AU15</f>
        <v/>
      </c>
      <c r="AW15" s="62">
        <f>AV15*$AW$4*(1-$B15)+AV15</f>
        <v/>
      </c>
      <c r="AX15" s="62">
        <f>AW15*$AX$4*(1-$B15)+AW15</f>
        <v/>
      </c>
      <c r="AY15" s="62">
        <f>AX15*$AY$4*(1-$B15)+AX15</f>
        <v/>
      </c>
      <c r="AZ15" s="62">
        <f>AY15*$AZ$4*(1-$B15)+AY15</f>
        <v/>
      </c>
      <c r="BA15" s="62">
        <f>AZ15*$BA$4*(1-$B15)+AZ15</f>
        <v/>
      </c>
      <c r="BB15" s="62">
        <f>BA15*BB$4*(1-$B15)+BA15+SUMIFS(Investments!$D:$D,Investments!$B:$B,$A15,Investments!$C:$C,"BTC",Investments!$A:$A,BB$8)</f>
        <v/>
      </c>
      <c r="BC15" s="62">
        <f>BB15*BC$4*(1-$B15)+BB15+SUMIFS(Investments!$D:$D,Investments!$B:$B,$A15,Investments!$C:$C,"BTC",Investments!$A:$A,BC$8)</f>
        <v/>
      </c>
      <c r="BD15" s="62">
        <f>BC15*BD$4*(1-$B15)+BC15+SUMIFS(Investments!$D:$D,Investments!$B:$B,$A15,Investments!$C:$C,"BTC",Investments!$A:$A,BD$8)</f>
        <v/>
      </c>
      <c r="BE15" s="62">
        <f>BD15*BE$4*(1-$B15)+BD15+SUMIFS(Investments!$D:$D,Investments!$B:$B,$A15,Investments!$C:$C,"BTC",Investments!$A:$A,BE$8)</f>
        <v/>
      </c>
      <c r="BF15" s="62">
        <f>BE15*BF$4*(1-$B15)+BE15+SUMIFS(Investments!$D:$D,Investments!$B:$B,$A15,Investments!$C:$C,"BTC",Investments!$A:$A,BF$8)</f>
        <v/>
      </c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</row>
    <row r="16" ht="15.75" customHeight="1" s="252">
      <c r="A16" s="71" t="inlineStr">
        <is>
          <t>Victoria Pariente-Cohen</t>
        </is>
      </c>
      <c r="B16" s="60" t="n">
        <v>0</v>
      </c>
      <c r="C16" s="60" t="n"/>
      <c r="D16" s="62" t="n"/>
      <c r="E16" s="62" t="n">
        <v>0</v>
      </c>
      <c r="F16" s="62" t="n">
        <v>0</v>
      </c>
      <c r="G16" s="62" t="n">
        <v>0</v>
      </c>
      <c r="H16" s="62" t="n">
        <v>0</v>
      </c>
      <c r="I16" s="62" t="n">
        <v>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>
        <f>W16*$X$4*(1-$B16)+W16+0.1484</f>
        <v/>
      </c>
      <c r="Y16" s="62">
        <f>X16*$Y$4*(1-$B16)+X16</f>
        <v/>
      </c>
      <c r="Z16" s="62">
        <f>Y16*$Z$4*(1-$B16)+Y16</f>
        <v/>
      </c>
      <c r="AA16" s="62">
        <f>Z16*$AA$4*(1-$B16)+Z16</f>
        <v/>
      </c>
      <c r="AB16" s="62">
        <f>AA16*$AB$4*(1-$B16)+AA16</f>
        <v/>
      </c>
      <c r="AC16" s="62">
        <f>AB16*$AC$4*(1-$B16)+AB16</f>
        <v/>
      </c>
      <c r="AD16" s="62">
        <f>AC16*$AD$4*(1-$B16)+AC16</f>
        <v/>
      </c>
      <c r="AE16" s="62">
        <f>AD16*$AE$4*(1-$B16)+AD16</f>
        <v/>
      </c>
      <c r="AF16" s="62">
        <f>AE16*$AF$4*(1-$B16)+AE16</f>
        <v/>
      </c>
      <c r="AG16" s="62">
        <f>AF16*$AG$4*(1-$B16)+AF16</f>
        <v/>
      </c>
      <c r="AH16" s="62">
        <f>AG16*$AH$4*(1-$B16)+AG16</f>
        <v/>
      </c>
      <c r="AI16" s="62">
        <f>AH16*$AI$4*(1-$B16)+AH16</f>
        <v/>
      </c>
      <c r="AJ16" s="62">
        <f>AI16*$AJ$4*(1-$B16)+AI16</f>
        <v/>
      </c>
      <c r="AK16" s="62">
        <f>AJ16*$AK$4*(1-$B16)+AJ16</f>
        <v/>
      </c>
      <c r="AL16" s="62">
        <f>AK16*$AL$4*(1-$B16)+AK16</f>
        <v/>
      </c>
      <c r="AM16" s="62">
        <f>AL16*$AM$4*(1-$B16)+AL16</f>
        <v/>
      </c>
      <c r="AN16" s="62">
        <f>AM16*$AN$4*(1-$B16)+AM16</f>
        <v/>
      </c>
      <c r="AO16" s="62">
        <f>AN16*$AO$4*(1-$B16)+AN16</f>
        <v/>
      </c>
      <c r="AP16" s="62">
        <f>AO16*$AP$4*(1-$B16)+AO16</f>
        <v/>
      </c>
      <c r="AQ16" s="62">
        <f>AP16*$AQ$4*(1-$B16)+AP16</f>
        <v/>
      </c>
      <c r="AR16" s="62">
        <f>AQ16*$AR$4*(1-$B16)+AQ16</f>
        <v/>
      </c>
      <c r="AS16" s="62">
        <f>AR16*$AS$4*(1-$B16)+AR16</f>
        <v/>
      </c>
      <c r="AT16" s="62">
        <f>AS16*$AT$4*(1-$B16)+AS16</f>
        <v/>
      </c>
      <c r="AU16" s="62">
        <f>AT16*$AU$4*(1-$B16)+AT16</f>
        <v/>
      </c>
      <c r="AV16" s="62">
        <f>AU16*$AV$4*(1-$B16)+AU16</f>
        <v/>
      </c>
      <c r="AW16" s="62">
        <f>AV16*$AW$4*(1-$B16)+AV16</f>
        <v/>
      </c>
      <c r="AX16" s="62">
        <f>AW16*$AX$4*(1-$B16)+AW16</f>
        <v/>
      </c>
      <c r="AY16" s="62">
        <f>AX16*$AY$4*(1-$B16)+AX16</f>
        <v/>
      </c>
      <c r="AZ16" s="62">
        <f>AY16*$AZ$4*(1-$B16)+AY16</f>
        <v/>
      </c>
      <c r="BA16" s="62">
        <f>AZ16*$BA$4*(1-$B16)+AZ16</f>
        <v/>
      </c>
      <c r="BB16" s="62">
        <f>BA16*BB$4*(1-$B16)+BA16+SUMIFS(Investments!$D:$D,Investments!$B:$B,$A16,Investments!$C:$C,"BTC",Investments!$A:$A,BB$8)</f>
        <v/>
      </c>
      <c r="BC16" s="62">
        <f>BB16*BC$4*(1-$B16)+BB16+SUMIFS(Investments!$D:$D,Investments!$B:$B,$A16,Investments!$C:$C,"BTC",Investments!$A:$A,BC$8)</f>
        <v/>
      </c>
      <c r="BD16" s="62">
        <f>BC16*BD$4*(1-$B16)+BC16+SUMIFS(Investments!$D:$D,Investments!$B:$B,$A16,Investments!$C:$C,"BTC",Investments!$A:$A,BD$8)</f>
        <v/>
      </c>
      <c r="BE16" s="62">
        <f>BD16*BE$4*(1-$B16)+BD16+SUMIFS(Investments!$D:$D,Investments!$B:$B,$A16,Investments!$C:$C,"BTC",Investments!$A:$A,BE$8)</f>
        <v/>
      </c>
      <c r="BF16" s="62">
        <f>BE16*BF$4*(1-$B16)+BE16+SUMIFS(Investments!$D:$D,Investments!$B:$B,$A16,Investments!$C:$C,"BTC",Investments!$A:$A,BF$8)</f>
        <v/>
      </c>
      <c r="BG16" s="16" t="n"/>
      <c r="BH16" s="16" t="n"/>
      <c r="BI16" s="16" t="n"/>
      <c r="BJ16" s="16" t="n"/>
      <c r="BK16" s="16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  <c r="BX16" s="16" t="n"/>
      <c r="BY16" s="16" t="n"/>
      <c r="BZ16" s="16" t="n"/>
    </row>
    <row r="17" ht="15.75" customHeight="1" s="252">
      <c r="A17" s="71" t="inlineStr">
        <is>
          <t>Nathanaël Cohen</t>
        </is>
      </c>
      <c r="B17" s="60" t="n">
        <v>0</v>
      </c>
      <c r="C17" s="60" t="n"/>
      <c r="D17" s="62" t="n"/>
      <c r="E17" s="62" t="n">
        <v>0</v>
      </c>
      <c r="F17" s="62" t="n">
        <v>0</v>
      </c>
      <c r="G17" s="62" t="n">
        <v>0</v>
      </c>
      <c r="H17" s="62" t="n">
        <v>0</v>
      </c>
      <c r="I17" s="62" t="n">
        <v>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0</v>
      </c>
      <c r="W17" s="62" t="n">
        <v>0</v>
      </c>
      <c r="X17" s="62">
        <f>W17*$X$4*(1-$B17)+W17+0.446</f>
        <v/>
      </c>
      <c r="Y17" s="62">
        <f>X17*$Y$4*(1-$B17)+X17</f>
        <v/>
      </c>
      <c r="Z17" s="62">
        <f>Y17*$Z$4*(1-$B17)+Y17</f>
        <v/>
      </c>
      <c r="AA17" s="62">
        <f>Z17*$AA$4*(1-$B17)+Z17</f>
        <v/>
      </c>
      <c r="AB17" s="62">
        <f>AA17*$AB$4*(1-$B17)+AA17</f>
        <v/>
      </c>
      <c r="AC17" s="62">
        <f>AB17*$AC$4*(1-$B17)+AB17</f>
        <v/>
      </c>
      <c r="AD17" s="62">
        <f>AC17*$AD$4*(1-$B17)+AC17</f>
        <v/>
      </c>
      <c r="AE17" s="62">
        <f>AD17*$AE$4*(1-$B17)+AD17</f>
        <v/>
      </c>
      <c r="AF17" s="62">
        <f>AE17*$AF$4*(1-$B17)+AE17</f>
        <v/>
      </c>
      <c r="AG17" s="62">
        <f>AF17*$AG$4*(1-$B17)+AF17</f>
        <v/>
      </c>
      <c r="AH17" s="62">
        <f>AG17*$AH$4*(1-$B17)+AG17</f>
        <v/>
      </c>
      <c r="AI17" s="62">
        <f>AH17*$AI$4*(1-$B17)+AH17</f>
        <v/>
      </c>
      <c r="AJ17" s="62">
        <f>AI17*$AJ$4*(1-$B17)+AI17</f>
        <v/>
      </c>
      <c r="AK17" s="62">
        <f>AJ17*$AK$4*(1-$B17)+AJ17</f>
        <v/>
      </c>
      <c r="AL17" s="62">
        <f>AK17*$AL$4*(1-$B17)+AK17</f>
        <v/>
      </c>
      <c r="AM17" s="62">
        <f>AL17*$AM$4*(1-$B17)+AL17</f>
        <v/>
      </c>
      <c r="AN17" s="62">
        <f>AM17*$AN$4*(1-$B17)+AM17</f>
        <v/>
      </c>
      <c r="AO17" s="62">
        <f>AN17*$AO$4*(1-$B17)+AN17</f>
        <v/>
      </c>
      <c r="AP17" s="62">
        <f>AO17*$AP$4*(1-$B17)+AO17</f>
        <v/>
      </c>
      <c r="AQ17" s="62">
        <f>AP17*$AQ$4*(1-$B17)+AP17</f>
        <v/>
      </c>
      <c r="AR17" s="62">
        <f>AQ17*$AR$4*(1-$B17)+AQ17</f>
        <v/>
      </c>
      <c r="AS17" s="62">
        <f>AR17*$AS$4*(1-$B17)+AR17</f>
        <v/>
      </c>
      <c r="AT17" s="62">
        <f>AS17*$AT$4*(1-$B17)+AS17</f>
        <v/>
      </c>
      <c r="AU17" s="62">
        <f>AT17*$AU$4*(1-$B17)+AT17</f>
        <v/>
      </c>
      <c r="AV17" s="62">
        <f>AU17*$AV$4*(1-$B17)+AU17</f>
        <v/>
      </c>
      <c r="AW17" s="62">
        <f>AV17*$AW$4*(1-$B17)+AV17</f>
        <v/>
      </c>
      <c r="AX17" s="62">
        <f>AW17*$AX$4*(1-$B17)+AW17</f>
        <v/>
      </c>
      <c r="AY17" s="62">
        <f>AX17*$AY$4*(1-$B17)+AX17</f>
        <v/>
      </c>
      <c r="AZ17" s="62">
        <f>AY17*$AZ$4*(1-$B17)+AY17</f>
        <v/>
      </c>
      <c r="BA17" s="62">
        <f>AZ17*$BA$4*(1-$B17)+AZ17</f>
        <v/>
      </c>
      <c r="BB17" s="62">
        <f>BA17*BB$4*(1-$B17)+BA17+SUMIFS(Investments!$D:$D,Investments!$B:$B,$A17,Investments!$C:$C,"BTC",Investments!$A:$A,BB$8)</f>
        <v/>
      </c>
      <c r="BC17" s="62">
        <f>BB17*BC$4*(1-$B17)+BB17+SUMIFS(Investments!$D:$D,Investments!$B:$B,$A17,Investments!$C:$C,"BTC",Investments!$A:$A,BC$8)</f>
        <v/>
      </c>
      <c r="BD17" s="62">
        <f>BC17*BD$4*(1-$B17)+BC17+SUMIFS(Investments!$D:$D,Investments!$B:$B,$A17,Investments!$C:$C,"BTC",Investments!$A:$A,BD$8)</f>
        <v/>
      </c>
      <c r="BE17" s="62">
        <f>BD17*BE$4*(1-$B17)+BD17+SUMIFS(Investments!$D:$D,Investments!$B:$B,$A17,Investments!$C:$C,"BTC",Investments!$A:$A,BE$8)</f>
        <v/>
      </c>
      <c r="BF17" s="62">
        <f>BE17*BF$4*(1-$B17)+BE17+SUMIFS(Investments!$D:$D,Investments!$B:$B,$A17,Investments!$C:$C,"BTC",Investments!$A:$A,BF$8)</f>
        <v/>
      </c>
    </row>
    <row r="18" ht="15.75" customHeight="1" s="252">
      <c r="A18" s="71" t="inlineStr">
        <is>
          <t>Blondish</t>
        </is>
      </c>
      <c r="B18" s="60" t="n">
        <v>0</v>
      </c>
      <c r="C18" s="60" t="n"/>
      <c r="D18" s="62" t="n"/>
      <c r="E18" s="62" t="n">
        <v>0</v>
      </c>
      <c r="F18" s="62" t="n">
        <v>0</v>
      </c>
      <c r="G18" s="62" t="n">
        <v>0</v>
      </c>
      <c r="H18" s="62" t="n">
        <v>0</v>
      </c>
      <c r="I18" s="62" t="n">
        <v>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2" t="n">
        <v>0</v>
      </c>
      <c r="P18" s="62" t="n">
        <v>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>
        <f>W18*$X$4*(1-$B18)+W18+4.0996</f>
        <v/>
      </c>
      <c r="Y18" s="62">
        <f>X18*$Y$4*(1-$B18)+X18</f>
        <v/>
      </c>
      <c r="Z18" s="62">
        <f>Y18*$Z$4*(1-$B18)+Y18</f>
        <v/>
      </c>
      <c r="AA18" s="62">
        <f>Z18*$AA$4*(1-$B18)+Z18</f>
        <v/>
      </c>
      <c r="AB18" s="62">
        <f>AA18*$AB$4*(1-$B18)+AA18</f>
        <v/>
      </c>
      <c r="AC18" s="62">
        <f>AB18*$AC$4*(1-$B18)+AB18</f>
        <v/>
      </c>
      <c r="AD18" s="62">
        <f>AC18*$AD$4*(1-$B18)+AC18</f>
        <v/>
      </c>
      <c r="AE18" s="62">
        <f>AD18*$AE$4*(1-$B18)+AD18</f>
        <v/>
      </c>
      <c r="AF18" s="62">
        <f>AE18*$AF$4*(1-$B18)+AE18</f>
        <v/>
      </c>
      <c r="AG18" s="62">
        <f>AF18*$AG$4*(1-$B18)+AF18</f>
        <v/>
      </c>
      <c r="AH18" s="62">
        <f>AG18*$AH$4*(1-$B18)+AG18</f>
        <v/>
      </c>
      <c r="AI18" s="62">
        <f>AH18*$AI$4*(1-$B18)+AH18</f>
        <v/>
      </c>
      <c r="AJ18" s="62">
        <f>AI18*$AJ$4*(1-$B18)+AI18</f>
        <v/>
      </c>
      <c r="AK18" s="62">
        <f>AJ18*$AK$4*(1-$B18)+AJ18</f>
        <v/>
      </c>
      <c r="AL18" s="62">
        <f>AK18*$AL$4*(1-$B18)+AK18</f>
        <v/>
      </c>
      <c r="AM18" s="62">
        <f>AL18*$AM$4*(1-$B18)+AL18</f>
        <v/>
      </c>
      <c r="AN18" s="62">
        <f>AM18*$AN$4*(1-$B18)+AM18</f>
        <v/>
      </c>
      <c r="AO18" s="62">
        <f>AN18*$AO$4*(1-$B18)+AN18</f>
        <v/>
      </c>
      <c r="AP18" s="62">
        <f>AO18*$AP$4*(1-$B18)+AO18</f>
        <v/>
      </c>
      <c r="AQ18" s="62">
        <f>AP18*$AQ$4*(1-$B18)+AP18</f>
        <v/>
      </c>
      <c r="AR18" s="62">
        <f>AQ18*$AR$4*(1-$B18)+AQ18</f>
        <v/>
      </c>
      <c r="AS18" s="62">
        <f>AR18*$AS$4*(1-$B18)+AR18</f>
        <v/>
      </c>
      <c r="AT18" s="62">
        <f>AS18*$AT$4*(1-$B18)+AS18</f>
        <v/>
      </c>
      <c r="AU18" s="62">
        <f>AT18*$AU$4*(1-$B18)+AT18</f>
        <v/>
      </c>
      <c r="AV18" s="62">
        <f>AU18*$AV$4*(1-$B18)+AU18</f>
        <v/>
      </c>
      <c r="AW18" s="62">
        <f>AV18*$AW$4*(1-$B18)+AV18</f>
        <v/>
      </c>
      <c r="AX18" s="62">
        <f>AW18*$AX$4*(1-$B18)+AW18</f>
        <v/>
      </c>
      <c r="AY18" s="62">
        <f>AX18*$AY$4*(1-$B18)+AX18</f>
        <v/>
      </c>
      <c r="AZ18" s="62">
        <f>AY18*$AZ$4*(1-$B18)+AY18</f>
        <v/>
      </c>
      <c r="BA18" s="62">
        <f>AZ18*$BA$4*(1-$B18)+AZ18</f>
        <v/>
      </c>
      <c r="BB18" s="62">
        <f>BA18*BB$4*(1-$B18)+BA18+SUMIFS(Investments!$D:$D,Investments!$B:$B,$A18,Investments!$C:$C,"BTC",Investments!$A:$A,BB$8)</f>
        <v/>
      </c>
      <c r="BC18" s="62">
        <f>BB18*BC$4*(1-$B18)+BB18+SUMIFS(Investments!$D:$D,Investments!$B:$B,$A18,Investments!$C:$C,"BTC",Investments!$A:$A,BC$8)</f>
        <v/>
      </c>
      <c r="BD18" s="62">
        <f>BC18*BD$4*(1-$B18)+BC18+SUMIFS(Investments!$D:$D,Investments!$B:$B,$A18,Investments!$C:$C,"BTC",Investments!$A:$A,BD$8)</f>
        <v/>
      </c>
      <c r="BE18" s="62">
        <f>BD18*BE$4*(1-$B18)+BD18+SUMIFS(Investments!$D:$D,Investments!$B:$B,$A18,Investments!$C:$C,"BTC",Investments!$A:$A,BE$8)</f>
        <v/>
      </c>
      <c r="BF18" s="62">
        <f>BE18*BF$4*(1-$B18)+BE18+SUMIFS(Investments!$D:$D,Investments!$B:$B,$A18,Investments!$C:$C,"BTC",Investments!$A:$A,BF$8)</f>
        <v/>
      </c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</row>
    <row r="19" ht="15.75" customHeight="1" s="252">
      <c r="A19" s="71" t="inlineStr">
        <is>
          <t>Oliver Loisel</t>
        </is>
      </c>
      <c r="B19" s="60" t="n">
        <v>0.1</v>
      </c>
      <c r="C19" s="60" t="n"/>
      <c r="D19" s="62" t="n"/>
      <c r="E19" s="62" t="n">
        <v>0</v>
      </c>
      <c r="F19" s="62" t="n">
        <v>0</v>
      </c>
      <c r="G19" s="62" t="n">
        <v>0</v>
      </c>
      <c r="H19" s="62" t="n">
        <v>0</v>
      </c>
      <c r="I19" s="62" t="n">
        <v>0</v>
      </c>
      <c r="J19" s="62" t="n">
        <v>0</v>
      </c>
      <c r="K19" s="62" t="n">
        <v>0</v>
      </c>
      <c r="L19" s="62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>
        <f>X19*$Y$4*(1-$B19)+X19+2.115364</f>
        <v/>
      </c>
      <c r="Z19" s="62">
        <f>Y19*$Z$4*(1-$B19)+Y19</f>
        <v/>
      </c>
      <c r="AA19" s="62">
        <f>Z19*$AA$4*(1-$B19)+Z19</f>
        <v/>
      </c>
      <c r="AB19" s="62">
        <f>AA19*$AB$4*(1-$B19)+AA19</f>
        <v/>
      </c>
      <c r="AC19" s="62">
        <f>AB19*$AC$4*(1-$B19)+AB19</f>
        <v/>
      </c>
      <c r="AD19" s="62">
        <f>AC19*$AD$4*(1-$B19)+AC19</f>
        <v/>
      </c>
      <c r="AE19" s="62">
        <f>AD19*$AE$4*(1-$B19)+AD19</f>
        <v/>
      </c>
      <c r="AF19" s="62">
        <f>AE19*$AF$4*(1-$B19)+AE19</f>
        <v/>
      </c>
      <c r="AG19" s="62">
        <f>AF19*$AG$4*(1-$B19)+AF19</f>
        <v/>
      </c>
      <c r="AH19" s="62">
        <f>AG19*$AH$4*(1-$B19)+AG19</f>
        <v/>
      </c>
      <c r="AI19" s="62">
        <f>AH19*$AI$4*(1-$B19)+AH19</f>
        <v/>
      </c>
      <c r="AJ19" s="62">
        <f>AI19*$AJ$4*(1-$B19)+AI19</f>
        <v/>
      </c>
      <c r="AK19" s="62">
        <f>AJ19*$AK$4*(1-$B19)+AJ19</f>
        <v/>
      </c>
      <c r="AL19" s="62">
        <f>AK19*$AL$4*(1-$B19)+AK19</f>
        <v/>
      </c>
      <c r="AM19" s="62">
        <f>AL19*$AM$4*(1-$B19)+AL19</f>
        <v/>
      </c>
      <c r="AN19" s="62">
        <f>AM19*$AN$4*(1-$B19)+AM19</f>
        <v/>
      </c>
      <c r="AO19" s="62">
        <f>AN19*$AO$4*(1-$B19)+AN19</f>
        <v/>
      </c>
      <c r="AP19" s="62">
        <f>AO19*$AP$4*(1-$B19)+AO19</f>
        <v/>
      </c>
      <c r="AQ19" s="62">
        <f>AP19*$AQ$4*(1-$B19)+AP19</f>
        <v/>
      </c>
      <c r="AR19" s="62">
        <f>AQ19*$AR$4*(1-$B19)+AQ19</f>
        <v/>
      </c>
      <c r="AS19" s="62">
        <f>AR19*$AS$4*(1-$B19)+AR19</f>
        <v/>
      </c>
      <c r="AT19" s="62">
        <f>AS19*$AT$4*(1-$B19)+AS19</f>
        <v/>
      </c>
      <c r="AU19" s="62">
        <f>AT19*$AU$4*(1-$B19)+AT19</f>
        <v/>
      </c>
      <c r="AV19" s="62">
        <f>AU19*$AV$4*(1-$B19)+AU19</f>
        <v/>
      </c>
      <c r="AW19" s="62">
        <f>AV19*$AW$4*(1-$B19)+AV19</f>
        <v/>
      </c>
      <c r="AX19" s="62">
        <f>AW19*$AX$4*(1-$B19)+AW19</f>
        <v/>
      </c>
      <c r="AY19" s="62">
        <f>AX19*$AY$4*(1-$B19)+AX19</f>
        <v/>
      </c>
      <c r="AZ19" s="62">
        <f>AY19*$AZ$4*(1-$B19)+AY19</f>
        <v/>
      </c>
      <c r="BA19" s="62">
        <f>AZ19*$BA$4*(1-$B19)+AZ19</f>
        <v/>
      </c>
      <c r="BB19" s="62">
        <f>BA19*BB$4*(1-$B19)+BA19+SUMIFS(Investments!$D:$D,Investments!$B:$B,$A19,Investments!$C:$C,"BTC",Investments!$A:$A,BB$8)</f>
        <v/>
      </c>
      <c r="BC19" s="62">
        <f>BB19*BC$4*(1-$B19)+BB19+SUMIFS(Investments!$D:$D,Investments!$B:$B,$A19,Investments!$C:$C,"BTC",Investments!$A:$A,BC$8)</f>
        <v/>
      </c>
      <c r="BD19" s="62">
        <f>BC19*BD$4*(1-$B19)+BC19+SUMIFS(Investments!$D:$D,Investments!$B:$B,$A19,Investments!$C:$C,"BTC",Investments!$A:$A,BD$8)</f>
        <v/>
      </c>
      <c r="BE19" s="62">
        <f>BD19*BE$4*(1-$B19)+BD19+SUMIFS(Investments!$D:$D,Investments!$B:$B,$A19,Investments!$C:$C,"BTC",Investments!$A:$A,BE$8)</f>
        <v/>
      </c>
      <c r="BF19" s="62">
        <f>BE19*BF$4*(1-$B19)+BE19+SUMIFS(Investments!$D:$D,Investments!$B:$B,$A19,Investments!$C:$C,"BTC",Investments!$A:$A,BF$8)</f>
        <v/>
      </c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</row>
    <row r="20" ht="15.75" customHeight="1" s="252">
      <c r="A20" s="71" t="inlineStr">
        <is>
          <t>Paul Johnson</t>
        </is>
      </c>
      <c r="B20" s="60" t="n">
        <v>0.135</v>
      </c>
      <c r="C20" s="60" t="n">
        <v>0.015</v>
      </c>
      <c r="D20" s="62" t="n"/>
      <c r="E20" s="62" t="n">
        <v>0</v>
      </c>
      <c r="F20" s="62" t="n">
        <v>0</v>
      </c>
      <c r="G20" s="62" t="n">
        <v>0</v>
      </c>
      <c r="H20" s="62" t="n">
        <v>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2" t="n">
        <v>0</v>
      </c>
      <c r="AB20" s="62" t="n">
        <v>0</v>
      </c>
      <c r="AC20" s="62" t="n">
        <v>0</v>
      </c>
      <c r="AD20" s="62" t="n">
        <v>0</v>
      </c>
      <c r="AE20" s="62" t="n">
        <v>0</v>
      </c>
      <c r="AF20" s="62">
        <f>AE20*$AF$4*(1-$B20-$C20)+AE20+0.4395</f>
        <v/>
      </c>
      <c r="AG20" s="62">
        <f>AF20*$AG$4*(1-$B20-$C20)+AF20</f>
        <v/>
      </c>
      <c r="AH20" s="62">
        <f>AG20*$AH$4*(1-$B20-$C20)+AG20</f>
        <v/>
      </c>
      <c r="AI20" s="62">
        <f>AH20*$AI$4*(1-$B20-$C20)+AH20-(AH20*$AI$4*(1-$B20-$C20)+AH20)</f>
        <v/>
      </c>
      <c r="AJ20" s="62">
        <f>AI20*$AJ$4*(1-$B20-$C20)+AI20-(AI20*$AJ$4*(1-$B20-$C20)+AI20)</f>
        <v/>
      </c>
      <c r="AK20" s="62">
        <f>AJ20*$AK$4*(1-$B20-$C20)+AJ20</f>
        <v/>
      </c>
      <c r="AL20" s="62">
        <f>AK20*$AL$4*(1-$B20-$C20)+AK20</f>
        <v/>
      </c>
      <c r="AM20" s="62">
        <f>AL20*$AM$4*(1-$B20-$C20)+AL20</f>
        <v/>
      </c>
      <c r="AN20" s="62">
        <f>AM20*$AN$4*(1-$B20-$C20)+AM20</f>
        <v/>
      </c>
      <c r="AO20" s="62">
        <f>AN20*$AO$4*(1-$B20-$C20)+AN20</f>
        <v/>
      </c>
      <c r="AP20" s="62">
        <f>AO20*$AP$4*(1-$B20-$C20)+AO20</f>
        <v/>
      </c>
      <c r="AQ20" s="62">
        <f>AP20*$AQ$4*(1-$B20-$C20)+AP20</f>
        <v/>
      </c>
      <c r="AR20" s="62">
        <f>AQ20*$AR$4*(1-$B20-$C20)+AQ20</f>
        <v/>
      </c>
      <c r="AS20" s="62">
        <f>AR20*$AS$4*(1-$B20-$C20)+AR20</f>
        <v/>
      </c>
      <c r="AT20" s="62">
        <f>AS20*$AT$4*(1-$B20-$C20)+AS20</f>
        <v/>
      </c>
      <c r="AU20" s="62">
        <f>AT20*$AU$4*(1-$B20-$C20)+AT20</f>
        <v/>
      </c>
      <c r="AV20" s="62">
        <f>AU20*$AV$4*(1-$B20-$C20)+AU20</f>
        <v/>
      </c>
      <c r="AW20" s="62">
        <f>AV20*$AW$4*(1-$B20-$C20)+AV20</f>
        <v/>
      </c>
      <c r="AX20" s="62">
        <f>AW20*$AX$4*(1-$B20-$C20)+AW20</f>
        <v/>
      </c>
      <c r="AY20" s="62">
        <f>AX20*$AY$4*(1-$B20-$C20)+AX20</f>
        <v/>
      </c>
      <c r="AZ20" s="62">
        <f>AY20*$AZ$4*(1-$B20-$C20)+AY20</f>
        <v/>
      </c>
      <c r="BA20" s="62">
        <f>AZ20*$BA$4*(1-$B20-$C20)+AZ20</f>
        <v/>
      </c>
      <c r="BB20" s="62">
        <f>BA20*BB$4*(1-$B20-$C20)+BA20+SUMIFS(Investments!$D:$D,Investments!$B:$B,$A20,Investments!$C:$C,"BTC",Investments!$A:$A,BB$8)</f>
        <v/>
      </c>
      <c r="BC20" s="62">
        <f>BB20*BC$4*(1-$B20-$C20)+BB20+SUMIFS(Investments!$D:$D,Investments!$B:$B,$A20,Investments!$C:$C,"BTC",Investments!$A:$A,BC$8)</f>
        <v/>
      </c>
      <c r="BD20" s="62">
        <f>BC20*BD$4*(1-$B20-$C20)+BC20+SUMIFS(Investments!$D:$D,Investments!$B:$B,$A20,Investments!$C:$C,"BTC",Investments!$A:$A,BD$8)</f>
        <v/>
      </c>
      <c r="BE20" s="62">
        <f>BD20*BE$4*(1-$B20-$C20)+BD20+SUMIFS(Investments!$D:$D,Investments!$B:$B,$A20,Investments!$C:$C,"BTC",Investments!$A:$A,BE$8)</f>
        <v/>
      </c>
      <c r="BF20" s="62">
        <f>BE20*BF$4*(1-$B20-$C20)+BE20+SUMIFS(Investments!$D:$D,Investments!$B:$B,$A20,Investments!$C:$C,"BTC",Investments!$A:$A,BF$8)</f>
        <v/>
      </c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</row>
    <row r="21" ht="15.75" customHeight="1" s="252">
      <c r="A21" s="71" t="inlineStr">
        <is>
          <t>Alex Jacobs</t>
        </is>
      </c>
      <c r="B21" s="60" t="n">
        <v>0.2</v>
      </c>
      <c r="C21" s="60" t="n"/>
      <c r="D21" s="62" t="n"/>
      <c r="E21" s="62" t="n">
        <v>0</v>
      </c>
      <c r="F21" s="62" t="n">
        <v>0</v>
      </c>
      <c r="G21" s="62" t="n">
        <v>0</v>
      </c>
      <c r="H21" s="62" t="n">
        <v>0</v>
      </c>
      <c r="I21" s="62" t="n">
        <v>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2" t="n">
        <v>0</v>
      </c>
      <c r="AB21" s="62" t="n">
        <v>0</v>
      </c>
      <c r="AC21" s="62" t="n">
        <v>0</v>
      </c>
      <c r="AD21" s="62" t="n">
        <v>0</v>
      </c>
      <c r="AE21" s="62" t="n">
        <v>0</v>
      </c>
      <c r="AF21" s="62">
        <f>AE21*$AF$4*(1-$B21)+AE21+(AE20*$AF$4*$C20)</f>
        <v/>
      </c>
      <c r="AG21" s="62">
        <f>AF21*$AG$4*(1-$B21)+AF21+(AF20*$AG$4*$C20)</f>
        <v/>
      </c>
      <c r="AH21" s="62">
        <f>AG21*$AH$4*(1-$B21)+AG21+(AG20*$AH$4*$C20)</f>
        <v/>
      </c>
      <c r="AI21" s="62">
        <f>AH21*$AI$4*(1-$B21)+AH21+(AH20*$AI$4*$C20)</f>
        <v/>
      </c>
      <c r="AJ21" s="62">
        <f>AI21*$AJ$4*(1-$B21)+AI21+(AI20*$AJ$4*$C20)</f>
        <v/>
      </c>
      <c r="AK21" s="62">
        <f>AJ21*$AK$4*(1-$B21)+AJ21+(AJ20*$AK$4*$C20)</f>
        <v/>
      </c>
      <c r="AL21" s="62">
        <f>AK21*$AL$4*(1-$B21)+AK21+(AK20*$AL$4*$C20)</f>
        <v/>
      </c>
      <c r="AM21" s="62">
        <f>AL21*$AM$4*(1-$B21)+AL21+(AL20*$AM$4*$C20)</f>
        <v/>
      </c>
      <c r="AN21" s="62">
        <f>AM21*$AN$4*(1-$B21)+AM21+(AM20*$AN$4*$C20)</f>
        <v/>
      </c>
      <c r="AO21" s="62">
        <f>AN21*$AO$4*(1-$B21)+AN21+(AN20*$AO$4*$C20)</f>
        <v/>
      </c>
      <c r="AP21" s="62">
        <f>AO21*$AP$4*(1-$B21)+AO21+(AO20*$AP$4*$C20)</f>
        <v/>
      </c>
      <c r="AQ21" s="62">
        <f>AP21*$AQ$4*(1-$B21)+AP21+(AP20*$AQ$4*$C20)</f>
        <v/>
      </c>
      <c r="AR21" s="62">
        <f>AQ21*$AR$4*(1-$B21)+AQ21+(AQ20*$AR$4*$C20)</f>
        <v/>
      </c>
      <c r="AS21" s="62">
        <f>AR21*$AS$4*(1-$B21)+AR21+(AR20*$AS$4*$C20)</f>
        <v/>
      </c>
      <c r="AT21" s="62">
        <f>AS21*$AT$4*(1-$B21)+AS21+(AS20*$AT$4*$C20)</f>
        <v/>
      </c>
      <c r="AU21" s="62">
        <f>AT21*$AU$4*(1-$B21)+AT21+(AT20*$AU$4*$C20)</f>
        <v/>
      </c>
      <c r="AV21" s="62">
        <f>AU21*$AV$4*(1-$B21)+AU21+(AU20*$AV$4*$C20)</f>
        <v/>
      </c>
      <c r="AW21" s="62">
        <f>AV21*$AW$4*(1-$B21)+AV21+(AV20*$AW$4*$C20)</f>
        <v/>
      </c>
      <c r="AX21" s="62">
        <f>AW21*$AX$4*(1-$B21)+AW21+(AW20*$AX$4*$C20)</f>
        <v/>
      </c>
      <c r="AY21" s="62">
        <f>AX21*$AY$4*(1-$B21)+AX21+(AX20*$AY$4*$C20)</f>
        <v/>
      </c>
      <c r="AZ21" s="62">
        <f>AY21*$AZ$4*(1-$B21)+AY21+(AY20*$AZ$4*$C20)</f>
        <v/>
      </c>
      <c r="BA21" s="62">
        <f>AZ21*$BA$4*(1-$B21)+AZ21+(AZ20*$BA$4*$C20)</f>
        <v/>
      </c>
      <c r="BB21" s="62">
        <f>BA21*BB$4*(1-$B21)+BA21+(BA20*BB$4*$C20)+SUMIFS(Investments!$D:$D,Investments!$B:$B,$A21,Investments!$C:$C,"BTC",Investments!$A:$A,BB$8)</f>
        <v/>
      </c>
      <c r="BC21" s="62">
        <f>BB21*BC$4*(1-$B21)+BB21+(BB20*BC$4*$C20)+SUMIFS(Investments!$D:$D,Investments!$B:$B,$A21,Investments!$C:$C,"BTC",Investments!$A:$A,BC$8)</f>
        <v/>
      </c>
      <c r="BD21" s="62">
        <f>BC21*BD$4*(1-$B21)+BC21+(BC20*BD$4*$C20)+SUMIFS(Investments!$D:$D,Investments!$B:$B,$A21,Investments!$C:$C,"BTC",Investments!$A:$A,BD$8)</f>
        <v/>
      </c>
      <c r="BE21" s="62">
        <f>BD21*BE$4*(1-$B21)+BD21+(BD20*BE$4*$C20)+SUMIFS(Investments!$D:$D,Investments!$B:$B,$A21,Investments!$C:$C,"BTC",Investments!$A:$A,BE$8)</f>
        <v/>
      </c>
      <c r="BF21" s="62">
        <f>BE21*BF$4*(1-$B21)+BE21+(BE20*BF$4*$C20)+SUMIFS(Investments!$D:$D,Investments!$B:$B,$A21,Investments!$C:$C,"BTC",Investments!$A:$A,BF$8)</f>
        <v/>
      </c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</row>
    <row r="22" ht="15.75" customHeight="1" s="252">
      <c r="A22" s="71" t="inlineStr">
        <is>
          <t>Sam Johnson</t>
        </is>
      </c>
      <c r="B22" s="60" t="n">
        <v>0.16</v>
      </c>
      <c r="C22" s="60" t="n">
        <v>0.04</v>
      </c>
      <c r="D22" s="62" t="n"/>
      <c r="E22" s="62" t="n">
        <v>0</v>
      </c>
      <c r="F22" s="62" t="n">
        <v>0</v>
      </c>
      <c r="G22" s="62" t="n">
        <v>0</v>
      </c>
      <c r="H22" s="62" t="n">
        <v>0</v>
      </c>
      <c r="I22" s="62">
        <f>H22*$I$4*(1-$B22)+H22</f>
        <v/>
      </c>
      <c r="J22" s="62">
        <f>I22*$J$4*(1-$B22)+I22</f>
        <v/>
      </c>
      <c r="K22" s="62">
        <f>J22*$K$4*(1-$B22)+J22</f>
        <v/>
      </c>
      <c r="L22" s="62">
        <f>K22*$L$4*(1-$B22)+K22</f>
        <v/>
      </c>
      <c r="M22" s="62">
        <f>L22</f>
        <v/>
      </c>
      <c r="N22" s="62">
        <f>M22*$N$4*(1-$B22)+M22</f>
        <v/>
      </c>
      <c r="O22" s="62">
        <f>N22*$O$4*(1-$B22)+N22</f>
        <v/>
      </c>
      <c r="P22" s="62">
        <f>O22*$P$4*(1-$B22)+O22</f>
        <v/>
      </c>
      <c r="Q22" s="62">
        <f>(P22*$Q$4*(1-$B22)+P22)-(P22*$Q$4*(1-$B22)+P22)</f>
        <v/>
      </c>
      <c r="R22" s="62">
        <f>Q22*$R$4*(1-$B22)+Q22</f>
        <v/>
      </c>
      <c r="S22" s="62">
        <f>R22*$S$4*(1-$B22)+R22</f>
        <v/>
      </c>
      <c r="T22" s="62">
        <f>S22*$T$4*(1-$B22)+S22</f>
        <v/>
      </c>
      <c r="U22" s="62">
        <f>T22*$U$4*(1-$B22)+T22</f>
        <v/>
      </c>
      <c r="V22" s="62">
        <f>U22*$V$4*(1-$B22)+U22</f>
        <v/>
      </c>
      <c r="W22" s="62">
        <f>V22*$W$4*(1-$B22)+V22</f>
        <v/>
      </c>
      <c r="X22" s="62">
        <f>W22*$X$4*(1-$B22)+W22</f>
        <v/>
      </c>
      <c r="Y22" s="62">
        <f>X22*$Y$4*(1-$B22)+X22</f>
        <v/>
      </c>
      <c r="Z22" s="62">
        <f>Y22*$Z$4*(1-$B22)+Y22</f>
        <v/>
      </c>
      <c r="AA22" s="62">
        <f>Z22*$AA$4*(1-$B22)+Z22</f>
        <v/>
      </c>
      <c r="AB22" s="62">
        <f>AA22*$AB$4*(1-$B22)+AA22</f>
        <v/>
      </c>
      <c r="AC22" s="62">
        <f>AB22*$AC$4*(1-$B22)+AB22</f>
        <v/>
      </c>
      <c r="AD22" s="62">
        <f>AC22*$AD$4*(1-$B22)+AC22</f>
        <v/>
      </c>
      <c r="AE22" s="62">
        <f>AD22*$AE$4*(1-$B22)+AD22</f>
        <v/>
      </c>
      <c r="AF22" s="62">
        <f>AE22*$AF$4*(1-$B22)+AE22</f>
        <v/>
      </c>
      <c r="AG22" s="62">
        <f>AF22*$AG$4*(1-$B22)+AF22</f>
        <v/>
      </c>
      <c r="AH22" s="62">
        <f>AG22*$AH$4*(1-$B22)+AG22</f>
        <v/>
      </c>
      <c r="AI22" s="62">
        <f>AH22*$AI$4*(1-$B22)+AH22</f>
        <v/>
      </c>
      <c r="AJ22" s="62">
        <f>AI22*$AJ$4*(1-$B22)+AI22</f>
        <v/>
      </c>
      <c r="AK22" s="62">
        <f>AJ22*$AK$4*(1-$B22-$C22)+AJ22+3.3</f>
        <v/>
      </c>
      <c r="AL22" s="62">
        <f>AK22*$AL$4*(1-$B22-$C22)+AK22+1</f>
        <v/>
      </c>
      <c r="AM22" s="62">
        <f>AL22*$AM$4*(1-$B22-$C22)+AL22</f>
        <v/>
      </c>
      <c r="AN22" s="62">
        <f>AM22*$AN$4*(1-$B22-$C22)+AM22+1.2</f>
        <v/>
      </c>
      <c r="AO22" s="62">
        <f>AN22*$AO$4*(1-$B22-$C22)+AN22+1.1</f>
        <v/>
      </c>
      <c r="AP22" s="62">
        <f>AO22*$AP$4*(1-$B22-$C22)+AO22</f>
        <v/>
      </c>
      <c r="AQ22" s="62">
        <f>AP22*$AQ$4*(1-$B22-$C22)+AP22+1.17</f>
        <v/>
      </c>
      <c r="AR22" s="62">
        <f>AQ22*$AR$4*(1-$B22-$C22)+AQ22</f>
        <v/>
      </c>
      <c r="AS22" s="62">
        <f>AR22*$AS$4*(1-$B22-$C22)+AR22</f>
        <v/>
      </c>
      <c r="AT22" s="62">
        <f>AS22*$AT$4*(1-$B22-$C22)+AS22-(AS22*$AT$4*(1-$B22-$C22)+AS22)</f>
        <v/>
      </c>
      <c r="AU22" s="62">
        <f>AT22*$AU$4*(1-$B22-$C22)+AT22</f>
        <v/>
      </c>
      <c r="AV22" s="62">
        <f>AU22*$AV$4*(1-$B22-$C22)+AU22</f>
        <v/>
      </c>
      <c r="AW22" s="62">
        <f>AV22*$AW$4*(1-$B22-$C22)+AV22</f>
        <v/>
      </c>
      <c r="AX22" s="62">
        <f>AW22*$AX$4*(1-$B22-$C22)+AW22</f>
        <v/>
      </c>
      <c r="AY22" s="62">
        <f>AX22*$AY$4*(1-$B22-$C22)+AX22</f>
        <v/>
      </c>
      <c r="AZ22" s="62">
        <f>AY22*$AZ$4*(1-$B22-$C22)+AY22</f>
        <v/>
      </c>
      <c r="BA22" s="62">
        <f>AZ22*$BA$4*(1-$B22-$C22)+AZ22</f>
        <v/>
      </c>
      <c r="BB22" s="62">
        <f>BA22*BB$4*(1-$B22-$C22)+BA22+SUMIFS(Investments!$D:$D,Investments!$B:$B,$A22,Investments!$C:$C,"BTC",Investments!$A:$A,BB$8)</f>
        <v/>
      </c>
      <c r="BC22" s="62">
        <f>BB22*BC$4*(1-$B22-$C22)+BB22+SUMIFS(Investments!$D:$D,Investments!$B:$B,$A22,Investments!$C:$C,"BTC",Investments!$A:$A,BC$8)</f>
        <v/>
      </c>
      <c r="BD22" s="62">
        <f>BC22*BD$4*(1-$B22-$C22)+BC22+SUMIFS(Investments!$D:$D,Investments!$B:$B,$A22,Investments!$C:$C,"BTC",Investments!$A:$A,BD$8)</f>
        <v/>
      </c>
      <c r="BE22" s="62">
        <f>BD22*BE$4*(1-$B22-$C22)+BD22+SUMIFS(Investments!$D:$D,Investments!$B:$B,$A22,Investments!$C:$C,"BTC",Investments!$A:$A,BE$8)</f>
        <v/>
      </c>
      <c r="BF22" s="62">
        <f>BE22*BF$4*(1-$B22-$C22)+BE22+SUMIFS(Investments!$D:$D,Investments!$B:$B,$A22,Investments!$C:$C,"BTC",Investments!$A:$A,BF$8)</f>
        <v/>
      </c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</row>
    <row r="23" ht="15.75" customHeight="1" s="252">
      <c r="A23" s="71" t="inlineStr">
        <is>
          <t>Ryan Van Der Wall</t>
        </is>
      </c>
      <c r="B23" s="60" t="n">
        <v>0.2</v>
      </c>
      <c r="C23" s="57" t="n"/>
      <c r="D23" s="62" t="n"/>
      <c r="E23" s="62" t="n">
        <v>0</v>
      </c>
      <c r="F23" s="62" t="n">
        <v>0</v>
      </c>
      <c r="G23" s="62" t="n">
        <v>0</v>
      </c>
      <c r="H23" s="62" t="n">
        <v>0</v>
      </c>
      <c r="I23" s="62" t="n">
        <v>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2" t="n">
        <v>0</v>
      </c>
      <c r="AB23" s="62" t="n">
        <v>0</v>
      </c>
      <c r="AC23" s="62" t="n">
        <v>0</v>
      </c>
      <c r="AD23" s="62" t="n">
        <v>0</v>
      </c>
      <c r="AE23" s="62" t="n">
        <v>0</v>
      </c>
      <c r="AF23" s="62">
        <f>AE23*$AF$4*(1-$B23)+AE23+(AE22*$AF$4*$C22)</f>
        <v/>
      </c>
      <c r="AG23" s="62">
        <f>AF23*$AG$4*(1-$B23)+AF23+(AF22*$AG$4*$C22)</f>
        <v/>
      </c>
      <c r="AH23" s="62">
        <f>AG23*$AH$4*(1-$B23)+AG23+(AG22*$AH$4*$C22)</f>
        <v/>
      </c>
      <c r="AI23" s="62">
        <f>AH23*$AI$4*(1-$B23)+AH23+(AH22*$AI$4*$C22)</f>
        <v/>
      </c>
      <c r="AJ23" s="62">
        <f>AI23*$AJ$4*(1-$B23)+AI23+(AI22*$AJ$4*$C22)</f>
        <v/>
      </c>
      <c r="AK23" s="62">
        <f>AJ23*$AK$4*(1-$B23)+AJ23+(AJ22*$AK$4*$C22)</f>
        <v/>
      </c>
      <c r="AL23" s="62">
        <f>AK23*$AL$4*(1-$B23)+AK23+(AK22*$AL$4*$C22)</f>
        <v/>
      </c>
      <c r="AM23" s="62">
        <f>AL23*$AM$4*(1-$B23)+AL23+(AL22*$AM$4*$C22)</f>
        <v/>
      </c>
      <c r="AN23" s="62">
        <f>AM23*$AN$4*(1-$B23)+AM23+(AM22*$AN$4*$C22)</f>
        <v/>
      </c>
      <c r="AO23" s="62">
        <f>AN23*$AO$4*(1-$B23)+AN23+(AN22*$AO$4*$C22)</f>
        <v/>
      </c>
      <c r="AP23" s="62">
        <f>AO23*$AP$4*(1-$B23)+AO23+(AO22*$AP$4*$C22)</f>
        <v/>
      </c>
      <c r="AQ23" s="62">
        <f>AP23*$AQ$4*(1-$B23)+AP23+(AP22*$AQ$4*$C22)</f>
        <v/>
      </c>
      <c r="AR23" s="62">
        <f>AQ23*$AR$4*(1-$B23)+AQ23+(AQ22*$AR$4*$C22)</f>
        <v/>
      </c>
      <c r="AS23" s="62">
        <f>AR23*$AS$4*(1-$B23)+AR23+(AR22*$AS$4*$C22)</f>
        <v/>
      </c>
      <c r="AT23" s="62">
        <f>AS23*$AT$4*(1-$B23)+AS23+(AS22*$AT$4*$C22)</f>
        <v/>
      </c>
      <c r="AU23" s="62">
        <f>AT23*$AU$4*(1-$B23)+AT23+(AT22*$AU$4*$C22)</f>
        <v/>
      </c>
      <c r="AV23" s="62">
        <f>AU23*$AV$4*(1-$B23)+AU23+(AU22*$AV$4*$C22)</f>
        <v/>
      </c>
      <c r="AW23" s="62">
        <f>AV23*$AW$4*(1-$B23)+AV23+(AV22*$AW$4*$C22)</f>
        <v/>
      </c>
      <c r="AX23" s="62">
        <f>AW23*$AX$4*(1-$B23)+AW23+(AW22*$AX$4*$C22)</f>
        <v/>
      </c>
      <c r="AY23" s="62">
        <f>AX23*$AY$4*(1-$B23)+AX23+(AX22*$AY$4*$C22)</f>
        <v/>
      </c>
      <c r="AZ23" s="62">
        <f>AY23*$AZ$4*(1-$B23)+AY23+(AY22*$AZ$4*$C22)</f>
        <v/>
      </c>
      <c r="BA23" s="62">
        <f>AZ23*$BA$4*(1-$B23)+AZ23+(AZ22*$BA$4*$C22)</f>
        <v/>
      </c>
      <c r="BB23" s="62">
        <f>BA23*BB$4*(1-$B23)+BA23+(BA22*BB$4*$C22)+SUMIFS(Investments!$D:$D,Investments!$B:$B,$A23,Investments!$C:$C,"BTC",Investments!$A:$A,BB$8)</f>
        <v/>
      </c>
      <c r="BC23" s="62">
        <f>BB23*BC$4*(1-$B23)+BB23+(BB22*BC$4*$C22)+SUMIFS(Investments!$D:$D,Investments!$B:$B,$A23,Investments!$C:$C,"BTC",Investments!$A:$A,BC$8)</f>
        <v/>
      </c>
      <c r="BD23" s="62">
        <f>BC23*BD$4*(1-$B23)+BC23+(BC22*BD$4*$C22)+SUMIFS(Investments!$D:$D,Investments!$B:$B,$A23,Investments!$C:$C,"BTC",Investments!$A:$A,BD$8)</f>
        <v/>
      </c>
      <c r="BE23" s="62">
        <f>BD23*BE$4*(1-$B23)+BD23+(BD22*BE$4*$C22)+SUMIFS(Investments!$D:$D,Investments!$B:$B,$A23,Investments!$C:$C,"BTC",Investments!$A:$A,BE$8)</f>
        <v/>
      </c>
      <c r="BF23" s="62">
        <f>BE23*BF$4*(1-$B23)+BE23+(BE22*BF$4*$C22)+SUMIFS(Investments!$D:$D,Investments!$B:$B,$A23,Investments!$C:$C,"BTC",Investments!$A:$A,BF$8)</f>
        <v/>
      </c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</row>
    <row r="24" ht="15.75" customHeight="1" s="252">
      <c r="A24" s="71" t="inlineStr">
        <is>
          <t>Nath &amp; Thomas</t>
        </is>
      </c>
      <c r="B24" s="60" t="n">
        <v>0</v>
      </c>
      <c r="C24" s="57" t="n"/>
      <c r="D24" s="62" t="n"/>
      <c r="E24" s="62" t="n">
        <v>0</v>
      </c>
      <c r="F24" s="62" t="n">
        <v>0</v>
      </c>
      <c r="G24" s="62" t="n">
        <v>0</v>
      </c>
      <c r="H24" s="62" t="n">
        <v>0</v>
      </c>
      <c r="I24" s="62" t="n">
        <v>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>
        <f>X24*$Y$4*(1-$B24)+X24</f>
        <v/>
      </c>
      <c r="Z24" s="62">
        <f>Y24*$Z$4*(1-$B24)+Y24</f>
        <v/>
      </c>
      <c r="AA24" s="62">
        <f>Z24*$AA$4*(1-$B24)+Z24</f>
        <v/>
      </c>
      <c r="AB24" s="62">
        <f>AA24*$AB$4*(1-$B24)+AA24</f>
        <v/>
      </c>
      <c r="AC24" s="62">
        <f>AB24*$AC$4*(1-$B24)+AB24</f>
        <v/>
      </c>
      <c r="AD24" s="62">
        <f>AC24*$AD$4*(1-$B24)+AC24</f>
        <v/>
      </c>
      <c r="AE24" s="62">
        <f>AD24*$AE$4*(1-$B24)+AD24</f>
        <v/>
      </c>
      <c r="AF24" s="62">
        <f>AE24*$AF$4*(1-$B24)+AE24</f>
        <v/>
      </c>
      <c r="AG24" s="62">
        <f>AF24*$AG$4*(1-$B24)+AF24</f>
        <v/>
      </c>
      <c r="AH24" s="62">
        <f>AG24*$AH$4*(1-$B24)+AG24</f>
        <v/>
      </c>
      <c r="AI24" s="62">
        <f>AH24*$AI$4*(1-$B24)+AH24</f>
        <v/>
      </c>
      <c r="AJ24" s="62">
        <f>AI24*$AJ$4*(1-$B24)+AI24</f>
        <v/>
      </c>
      <c r="AK24" s="62">
        <f>AJ24*$AK$4*(1-$B24)+AJ24</f>
        <v/>
      </c>
      <c r="AL24" s="62">
        <f>AK24*$AL$4*(1-$B24)+AK24</f>
        <v/>
      </c>
      <c r="AM24" s="62">
        <f>AL24*$AM$4*(1-$B24)+AL24+1</f>
        <v/>
      </c>
      <c r="AN24" s="62">
        <f>AM24*$AN$4*(1-$B24)+AM24</f>
        <v/>
      </c>
      <c r="AO24" s="62">
        <f>AN24*$AO$4*(1-$B24)+AN24</f>
        <v/>
      </c>
      <c r="AP24" s="62">
        <f>AO24*$AP$4*(1-$B24)+AO24</f>
        <v/>
      </c>
      <c r="AQ24" s="62">
        <f>AP24*$AQ$4*(1-$B24)+AP24</f>
        <v/>
      </c>
      <c r="AR24" s="62">
        <f>AQ24*$AR$4*(1-$B24)+AQ24</f>
        <v/>
      </c>
      <c r="AS24" s="62">
        <f>AR24*$AS$4*(1-$B24)+AR24</f>
        <v/>
      </c>
      <c r="AT24" s="62">
        <f>AS24*$AT$4*(1-$B24)+AS24</f>
        <v/>
      </c>
      <c r="AU24" s="62">
        <f>AT24*$AU$4*(1-$B24)+AT24</f>
        <v/>
      </c>
      <c r="AV24" s="62">
        <f>AU24*$AV$4*(1-$B24)+AU24</f>
        <v/>
      </c>
      <c r="AW24" s="62">
        <f>AV24*$AW$4*(1-$B24)+AV24</f>
        <v/>
      </c>
      <c r="AX24" s="62">
        <f>AW24*$AX$4*(1-$B24)+AW24</f>
        <v/>
      </c>
      <c r="AY24" s="62">
        <f>AX24*$AY$4*(1-$B24)+AX24</f>
        <v/>
      </c>
      <c r="AZ24" s="62">
        <f>AY24*$AZ$4*(1-$B24)+AY24</f>
        <v/>
      </c>
      <c r="BA24" s="62">
        <f>AZ24*$BA$4*(1-$B24)+AZ24</f>
        <v/>
      </c>
      <c r="BB24" s="62">
        <f>BA24*BB$4*(1-$B24)+BA24+SUMIFS(Investments!$D:$D,Investments!$B:$B,$A24,Investments!$C:$C,"BTC",Investments!$A:$A,BB$8)</f>
        <v/>
      </c>
      <c r="BC24" s="62">
        <f>BB24*BC$4*(1-$B24)+BB24+SUMIFS(Investments!$D:$D,Investments!$B:$B,$A24,Investments!$C:$C,"BTC",Investments!$A:$A,BC$8)</f>
        <v/>
      </c>
      <c r="BD24" s="62">
        <f>BC24*BD$4*(1-$B24)+BC24+SUMIFS(Investments!$D:$D,Investments!$B:$B,$A24,Investments!$C:$C,"BTC",Investments!$A:$A,BD$8)</f>
        <v/>
      </c>
      <c r="BE24" s="62">
        <f>BD24*BE$4*(1-$B24)+BD24+SUMIFS(Investments!$D:$D,Investments!$B:$B,$A24,Investments!$C:$C,"BTC",Investments!$A:$A,BE$8)</f>
        <v/>
      </c>
      <c r="BF24" s="62">
        <f>BE24*BF$4*(1-$B24)+BE24+SUMIFS(Investments!$D:$D,Investments!$B:$B,$A24,Investments!$C:$C,"BTC",Investments!$A:$A,BF$8)</f>
        <v/>
      </c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</row>
    <row r="25" ht="15.75" customHeight="1" s="252">
      <c r="A25" s="71" t="inlineStr">
        <is>
          <t>Vivie &amp; Liana</t>
        </is>
      </c>
      <c r="B25" s="60" t="n">
        <v>0</v>
      </c>
      <c r="C25" s="57" t="n"/>
      <c r="D25" s="62" t="n"/>
      <c r="E25" s="62" t="n">
        <v>0</v>
      </c>
      <c r="F25" s="62" t="n">
        <v>0</v>
      </c>
      <c r="G25" s="62" t="n">
        <v>0</v>
      </c>
      <c r="H25" s="62" t="n">
        <v>0</v>
      </c>
      <c r="I25" s="62" t="n">
        <v>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>
        <f>X25*$Y$4*(1-$B25)+X25</f>
        <v/>
      </c>
      <c r="Z25" s="62">
        <f>Y25*$Z$4*(1-$B25)+Y25</f>
        <v/>
      </c>
      <c r="AA25" s="62">
        <f>Z25*$AA$4*(1-$B25)+Z25</f>
        <v/>
      </c>
      <c r="AB25" s="62">
        <f>AA25*$AB$4*(1-$B25)+AA25</f>
        <v/>
      </c>
      <c r="AC25" s="62">
        <f>AB25*$AC$4*(1-$B25)+AB25</f>
        <v/>
      </c>
      <c r="AD25" s="62">
        <f>AC25*$AD$4*(1-$B25)+AC25</f>
        <v/>
      </c>
      <c r="AE25" s="62">
        <f>AD25*$AE$4*(1-$B25)+AD25</f>
        <v/>
      </c>
      <c r="AF25" s="62">
        <f>AE25*$AF$4*(1-$B25)+AE25</f>
        <v/>
      </c>
      <c r="AG25" s="62">
        <f>AF25*$AG$4*(1-$B25)+AF25</f>
        <v/>
      </c>
      <c r="AH25" s="62">
        <f>AG25*$AH$4*(1-$B25)+AG25</f>
        <v/>
      </c>
      <c r="AI25" s="62">
        <f>AH25*$AI$4*(1-$B25)+AH25</f>
        <v/>
      </c>
      <c r="AJ25" s="62">
        <f>AI25*$AJ$4*(1-$B25)+AI25</f>
        <v/>
      </c>
      <c r="AK25" s="62">
        <f>AJ25*$AK$4*(1-$B25)+AJ25</f>
        <v/>
      </c>
      <c r="AL25" s="62">
        <f>AK25*$AL$4*(1-$B25)+AK25</f>
        <v/>
      </c>
      <c r="AM25" s="62">
        <f>AL25*$AM$4*(1-$B25)+AL25+3.411</f>
        <v/>
      </c>
      <c r="AN25" s="62">
        <f>AM25*$AN$4*(1-$B25)+AM25</f>
        <v/>
      </c>
      <c r="AO25" s="62">
        <f>AN25*$AO$4*(1-$B25)+AN25</f>
        <v/>
      </c>
      <c r="AP25" s="62">
        <f>AO25*$AP$4*(1-$B25)+AO25</f>
        <v/>
      </c>
      <c r="AQ25" s="62">
        <f>AP25*$AQ$4*(1-$B25)+AP25</f>
        <v/>
      </c>
      <c r="AR25" s="62">
        <f>AQ25*$AR$4*(1-$B25)+AQ25</f>
        <v/>
      </c>
      <c r="AS25" s="62">
        <f>AR25*$AS$4*(1-$B25)+AR25</f>
        <v/>
      </c>
      <c r="AT25" s="62">
        <f>AS25*$AT$4*(1-$B25)+AS25</f>
        <v/>
      </c>
      <c r="AU25" s="62">
        <f>AT25*$AU$4*(1-$B25)+AT25-(AT25*$AU$4*(1-$B25)+AT25)</f>
        <v/>
      </c>
      <c r="AV25" s="62">
        <f>AU25*$AV$4*(1-$B25)+AU25</f>
        <v/>
      </c>
      <c r="AW25" s="62">
        <f>AV25*$AW$4*(1-$B25)+AV25</f>
        <v/>
      </c>
      <c r="AX25" s="62">
        <f>AW25*$AX$4*(1-$B25)+AW25</f>
        <v/>
      </c>
      <c r="AY25" s="62">
        <f>AX25*$AY$4*(1-$B25)+AX25</f>
        <v/>
      </c>
      <c r="AZ25" s="62">
        <f>AY25*$AZ$4*(1-$B25)+AY25</f>
        <v/>
      </c>
      <c r="BA25" s="62">
        <f>AZ25*$BA$4*(1-$B25)+AZ25</f>
        <v/>
      </c>
      <c r="BB25" s="62">
        <f>BA25*BB$4*(1-$B25)+BA25+SUMIFS(Investments!$D:$D,Investments!$B:$B,$A25,Investments!$C:$C,"BTC",Investments!$A:$A,BB$8)</f>
        <v/>
      </c>
      <c r="BC25" s="62">
        <f>BB25*BC$4*(1-$B25)+BB25+SUMIFS(Investments!$D:$D,Investments!$B:$B,$A25,Investments!$C:$C,"BTC",Investments!$A:$A,BC$8)</f>
        <v/>
      </c>
      <c r="BD25" s="62">
        <f>BC25*BD$4*(1-$B25)+BC25+SUMIFS(Investments!$D:$D,Investments!$B:$B,$A25,Investments!$C:$C,"BTC",Investments!$A:$A,BD$8)</f>
        <v/>
      </c>
      <c r="BE25" s="62">
        <f>BD25*BE$4*(1-$B25)+BD25+SUMIFS(Investments!$D:$D,Investments!$B:$B,$A25,Investments!$C:$C,"BTC",Investments!$A:$A,BE$8)</f>
        <v/>
      </c>
      <c r="BF25" s="62">
        <f>BE25*BF$4*(1-$B25)+BE25+SUMIFS(Investments!$D:$D,Investments!$B:$B,$A25,Investments!$C:$C,"BTC",Investments!$A:$A,BF$8)</f>
        <v/>
      </c>
      <c r="BG25" s="23" t="n"/>
      <c r="BH25" s="23" t="n"/>
      <c r="BI25" s="23" t="n"/>
      <c r="BJ25" s="23" t="n"/>
      <c r="BK25" s="23" t="n"/>
      <c r="BL25" s="23" t="n"/>
      <c r="BM25" s="23" t="n"/>
      <c r="BN25" s="23" t="n"/>
      <c r="BO25" s="23" t="n"/>
      <c r="BP25" s="23" t="n"/>
      <c r="BQ25" s="23" t="n"/>
      <c r="BR25" s="23" t="n"/>
      <c r="BS25" s="23" t="n"/>
      <c r="BT25" s="23" t="n"/>
      <c r="BU25" s="23" t="n"/>
      <c r="BV25" s="23" t="n"/>
      <c r="BW25" s="23" t="n"/>
      <c r="BX25" s="23" t="n"/>
      <c r="BY25" s="23" t="n"/>
      <c r="BZ25" s="23" t="n"/>
    </row>
    <row r="26" ht="15.75" customHeight="1" s="252">
      <c r="A26" s="71" t="inlineStr">
        <is>
          <t>NSVO Holdings</t>
        </is>
      </c>
      <c r="B26" s="60" t="n">
        <v>0.2</v>
      </c>
      <c r="C26" s="57" t="n"/>
      <c r="D26" s="62" t="n"/>
      <c r="E26" s="62" t="n">
        <v>0</v>
      </c>
      <c r="F26" s="62" t="n">
        <v>0</v>
      </c>
      <c r="G26" s="62" t="n">
        <v>0</v>
      </c>
      <c r="H26" s="62" t="n">
        <v>0</v>
      </c>
      <c r="I26" s="62" t="n">
        <v>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>
        <f>X26*$Y$4*(1-$B26)+X26</f>
        <v/>
      </c>
      <c r="Z26" s="62">
        <f>Y26*$Z$4*(1-$B26)+Y26</f>
        <v/>
      </c>
      <c r="AA26" s="62">
        <f>Z26*$AA$4*(1-$B26)+Z26</f>
        <v/>
      </c>
      <c r="AB26" s="62">
        <f>AA26*$AB$4*(1-$B26)+AA26</f>
        <v/>
      </c>
      <c r="AC26" s="62">
        <f>AB26*$AC$4*(1-$B26)+AB26</f>
        <v/>
      </c>
      <c r="AD26" s="62">
        <f>AC26*$AD$4*(1-$B26)+AC26</f>
        <v/>
      </c>
      <c r="AE26" s="62">
        <f>AD26*$AE$4*(1-$B26)+AD26</f>
        <v/>
      </c>
      <c r="AF26" s="62">
        <f>AE26*$AF$4*(1-$B26)+AE26</f>
        <v/>
      </c>
      <c r="AG26" s="62">
        <f>AF26*$AG$4*(1-$B26)+AF26</f>
        <v/>
      </c>
      <c r="AH26" s="62">
        <f>AG26*$AH$4*(1-$B26)+AG26</f>
        <v/>
      </c>
      <c r="AI26" s="62">
        <f>AH26*$AI$4*(1-$B26)+AH26</f>
        <v/>
      </c>
      <c r="AJ26" s="62">
        <f>AI26*$AJ$4*(1-$B26)+AI26</f>
        <v/>
      </c>
      <c r="AK26" s="62">
        <f>AJ26*$AK$4*(1-$B26)+AJ26</f>
        <v/>
      </c>
      <c r="AL26" s="62">
        <f>AK26*$AL$4*(1-$B26)+AK26</f>
        <v/>
      </c>
      <c r="AM26" s="62">
        <f>AL26*$AM$4*(1-$B26)+AL26</f>
        <v/>
      </c>
      <c r="AN26" s="62">
        <f>AM26*$AN$4*(1-$B26)+AM26</f>
        <v/>
      </c>
      <c r="AO26" s="62">
        <f>AN26*$AO$4*(1-$B26)+AN26</f>
        <v/>
      </c>
      <c r="AP26" s="62">
        <f>AO26*$AP$4*(1-$B26)+AO26</f>
        <v/>
      </c>
      <c r="AQ26" s="62">
        <f>AP26*$AQ$4*(1-$B26)+AP26</f>
        <v/>
      </c>
      <c r="AR26" s="62">
        <f>AQ26*$AR$4*(1-$B26)+AQ26</f>
        <v/>
      </c>
      <c r="AS26" s="62">
        <f>AR26*$AS$4*(1-$B26)+AR26</f>
        <v/>
      </c>
      <c r="AT26" s="62">
        <f>AS26*$AT$4*(1-$B26)+AS26</f>
        <v/>
      </c>
      <c r="AU26" s="62">
        <f>AT26*$AU$4*(1-$B26)+AT26-(AT26*$AU$4*(1-$B26)+AT26)</f>
        <v/>
      </c>
      <c r="AV26" s="62">
        <f>AU26*$AV$4*(1-$B26)+AU26+0.622</f>
        <v/>
      </c>
      <c r="AW26" s="62">
        <f>AV26*$AW$4*(1-$B26)+AV26</f>
        <v/>
      </c>
      <c r="AX26" s="62">
        <f>AW26*$AX$4*(1-$B26)+AW26</f>
        <v/>
      </c>
      <c r="AY26" s="62">
        <f>AX26*$AY$4*(1-$B26)+AX26</f>
        <v/>
      </c>
      <c r="AZ26" s="62">
        <f>AY26*$AZ$4*(1-$B26)+AY26</f>
        <v/>
      </c>
      <c r="BA26" s="62">
        <f>AZ26*$BA$4*(1-$B26)+AZ26</f>
        <v/>
      </c>
      <c r="BB26" s="62">
        <f>BA26*BB$4*(1-$B26)+BA26+SUMIFS(Investments!$D:$D,Investments!$B:$B,$A26,Investments!$C:$C,"BTC",Investments!$A:$A,BB$8)</f>
        <v/>
      </c>
      <c r="BC26" s="62">
        <f>BB26*BC$4*(1-$B26)+BB26+SUMIFS(Investments!$D:$D,Investments!$B:$B,$A26,Investments!$C:$C,"BTC",Investments!$A:$A,BC$8)</f>
        <v/>
      </c>
      <c r="BD26" s="62">
        <f>BC26*BD$4*(1-$B26)+BC26+SUMIFS(Investments!$D:$D,Investments!$B:$B,$A26,Investments!$C:$C,"BTC",Investments!$A:$A,BD$8)</f>
        <v/>
      </c>
      <c r="BE26" s="62">
        <f>BD26*BE$4*(1-$B26)+BD26+SUMIFS(Investments!$D:$D,Investments!$B:$B,$A26,Investments!$C:$C,"BTC",Investments!$A:$A,BE$8)</f>
        <v/>
      </c>
      <c r="BF26" s="62">
        <f>BE26*BF$4*(1-$B26)+BE26+SUMIFS(Investments!$D:$D,Investments!$B:$B,$A26,Investments!$C:$C,"BTC",Investments!$A:$A,BF$8)</f>
        <v/>
      </c>
    </row>
    <row r="27" ht="15.75" customHeight="1" s="252">
      <c r="A27" s="71" t="inlineStr">
        <is>
          <t>ALOK PAVAN BATRA</t>
        </is>
      </c>
      <c r="B27" s="60" t="n">
        <v>0.2</v>
      </c>
      <c r="C27" s="57" t="n"/>
      <c r="D27" s="62" t="n"/>
      <c r="E27" s="62" t="n">
        <v>0</v>
      </c>
      <c r="F27" s="62" t="n">
        <v>0</v>
      </c>
      <c r="G27" s="62" t="n">
        <v>0</v>
      </c>
      <c r="H27" s="62" t="n">
        <v>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>
        <f>X27*$Y$4*(1-$B27)+X27</f>
        <v/>
      </c>
      <c r="Z27" s="62">
        <f>Y27*$Z$4*(1-$B27)+Y27</f>
        <v/>
      </c>
      <c r="AA27" s="62">
        <f>Z27*$AA$4*(1-$B27)+Z27</f>
        <v/>
      </c>
      <c r="AB27" s="62">
        <f>AA27*$AB$4*(1-$B27)+AA27</f>
        <v/>
      </c>
      <c r="AC27" s="62">
        <f>AB27*$AC$4*(1-$B27)+AB27</f>
        <v/>
      </c>
      <c r="AD27" s="62">
        <f>AC27*$AD$4*(1-$B27)+AC27</f>
        <v/>
      </c>
      <c r="AE27" s="62">
        <f>AD27*$AE$4*(1-$B27)+AD27</f>
        <v/>
      </c>
      <c r="AF27" s="62">
        <f>AE27*$AF$4*(1-$B27)+AE27</f>
        <v/>
      </c>
      <c r="AG27" s="62">
        <f>AF27*$AG$4*(1-$B27)+AF27</f>
        <v/>
      </c>
      <c r="AH27" s="62">
        <f>AG27*$AH$4*(1-$B27)+AG27</f>
        <v/>
      </c>
      <c r="AI27" s="62">
        <f>AH27*$AI$4*(1-$B27)+AH27</f>
        <v/>
      </c>
      <c r="AJ27" s="62">
        <f>AI27*$AJ$4*(1-$B27)+AI27</f>
        <v/>
      </c>
      <c r="AK27" s="62">
        <f>AJ27*$AK$4*(1-$B27)+AJ27</f>
        <v/>
      </c>
      <c r="AL27" s="62">
        <f>AK27*$AL$4*(1-$B27)+AK27</f>
        <v/>
      </c>
      <c r="AM27" s="62">
        <f>AL27*$AM$4*(1-$B27)+AL27</f>
        <v/>
      </c>
      <c r="AN27" s="62">
        <f>AM27*$AN$4*(1-$B27)+AM27</f>
        <v/>
      </c>
      <c r="AO27" s="62">
        <f>AN27*$AO$4*(1-$B27)+AN27</f>
        <v/>
      </c>
      <c r="AP27" s="62">
        <f>AO27*$AP$4*(1-$B27)+AO27</f>
        <v/>
      </c>
      <c r="AQ27" s="62">
        <f>AP27*$AQ$4*(1-$B27)+AP27</f>
        <v/>
      </c>
      <c r="AR27" s="62">
        <f>AQ27*$AR$4*(1-$B27)+AQ27</f>
        <v/>
      </c>
      <c r="AS27" s="62">
        <f>AR27*$AS$4*(1-$B27)+AR27</f>
        <v/>
      </c>
      <c r="AT27" s="62">
        <f>AS27*$AT$4*(1-$B27)+AS27</f>
        <v/>
      </c>
      <c r="AU27" s="62">
        <f>AT27*$AU$4*(1-$B27)+AT27-(AT27*$AU$4*(1-$B27)+AT27)</f>
        <v/>
      </c>
      <c r="AV27" s="62">
        <f>AU27*$AV$4*(1-$B27)+AU27</f>
        <v/>
      </c>
      <c r="AW27" s="62">
        <f>AV27*$AW$4*(1-$B27)+AV27</f>
        <v/>
      </c>
      <c r="AX27" s="62">
        <f>AW27*$AX$4*(1-$B27)+AW27</f>
        <v/>
      </c>
      <c r="AY27" s="62">
        <f>AX27*$AY$4*(1-$B27)+AX27</f>
        <v/>
      </c>
      <c r="AZ27" s="62">
        <f>AY27*$AZ$4*(1-$B27)+AY27</f>
        <v/>
      </c>
      <c r="BA27" s="62">
        <f>AZ27*$BA$4*(1-$B27)+AZ27</f>
        <v/>
      </c>
      <c r="BB27" s="62">
        <f>BA27*BB$4*(1-$B27)+BA27+SUMIFS(Investments!$D:$D,Investments!$B:$B,$A27,Investments!$C:$C,"BTC",Investments!$A:$A,BB$8)</f>
        <v/>
      </c>
      <c r="BC27" s="62">
        <f>BB27*BC$4*(1-$B27)+BB27+SUMIFS(Investments!$D:$D,Investments!$B:$B,$A27,Investments!$C:$C,"BTC",Investments!$A:$A,BC$8)</f>
        <v/>
      </c>
      <c r="BD27" s="62">
        <f>BC27*BD$4*(1-$B27)+BC27+SUMIFS(Investments!$D:$D,Investments!$B:$B,$A27,Investments!$C:$C,"BTC",Investments!$A:$A,BD$8)</f>
        <v/>
      </c>
      <c r="BE27" s="62">
        <f>BD27*BE$4*(1-$B27)+BD27+SUMIFS(Investments!$D:$D,Investments!$B:$B,$A27,Investments!$C:$C,"BTC",Investments!$A:$A,BE$8)</f>
        <v/>
      </c>
      <c r="BF27" s="62">
        <f>BE27*BF$4*(1-$B27)+BE27+SUMIFS(Investments!$D:$D,Investments!$B:$B,$A27,Investments!$C:$C,"BTC",Investments!$A:$A,BF$8)</f>
        <v/>
      </c>
    </row>
    <row r="28" ht="15.75" customHeight="1" s="252">
      <c r="A28" s="72" t="inlineStr">
        <is>
          <t>Total AUM</t>
        </is>
      </c>
      <c r="B28" s="73" t="n"/>
      <c r="C28" s="73" t="n"/>
      <c r="D28" s="73" t="n"/>
      <c r="E28" s="73">
        <f>SUM(E9:E27)</f>
        <v/>
      </c>
      <c r="F28" s="73">
        <f>SUM(F9:F27)</f>
        <v/>
      </c>
      <c r="G28" s="73">
        <f>SUM(G9:G27)</f>
        <v/>
      </c>
      <c r="H28" s="73">
        <f>SUM(H9:H27)</f>
        <v/>
      </c>
      <c r="I28" s="73">
        <f>SUM(I9:I27)</f>
        <v/>
      </c>
      <c r="J28" s="73">
        <f>SUM(J9:J27)</f>
        <v/>
      </c>
      <c r="K28" s="73">
        <f>SUM(K9:K27)</f>
        <v/>
      </c>
      <c r="L28" s="73">
        <f>SUM(L9:L27)</f>
        <v/>
      </c>
      <c r="M28" s="73">
        <f>SUM(M9:M27)</f>
        <v/>
      </c>
      <c r="N28" s="73">
        <f>SUM(N9:N27)</f>
        <v/>
      </c>
      <c r="O28" s="73">
        <f>SUM(O9:O27)</f>
        <v/>
      </c>
      <c r="P28" s="73">
        <f>SUM(P9:P27)</f>
        <v/>
      </c>
      <c r="Q28" s="73">
        <f>SUM(Q9:Q27)</f>
        <v/>
      </c>
      <c r="R28" s="73">
        <f>SUM(R9:R27)</f>
        <v/>
      </c>
      <c r="S28" s="73">
        <f>SUM(S9:S27)</f>
        <v/>
      </c>
      <c r="T28" s="73">
        <f>SUM(T9:T27)</f>
        <v/>
      </c>
      <c r="U28" s="73">
        <f>SUM(U9:U27)</f>
        <v/>
      </c>
      <c r="V28" s="73">
        <f>SUM(V9:V27)</f>
        <v/>
      </c>
      <c r="W28" s="73">
        <f>SUM(W9:W27)</f>
        <v/>
      </c>
      <c r="X28" s="73">
        <f>SUM(X9:X27)</f>
        <v/>
      </c>
      <c r="Y28" s="73">
        <f>SUM(Y9:Y27)</f>
        <v/>
      </c>
      <c r="Z28" s="73">
        <f>SUM(Z9:Z27)</f>
        <v/>
      </c>
      <c r="AA28" s="73">
        <f>SUM(AA9:AA27)</f>
        <v/>
      </c>
      <c r="AB28" s="73">
        <f>SUM(AB9:AB27)</f>
        <v/>
      </c>
      <c r="AC28" s="73">
        <f>SUM(AC9:AC27)</f>
        <v/>
      </c>
      <c r="AD28" s="73">
        <f>SUM(AD9:AD27)</f>
        <v/>
      </c>
      <c r="AE28" s="73">
        <f>SUM(AE9:AE27)</f>
        <v/>
      </c>
      <c r="AF28" s="73">
        <f>SUM(AF9:AF27)</f>
        <v/>
      </c>
      <c r="AG28" s="73">
        <f>SUM(AG9:AG27)</f>
        <v/>
      </c>
      <c r="AH28" s="73">
        <f>SUM(AH9:AH27)</f>
        <v/>
      </c>
      <c r="AI28" s="73">
        <f>SUM(AI9:AI27)</f>
        <v/>
      </c>
      <c r="AJ28" s="73">
        <f>SUM(AJ9:AJ27)</f>
        <v/>
      </c>
      <c r="AK28" s="73">
        <f>SUM(AK9:AK27)</f>
        <v/>
      </c>
      <c r="AL28" s="73">
        <f>SUM(AL9:AL27)</f>
        <v/>
      </c>
      <c r="AM28" s="73">
        <f>SUM(AM9:AM27)</f>
        <v/>
      </c>
      <c r="AN28" s="73">
        <f>SUM(AN9:AN27)</f>
        <v/>
      </c>
      <c r="AO28" s="73">
        <f>SUM(AO9:AO27)</f>
        <v/>
      </c>
      <c r="AP28" s="73">
        <f>SUM(AP9:AP27)</f>
        <v/>
      </c>
      <c r="AQ28" s="73">
        <f>SUM(AQ9:AQ27)</f>
        <v/>
      </c>
      <c r="AR28" s="73">
        <f>SUM(AR9:AR27)</f>
        <v/>
      </c>
      <c r="AS28" s="73">
        <f>SUM(AS9:AS27)</f>
        <v/>
      </c>
      <c r="AT28" s="73">
        <f>SUM(AT9:AT27)</f>
        <v/>
      </c>
      <c r="AU28" s="73">
        <f>SUM(AU9:AU27)</f>
        <v/>
      </c>
      <c r="AV28" s="73">
        <f>SUM(AV9:AV27)</f>
        <v/>
      </c>
      <c r="AW28" s="73">
        <f>SUM(AW9:AW27)</f>
        <v/>
      </c>
      <c r="AX28" s="73">
        <f>SUM(AX9:AX27)</f>
        <v/>
      </c>
      <c r="AY28" s="73">
        <f>SUM(AY9:AY27)</f>
        <v/>
      </c>
      <c r="AZ28" s="73">
        <f>SUM(AZ9:AZ27)</f>
        <v/>
      </c>
      <c r="BA28" s="73">
        <f>SUM(BA9:BA27)</f>
        <v/>
      </c>
      <c r="BB28" s="73">
        <f>SUM(BB9:BB27)</f>
        <v/>
      </c>
      <c r="BC28" s="73">
        <f>SUM(BC9:BC27)</f>
        <v/>
      </c>
      <c r="BD28" s="73">
        <f>SUM(BD9:BD27)</f>
        <v/>
      </c>
      <c r="BE28" s="73">
        <f>SUM(BE9:BE27)</f>
        <v/>
      </c>
      <c r="BF28" s="73">
        <f>SUM(BF9:BF27)</f>
        <v/>
      </c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</row>
    <row r="29" ht="15.75" customHeight="1" s="252">
      <c r="F29" s="11" t="n"/>
      <c r="G29" s="14" t="n"/>
      <c r="U29" s="74" t="n"/>
    </row>
    <row r="30" ht="15.75" customHeight="1" s="252">
      <c r="A30" s="11" t="inlineStr">
        <is>
          <t>Indigo Fees</t>
        </is>
      </c>
      <c r="B30" s="12" t="n">
        <v>0</v>
      </c>
      <c r="C30" s="18" t="n"/>
      <c r="D30" s="18" t="n"/>
      <c r="E30" s="18">
        <f>IFERROR(E9/E$28,"")</f>
        <v/>
      </c>
      <c r="F30" s="18">
        <f>IFERROR(F9/F$28,"")</f>
        <v/>
      </c>
      <c r="G30" s="18">
        <f>IFERROR(G9/G$28,"")</f>
        <v/>
      </c>
      <c r="H30" s="18">
        <f>IFERROR(H9/H$28,"")</f>
        <v/>
      </c>
      <c r="I30" s="18">
        <f>IFERROR(I9/I$28,"")</f>
        <v/>
      </c>
      <c r="J30" s="18">
        <f>IFERROR(J9/J$28,"")</f>
        <v/>
      </c>
      <c r="K30" s="18">
        <f>IFERROR(K9/K$28,"")</f>
        <v/>
      </c>
      <c r="L30" s="18">
        <f>IFERROR(L9/L$28,"")</f>
        <v/>
      </c>
      <c r="M30" s="18">
        <f>IFERROR(M9/M$28,"")</f>
        <v/>
      </c>
      <c r="N30" s="18">
        <f>IFERROR(N9/N$28,"")</f>
        <v/>
      </c>
      <c r="O30" s="18">
        <f>IFERROR(O9/O$28,"")</f>
        <v/>
      </c>
      <c r="P30" s="18">
        <f>IFERROR(P9/P$28,"")</f>
        <v/>
      </c>
      <c r="Q30" s="18">
        <f>IFERROR(Q9/Q$28,"")</f>
        <v/>
      </c>
      <c r="R30" s="18">
        <f>IFERROR(R9/R$28,"")</f>
        <v/>
      </c>
      <c r="S30" s="18">
        <f>IFERROR(S9/S$28,"")</f>
        <v/>
      </c>
      <c r="T30" s="18">
        <f>IFERROR(T9/T$28,"")</f>
        <v/>
      </c>
      <c r="U30" s="18">
        <f>IFERROR(U9/U$28,"")</f>
        <v/>
      </c>
      <c r="V30" s="18">
        <f>IFERROR(V9/V$28,"")</f>
        <v/>
      </c>
      <c r="W30" s="18">
        <f>IFERROR(W9/W$28,"")</f>
        <v/>
      </c>
      <c r="X30" s="18">
        <f>IFERROR(X9/X$28,"")</f>
        <v/>
      </c>
      <c r="Y30" s="18">
        <f>IFERROR(Y9/Y$28,"")</f>
        <v/>
      </c>
      <c r="Z30" s="18">
        <f>IFERROR(Z9/Z$28,"")</f>
        <v/>
      </c>
      <c r="AA30" s="18">
        <f>IFERROR(AA9/AA$28,"")</f>
        <v/>
      </c>
      <c r="AB30" s="18">
        <f>IFERROR(AB9/AB$28,"")</f>
        <v/>
      </c>
      <c r="AC30" s="18">
        <f>IFERROR(AC9/AC$28,"")</f>
        <v/>
      </c>
      <c r="AD30" s="18">
        <f>IFERROR(AD9/AD$28,"")</f>
        <v/>
      </c>
      <c r="AE30" s="18">
        <f>IFERROR(AE9/AE$28,"")</f>
        <v/>
      </c>
      <c r="AF30" s="18">
        <f>IFERROR(AF9/AF$28,"")</f>
        <v/>
      </c>
      <c r="AG30" s="18">
        <f>IFERROR(AG9/AG$28,"")</f>
        <v/>
      </c>
      <c r="AH30" s="18">
        <f>IFERROR(AH9/AH$28,"")</f>
        <v/>
      </c>
      <c r="AI30" s="18">
        <f>IFERROR(AI9/AI$28,"")</f>
        <v/>
      </c>
      <c r="AJ30" s="18">
        <f>IFERROR(AJ9/AJ$28,"")</f>
        <v/>
      </c>
      <c r="AK30" s="18">
        <f>IFERROR(AK9/AK$28,"")</f>
        <v/>
      </c>
      <c r="AL30" s="18">
        <f>IFERROR(AL9/AL$28,"")</f>
        <v/>
      </c>
      <c r="AM30" s="18">
        <f>IFERROR(AM9/AM$28,"")</f>
        <v/>
      </c>
      <c r="AN30" s="18">
        <f>IFERROR(AN9/AN$28,"")</f>
        <v/>
      </c>
      <c r="AO30" s="18">
        <f>IFERROR(AO9/AO$28,"")</f>
        <v/>
      </c>
      <c r="AP30" s="18">
        <f>IFERROR(AP9/AP$28,"")</f>
        <v/>
      </c>
      <c r="AQ30" s="18">
        <f>IFERROR(AQ9/AQ$28,"")</f>
        <v/>
      </c>
      <c r="AR30" s="18">
        <f>IFERROR(AR9/AR$28,"")</f>
        <v/>
      </c>
      <c r="AS30" s="18">
        <f>IFERROR(AS9/AS$28,"")</f>
        <v/>
      </c>
      <c r="AT30" s="18">
        <f>IFERROR(AT9/AT$28,"")</f>
        <v/>
      </c>
      <c r="AU30" s="18">
        <f>IFERROR(AU9/AU$28,"")</f>
        <v/>
      </c>
      <c r="AV30" s="18">
        <f>IFERROR(AV9/AV$28,"")</f>
        <v/>
      </c>
      <c r="AW30" s="18">
        <f>IFERROR(AW9/AW$28,"")</f>
        <v/>
      </c>
      <c r="AX30" s="18">
        <f>IFERROR(AX9/AX$28,"")</f>
        <v/>
      </c>
      <c r="AY30" s="18">
        <f>IFERROR(AY9/AY$28,"")</f>
        <v/>
      </c>
      <c r="AZ30" s="18">
        <f>IFERROR(AZ9/AZ$28,"")</f>
        <v/>
      </c>
      <c r="BA30" s="18">
        <f>IFERROR(BA9/BA$28,"")</f>
        <v/>
      </c>
      <c r="BB30" s="18">
        <f>IFERROR(BB9/BB$28,"")</f>
        <v/>
      </c>
      <c r="BC30" s="18">
        <f>IFERROR(BC9/BC$28,"")</f>
        <v/>
      </c>
      <c r="BD30" s="18">
        <f>IFERROR(BD9/BD$28,"")</f>
        <v/>
      </c>
      <c r="BE30" s="18">
        <f>IFERROR(BE9/BE$28,"")</f>
        <v/>
      </c>
      <c r="BF30" s="18">
        <f>IFERROR(BF9/BF$28,"")</f>
        <v/>
      </c>
    </row>
    <row r="31" ht="15.75" customHeight="1" s="252">
      <c r="A31" s="11" t="inlineStr">
        <is>
          <t>Jose Molla</t>
        </is>
      </c>
      <c r="B31" s="12" t="n">
        <v>0.2</v>
      </c>
      <c r="C31" s="18" t="n"/>
      <c r="D31" s="18" t="n"/>
      <c r="E31" s="18">
        <f>IFERROR(E10/E$28,"")</f>
        <v/>
      </c>
      <c r="F31" s="18">
        <f>IFERROR(F10/F$28,"")</f>
        <v/>
      </c>
      <c r="G31" s="18">
        <f>IFERROR(G10/G$28,"")</f>
        <v/>
      </c>
      <c r="H31" s="18">
        <f>IFERROR(H10/H$28,"")</f>
        <v/>
      </c>
      <c r="I31" s="18">
        <f>IFERROR(I10/I$28,"")</f>
        <v/>
      </c>
      <c r="J31" s="18">
        <f>IFERROR(J10/J$28,"")</f>
        <v/>
      </c>
      <c r="K31" s="18">
        <f>IFERROR(K10/K$28,"")</f>
        <v/>
      </c>
      <c r="L31" s="18">
        <f>IFERROR(L10/L$28,"")</f>
        <v/>
      </c>
      <c r="M31" s="18">
        <f>IFERROR(M10/M$28,"")</f>
        <v/>
      </c>
      <c r="N31" s="18">
        <f>IFERROR(N10/N$28,"")</f>
        <v/>
      </c>
      <c r="O31" s="18">
        <f>IFERROR(O10/O$28,"")</f>
        <v/>
      </c>
      <c r="P31" s="18">
        <f>IFERROR(P10/P$28,"")</f>
        <v/>
      </c>
      <c r="Q31" s="18">
        <f>IFERROR(Q10/Q$28,"")</f>
        <v/>
      </c>
      <c r="R31" s="18">
        <f>IFERROR(R10/R$28,"")</f>
        <v/>
      </c>
      <c r="S31" s="18">
        <f>IFERROR(S10/S$28,"")</f>
        <v/>
      </c>
      <c r="T31" s="18">
        <f>IFERROR(T10/T$28,"")</f>
        <v/>
      </c>
      <c r="U31" s="18">
        <f>IFERROR(U10/U$28,"")</f>
        <v/>
      </c>
      <c r="V31" s="18">
        <f>IFERROR(V10/V$28,"")</f>
        <v/>
      </c>
      <c r="W31" s="18">
        <f>IFERROR(W10/W$28,"")</f>
        <v/>
      </c>
      <c r="X31" s="18">
        <f>IFERROR(X10/X$28,"")</f>
        <v/>
      </c>
      <c r="Y31" s="18">
        <f>IFERROR(Y10/Y$28,"")</f>
        <v/>
      </c>
      <c r="Z31" s="18">
        <f>IFERROR(Z10/Z$28,"")</f>
        <v/>
      </c>
      <c r="AA31" s="18">
        <f>IFERROR(AA10/AA$28,"")</f>
        <v/>
      </c>
      <c r="AB31" s="18">
        <f>IFERROR(AB10/AB$28,"")</f>
        <v/>
      </c>
      <c r="AC31" s="18">
        <f>IFERROR(AC10/AC$28,"")</f>
        <v/>
      </c>
      <c r="AD31" s="18">
        <f>IFERROR(AD10/AD$28,"")</f>
        <v/>
      </c>
      <c r="AE31" s="18">
        <f>IFERROR(AE10/AE$28,"")</f>
        <v/>
      </c>
      <c r="AF31" s="18">
        <f>IFERROR(AF10/AF$28,"")</f>
        <v/>
      </c>
      <c r="AG31" s="18">
        <f>IFERROR(AG10/AG$28,"")</f>
        <v/>
      </c>
      <c r="AH31" s="18">
        <f>IFERROR(AH10/AH$28,"")</f>
        <v/>
      </c>
      <c r="AI31" s="18">
        <f>IFERROR(AI10/AI$28,"")</f>
        <v/>
      </c>
      <c r="AJ31" s="18">
        <f>IFERROR(AJ10/AJ$28,"")</f>
        <v/>
      </c>
      <c r="AK31" s="18">
        <f>IFERROR(AK10/AK$28,"")</f>
        <v/>
      </c>
      <c r="AL31" s="18">
        <f>IFERROR(AL10/AL$28,"")</f>
        <v/>
      </c>
      <c r="AM31" s="18">
        <f>IFERROR(AM10/AM$28,"")</f>
        <v/>
      </c>
      <c r="AN31" s="18">
        <f>IFERROR(AN10/AN$28,"")</f>
        <v/>
      </c>
      <c r="AO31" s="18">
        <f>IFERROR(AO10/AO$28,"")</f>
        <v/>
      </c>
      <c r="AP31" s="18">
        <f>IFERROR(AP10/AP$28,"")</f>
        <v/>
      </c>
      <c r="AQ31" s="18">
        <f>IFERROR(AQ10/AQ$28,"")</f>
        <v/>
      </c>
      <c r="AR31" s="18">
        <f>IFERROR(AR10/AR$28,"")</f>
        <v/>
      </c>
      <c r="AS31" s="18">
        <f>IFERROR(AS10/AS$28,"")</f>
        <v/>
      </c>
      <c r="AT31" s="18">
        <f>IFERROR(AT10/AT$28,"")</f>
        <v/>
      </c>
      <c r="AU31" s="18">
        <f>IFERROR(AU10/AU$28,"")</f>
        <v/>
      </c>
      <c r="AV31" s="18">
        <f>IFERROR(AV10/AV$28,"")</f>
        <v/>
      </c>
      <c r="AW31" s="18">
        <f>IFERROR(AW10/AW$28,"")</f>
        <v/>
      </c>
      <c r="AX31" s="18">
        <f>IFERROR(AX10/AX$28,"")</f>
        <v/>
      </c>
      <c r="AY31" s="18">
        <f>IFERROR(AY10/AY$28,"")</f>
        <v/>
      </c>
      <c r="AZ31" s="18">
        <f>IFERROR(AZ10/AZ$28,"")</f>
        <v/>
      </c>
      <c r="BA31" s="18">
        <f>IFERROR(BA10/BA$28,"")</f>
        <v/>
      </c>
      <c r="BB31" s="18">
        <f>IFERROR(BB10/BB$28,"")</f>
        <v/>
      </c>
      <c r="BC31" s="18">
        <f>IFERROR(BC10/BC$28,"")</f>
        <v/>
      </c>
      <c r="BD31" s="18">
        <f>IFERROR(BD10/BD$28,"")</f>
        <v/>
      </c>
      <c r="BE31" s="18">
        <f>IFERROR(BE10/BE$28,"")</f>
        <v/>
      </c>
      <c r="BF31" s="18">
        <f>IFERROR(BF10/BF$28,"")</f>
        <v/>
      </c>
    </row>
    <row r="32" ht="15.75" customHeight="1" s="252">
      <c r="A32" s="11" t="inlineStr">
        <is>
          <t>Kyle Gulamerian</t>
        </is>
      </c>
      <c r="B32" s="12" t="n">
        <v>0.15</v>
      </c>
      <c r="C32" s="18" t="n"/>
      <c r="D32" s="18" t="n"/>
      <c r="E32" s="18">
        <f>IFERROR(E11/E$28,"")</f>
        <v/>
      </c>
      <c r="F32" s="18">
        <f>IFERROR(F11/F$28,"")</f>
        <v/>
      </c>
      <c r="G32" s="18">
        <f>IFERROR(G11/G$28,"")</f>
        <v/>
      </c>
      <c r="H32" s="18">
        <f>IFERROR(H11/H$28,"")</f>
        <v/>
      </c>
      <c r="I32" s="18">
        <f>IFERROR(I11/I$28,"")</f>
        <v/>
      </c>
      <c r="J32" s="18">
        <f>IFERROR(J11/J$28,"")</f>
        <v/>
      </c>
      <c r="K32" s="18">
        <f>IFERROR(K11/K$28,"")</f>
        <v/>
      </c>
      <c r="L32" s="18">
        <f>IFERROR(L11/L$28,"")</f>
        <v/>
      </c>
      <c r="M32" s="18">
        <f>IFERROR(M11/M$28,"")</f>
        <v/>
      </c>
      <c r="N32" s="18">
        <f>IFERROR(N11/N$28,"")</f>
        <v/>
      </c>
      <c r="O32" s="18">
        <f>IFERROR(O11/O$28,"")</f>
        <v/>
      </c>
      <c r="P32" s="18">
        <f>IFERROR(P11/P$28,"")</f>
        <v/>
      </c>
      <c r="Q32" s="18">
        <f>IFERROR(Q11/Q$28,"")</f>
        <v/>
      </c>
      <c r="R32" s="18">
        <f>IFERROR(R11/R$28,"")</f>
        <v/>
      </c>
      <c r="S32" s="18">
        <f>IFERROR(S11/S$28,"")</f>
        <v/>
      </c>
      <c r="T32" s="18">
        <f>IFERROR(T11/T$28,"")</f>
        <v/>
      </c>
      <c r="U32" s="18">
        <f>IFERROR(U11/U$28,"")</f>
        <v/>
      </c>
      <c r="V32" s="18">
        <f>IFERROR(V11/V$28,"")</f>
        <v/>
      </c>
      <c r="W32" s="18">
        <f>IFERROR(W11/W$28,"")</f>
        <v/>
      </c>
      <c r="X32" s="18">
        <f>IFERROR(X11/X$28,"")</f>
        <v/>
      </c>
      <c r="Y32" s="18">
        <f>IFERROR(Y11/Y$28,"")</f>
        <v/>
      </c>
      <c r="Z32" s="18">
        <f>IFERROR(Z11/Z$28,"")</f>
        <v/>
      </c>
      <c r="AA32" s="18">
        <f>IFERROR(AA11/AA$28,"")</f>
        <v/>
      </c>
      <c r="AB32" s="18">
        <f>IFERROR(AB11/AB$28,"")</f>
        <v/>
      </c>
      <c r="AC32" s="18">
        <f>IFERROR(AC11/AC$28,"")</f>
        <v/>
      </c>
      <c r="AD32" s="18">
        <f>IFERROR(AD11/AD$28,"")</f>
        <v/>
      </c>
      <c r="AE32" s="18">
        <f>IFERROR(AE11/AE$28,"")</f>
        <v/>
      </c>
      <c r="AF32" s="18">
        <f>IFERROR(AF11/AF$28,"")</f>
        <v/>
      </c>
      <c r="AG32" s="18">
        <f>IFERROR(AG11/AG$28,"")</f>
        <v/>
      </c>
      <c r="AH32" s="18">
        <f>IFERROR(AH11/AH$28,"")</f>
        <v/>
      </c>
      <c r="AI32" s="18">
        <f>IFERROR(AI11/AI$28,"")</f>
        <v/>
      </c>
      <c r="AJ32" s="18">
        <f>IFERROR(AJ11/AJ$28,"")</f>
        <v/>
      </c>
      <c r="AK32" s="18">
        <f>IFERROR(AK11/AK$28,"")</f>
        <v/>
      </c>
      <c r="AL32" s="18">
        <f>IFERROR(AL11/AL$28,"")</f>
        <v/>
      </c>
      <c r="AM32" s="18">
        <f>IFERROR(AM11/AM$28,"")</f>
        <v/>
      </c>
      <c r="AN32" s="18">
        <f>IFERROR(AN11/AN$28,"")</f>
        <v/>
      </c>
      <c r="AO32" s="18">
        <f>IFERROR(AO11/AO$28,"")</f>
        <v/>
      </c>
      <c r="AP32" s="18">
        <f>IFERROR(AP11/AP$28,"")</f>
        <v/>
      </c>
      <c r="AQ32" s="18">
        <f>IFERROR(AQ11/AQ$28,"")</f>
        <v/>
      </c>
      <c r="AR32" s="18">
        <f>IFERROR(AR11/AR$28,"")</f>
        <v/>
      </c>
      <c r="AS32" s="18">
        <f>IFERROR(AS11/AS$28,"")</f>
        <v/>
      </c>
      <c r="AT32" s="18">
        <f>IFERROR(AT11/AT$28,"")</f>
        <v/>
      </c>
      <c r="AU32" s="18">
        <f>IFERROR(AU11/AU$28,"")</f>
        <v/>
      </c>
      <c r="AV32" s="18">
        <f>IFERROR(AV11/AV$28,"")</f>
        <v/>
      </c>
      <c r="AW32" s="18">
        <f>IFERROR(AW11/AW$28,"")</f>
        <v/>
      </c>
      <c r="AX32" s="18">
        <f>IFERROR(AX11/AX$28,"")</f>
        <v/>
      </c>
      <c r="AY32" s="18">
        <f>IFERROR(AY11/AY$28,"")</f>
        <v/>
      </c>
      <c r="AZ32" s="18">
        <f>IFERROR(AZ11/AZ$28,"")</f>
        <v/>
      </c>
      <c r="BA32" s="18">
        <f>IFERROR(BA11/BA$28,"")</f>
        <v/>
      </c>
      <c r="BB32" s="18">
        <f>IFERROR(BB11/BB$28,"")</f>
        <v/>
      </c>
      <c r="BC32" s="18">
        <f>IFERROR(BC11/BC$28,"")</f>
        <v/>
      </c>
      <c r="BD32" s="18">
        <f>IFERROR(BD11/BD$28,"")</f>
        <v/>
      </c>
      <c r="BE32" s="18">
        <f>IFERROR(BE11/BE$28,"")</f>
        <v/>
      </c>
      <c r="BF32" s="18">
        <f>IFERROR(BF11/BF$28,"")</f>
        <v/>
      </c>
    </row>
    <row r="33" ht="15.75" customHeight="1" s="252">
      <c r="A33" s="11" t="inlineStr">
        <is>
          <t>Matthias Reiser</t>
        </is>
      </c>
      <c r="B33" s="12" t="n">
        <v>0.1</v>
      </c>
      <c r="C33" s="18" t="n"/>
      <c r="D33" s="18" t="n"/>
      <c r="E33" s="18">
        <f>IFERROR(E12/E$28,"")</f>
        <v/>
      </c>
      <c r="F33" s="18">
        <f>IFERROR(F12/F$28,"")</f>
        <v/>
      </c>
      <c r="G33" s="18">
        <f>IFERROR(G12/G$28,"")</f>
        <v/>
      </c>
      <c r="H33" s="18">
        <f>IFERROR(H12/H$28,"")</f>
        <v/>
      </c>
      <c r="I33" s="18">
        <f>IFERROR(I12/I$28,"")</f>
        <v/>
      </c>
      <c r="J33" s="18">
        <f>IFERROR(J12/J$28,"")</f>
        <v/>
      </c>
      <c r="K33" s="18">
        <f>IFERROR(K12/K$28,"")</f>
        <v/>
      </c>
      <c r="L33" s="18">
        <f>IFERROR(L12/L$28,"")</f>
        <v/>
      </c>
      <c r="M33" s="18">
        <f>IFERROR(M12/M$28,"")</f>
        <v/>
      </c>
      <c r="N33" s="18">
        <f>IFERROR(N12/N$28,"")</f>
        <v/>
      </c>
      <c r="O33" s="18">
        <f>IFERROR(O12/O$28,"")</f>
        <v/>
      </c>
      <c r="P33" s="18">
        <f>IFERROR(P12/P$28,"")</f>
        <v/>
      </c>
      <c r="Q33" s="18">
        <f>IFERROR(Q12/Q$28,"")</f>
        <v/>
      </c>
      <c r="R33" s="18">
        <f>IFERROR(R12/R$28,"")</f>
        <v/>
      </c>
      <c r="S33" s="18">
        <f>IFERROR(S12/S$28,"")</f>
        <v/>
      </c>
      <c r="T33" s="18">
        <f>IFERROR(T12/T$28,"")</f>
        <v/>
      </c>
      <c r="U33" s="18">
        <f>IFERROR(U12/U$28,"")</f>
        <v/>
      </c>
      <c r="V33" s="18">
        <f>IFERROR(V12/V$28,"")</f>
        <v/>
      </c>
      <c r="W33" s="18">
        <f>IFERROR(W12/W$28,"")</f>
        <v/>
      </c>
      <c r="X33" s="18">
        <f>IFERROR(X12/X$28,"")</f>
        <v/>
      </c>
      <c r="Y33" s="18">
        <f>IFERROR(Y12/Y$28,"")</f>
        <v/>
      </c>
      <c r="Z33" s="18">
        <f>IFERROR(Z12/Z$28,"")</f>
        <v/>
      </c>
      <c r="AA33" s="18">
        <f>IFERROR(AA12/AA$28,"")</f>
        <v/>
      </c>
      <c r="AB33" s="18">
        <f>IFERROR(AB12/AB$28,"")</f>
        <v/>
      </c>
      <c r="AC33" s="18">
        <f>IFERROR(AC12/AC$28,"")</f>
        <v/>
      </c>
      <c r="AD33" s="18">
        <f>IFERROR(AD12/AD$28,"")</f>
        <v/>
      </c>
      <c r="AE33" s="18">
        <f>IFERROR(AE12/AE$28,"")</f>
        <v/>
      </c>
      <c r="AF33" s="18">
        <f>IFERROR(AF12/AF$28,"")</f>
        <v/>
      </c>
      <c r="AG33" s="18">
        <f>IFERROR(AG12/AG$28,"")</f>
        <v/>
      </c>
      <c r="AH33" s="18">
        <f>IFERROR(AH12/AH$28,"")</f>
        <v/>
      </c>
      <c r="AI33" s="18">
        <f>IFERROR(AI12/AI$28,"")</f>
        <v/>
      </c>
      <c r="AJ33" s="18">
        <f>IFERROR(AJ12/AJ$28,"")</f>
        <v/>
      </c>
      <c r="AK33" s="18">
        <f>IFERROR(AK12/AK$28,"")</f>
        <v/>
      </c>
      <c r="AL33" s="18">
        <f>IFERROR(AL12/AL$28,"")</f>
        <v/>
      </c>
      <c r="AM33" s="18">
        <f>IFERROR(AM12/AM$28,"")</f>
        <v/>
      </c>
      <c r="AN33" s="18">
        <f>IFERROR(AN12/AN$28,"")</f>
        <v/>
      </c>
      <c r="AO33" s="18">
        <f>IFERROR(AO12/AO$28,"")</f>
        <v/>
      </c>
      <c r="AP33" s="18">
        <f>IFERROR(AP12/AP$28,"")</f>
        <v/>
      </c>
      <c r="AQ33" s="18">
        <f>IFERROR(AQ12/AQ$28,"")</f>
        <v/>
      </c>
      <c r="AR33" s="18">
        <f>IFERROR(AR12/AR$28,"")</f>
        <v/>
      </c>
      <c r="AS33" s="18">
        <f>IFERROR(AS12/AS$28,"")</f>
        <v/>
      </c>
      <c r="AT33" s="18">
        <f>IFERROR(AT12/AT$28,"")</f>
        <v/>
      </c>
      <c r="AU33" s="18">
        <f>IFERROR(AU12/AU$28,"")</f>
        <v/>
      </c>
      <c r="AV33" s="18">
        <f>IFERROR(AV12/AV$28,"")</f>
        <v/>
      </c>
      <c r="AW33" s="18">
        <f>IFERROR(AW12/AW$28,"")</f>
        <v/>
      </c>
      <c r="AX33" s="18">
        <f>IFERROR(AX12/AX$28,"")</f>
        <v/>
      </c>
      <c r="AY33" s="18">
        <f>IFERROR(AY12/AY$28,"")</f>
        <v/>
      </c>
      <c r="AZ33" s="18">
        <f>IFERROR(AZ12/AZ$28,"")</f>
        <v/>
      </c>
      <c r="BA33" s="18">
        <f>IFERROR(BA12/BA$28,"")</f>
        <v/>
      </c>
      <c r="BB33" s="18">
        <f>IFERROR(BB12/BB$28,"")</f>
        <v/>
      </c>
      <c r="BC33" s="18">
        <f>IFERROR(BC12/BC$28,"")</f>
        <v/>
      </c>
      <c r="BD33" s="18">
        <f>IFERROR(BD12/BD$28,"")</f>
        <v/>
      </c>
      <c r="BE33" s="18">
        <f>IFERROR(BE12/BE$28,"")</f>
        <v/>
      </c>
      <c r="BF33" s="18">
        <f>IFERROR(BF12/BF$28,"")</f>
        <v/>
      </c>
    </row>
    <row r="34" ht="15.75" customHeight="1" s="252">
      <c r="A34" s="11" t="inlineStr">
        <is>
          <t>Thomas Puech</t>
        </is>
      </c>
      <c r="B34" s="12" t="n">
        <v>0</v>
      </c>
      <c r="C34" s="18" t="n"/>
      <c r="D34" s="18" t="n"/>
      <c r="E34" s="18">
        <f>IFERROR(E13/E$28,"")</f>
        <v/>
      </c>
      <c r="F34" s="18">
        <f>IFERROR(F13/F$28,"")</f>
        <v/>
      </c>
      <c r="G34" s="18">
        <f>IFERROR(G13/G$28,"")</f>
        <v/>
      </c>
      <c r="H34" s="18">
        <f>IFERROR(H13/H$28,"")</f>
        <v/>
      </c>
      <c r="I34" s="18">
        <f>IFERROR(I13/I$28,"")</f>
        <v/>
      </c>
      <c r="J34" s="18">
        <f>IFERROR(J13/J$28,"")</f>
        <v/>
      </c>
      <c r="K34" s="18">
        <f>IFERROR(K13/K$28,"")</f>
        <v/>
      </c>
      <c r="L34" s="18">
        <f>IFERROR(L13/L$28,"")</f>
        <v/>
      </c>
      <c r="M34" s="18">
        <f>IFERROR(M13/M$28,"")</f>
        <v/>
      </c>
      <c r="N34" s="18">
        <f>IFERROR(N13/N$28,"")</f>
        <v/>
      </c>
      <c r="O34" s="18">
        <f>IFERROR(O13/O$28,"")</f>
        <v/>
      </c>
      <c r="P34" s="18">
        <f>IFERROR(P13/P$28,"")</f>
        <v/>
      </c>
      <c r="Q34" s="18">
        <f>IFERROR(Q13/Q$28,"")</f>
        <v/>
      </c>
      <c r="R34" s="18">
        <f>IFERROR(R13/R$28,"")</f>
        <v/>
      </c>
      <c r="S34" s="18">
        <f>IFERROR(S13/S$28,"")</f>
        <v/>
      </c>
      <c r="T34" s="18">
        <f>IFERROR(T13/T$28,"")</f>
        <v/>
      </c>
      <c r="U34" s="18">
        <f>IFERROR(U13/U$28,"")</f>
        <v/>
      </c>
      <c r="V34" s="18">
        <f>IFERROR(V13/V$28,"")</f>
        <v/>
      </c>
      <c r="W34" s="18">
        <f>IFERROR(W13/W$28,"")</f>
        <v/>
      </c>
      <c r="X34" s="18">
        <f>IFERROR(X13/X$28,"")</f>
        <v/>
      </c>
      <c r="Y34" s="18">
        <f>IFERROR(Y13/Y$28,"")</f>
        <v/>
      </c>
      <c r="Z34" s="18">
        <f>IFERROR(Z13/Z$28,"")</f>
        <v/>
      </c>
      <c r="AA34" s="18">
        <f>IFERROR(AA13/AA$28,"")</f>
        <v/>
      </c>
      <c r="AB34" s="18">
        <f>IFERROR(AB13/AB$28,"")</f>
        <v/>
      </c>
      <c r="AC34" s="18">
        <f>IFERROR(AC13/AC$28,"")</f>
        <v/>
      </c>
      <c r="AD34" s="18">
        <f>IFERROR(AD13/AD$28,"")</f>
        <v/>
      </c>
      <c r="AE34" s="18">
        <f>IFERROR(AE13/AE$28,"")</f>
        <v/>
      </c>
      <c r="AF34" s="18">
        <f>IFERROR(AF13/AF$28,"")</f>
        <v/>
      </c>
      <c r="AG34" s="18">
        <f>IFERROR(AG13/AG$28,"")</f>
        <v/>
      </c>
      <c r="AH34" s="18">
        <f>IFERROR(AH13/AH$28,"")</f>
        <v/>
      </c>
      <c r="AI34" s="18">
        <f>IFERROR(AI13/AI$28,"")</f>
        <v/>
      </c>
      <c r="AJ34" s="18">
        <f>IFERROR(AJ13/AJ$28,"")</f>
        <v/>
      </c>
      <c r="AK34" s="18">
        <f>IFERROR(AK13/AK$28,"")</f>
        <v/>
      </c>
      <c r="AL34" s="18">
        <f>IFERROR(AL13/AL$28,"")</f>
        <v/>
      </c>
      <c r="AM34" s="18">
        <f>IFERROR(AM13/AM$28,"")</f>
        <v/>
      </c>
      <c r="AN34" s="18">
        <f>IFERROR(AN13/AN$28,"")</f>
        <v/>
      </c>
      <c r="AO34" s="18">
        <f>IFERROR(AO13/AO$28,"")</f>
        <v/>
      </c>
      <c r="AP34" s="18">
        <f>IFERROR(AP13/AP$28,"")</f>
        <v/>
      </c>
      <c r="AQ34" s="18">
        <f>IFERROR(AQ13/AQ$28,"")</f>
        <v/>
      </c>
      <c r="AR34" s="18">
        <f>IFERROR(AR13/AR$28,"")</f>
        <v/>
      </c>
      <c r="AS34" s="18">
        <f>IFERROR(AS13/AS$28,"")</f>
        <v/>
      </c>
      <c r="AT34" s="18">
        <f>IFERROR(AT13/AT$28,"")</f>
        <v/>
      </c>
      <c r="AU34" s="18">
        <f>IFERROR(AU13/AU$28,"")</f>
        <v/>
      </c>
      <c r="AV34" s="18">
        <f>IFERROR(AV13/AV$28,"")</f>
        <v/>
      </c>
      <c r="AW34" s="18">
        <f>IFERROR(AW13/AW$28,"")</f>
        <v/>
      </c>
      <c r="AX34" s="18">
        <f>IFERROR(AX13/AX$28,"")</f>
        <v/>
      </c>
      <c r="AY34" s="18">
        <f>IFERROR(AY13/AY$28,"")</f>
        <v/>
      </c>
      <c r="AZ34" s="18">
        <f>IFERROR(AZ13/AZ$28,"")</f>
        <v/>
      </c>
      <c r="BA34" s="18">
        <f>IFERROR(BA13/BA$28,"")</f>
        <v/>
      </c>
      <c r="BB34" s="18">
        <f>IFERROR(BB13/BB$28,"")</f>
        <v/>
      </c>
      <c r="BC34" s="18">
        <f>IFERROR(BC13/BC$28,"")</f>
        <v/>
      </c>
      <c r="BD34" s="18">
        <f>IFERROR(BD13/BD$28,"")</f>
        <v/>
      </c>
      <c r="BE34" s="18">
        <f>IFERROR(BE13/BE$28,"")</f>
        <v/>
      </c>
      <c r="BF34" s="18">
        <f>IFERROR(BF13/BF$28,"")</f>
        <v/>
      </c>
    </row>
    <row r="35" ht="15.75" customHeight="1" s="252">
      <c r="A35" s="11" t="inlineStr">
        <is>
          <t>Danielle Richetta</t>
        </is>
      </c>
      <c r="B35" s="12" t="n">
        <v>0.1</v>
      </c>
      <c r="C35" s="18" t="n"/>
      <c r="D35" s="18" t="n"/>
      <c r="E35" s="18">
        <f>IFERROR(E14/E$28,"")</f>
        <v/>
      </c>
      <c r="F35" s="18">
        <f>IFERROR(F14/F$28,"")</f>
        <v/>
      </c>
      <c r="G35" s="18">
        <f>IFERROR(G14/G$28,"")</f>
        <v/>
      </c>
      <c r="H35" s="18">
        <f>IFERROR(H14/H$28,"")</f>
        <v/>
      </c>
      <c r="I35" s="18">
        <f>IFERROR(I14/I$28,"")</f>
        <v/>
      </c>
      <c r="J35" s="18">
        <f>IFERROR(J14/J$28,"")</f>
        <v/>
      </c>
      <c r="K35" s="18">
        <f>IFERROR(K14/K$28,"")</f>
        <v/>
      </c>
      <c r="L35" s="18">
        <f>IFERROR(L14/L$28,"")</f>
        <v/>
      </c>
      <c r="M35" s="18">
        <f>IFERROR(M14/M$28,"")</f>
        <v/>
      </c>
      <c r="N35" s="18">
        <f>IFERROR(N14/N$28,"")</f>
        <v/>
      </c>
      <c r="O35" s="18">
        <f>IFERROR(O14/O$28,"")</f>
        <v/>
      </c>
      <c r="P35" s="18">
        <f>IFERROR(P14/P$28,"")</f>
        <v/>
      </c>
      <c r="Q35" s="18">
        <f>IFERROR(Q14/Q$28,"")</f>
        <v/>
      </c>
      <c r="R35" s="18">
        <f>IFERROR(R14/R$28,"")</f>
        <v/>
      </c>
      <c r="S35" s="18">
        <f>IFERROR(S14/S$28,"")</f>
        <v/>
      </c>
      <c r="T35" s="18">
        <f>IFERROR(T14/T$28,"")</f>
        <v/>
      </c>
      <c r="U35" s="18">
        <f>IFERROR(U14/U$28,"")</f>
        <v/>
      </c>
      <c r="V35" s="18">
        <f>IFERROR(V14/V$28,"")</f>
        <v/>
      </c>
      <c r="W35" s="18">
        <f>IFERROR(W14/W$28,"")</f>
        <v/>
      </c>
      <c r="X35" s="18">
        <f>IFERROR(X14/X$28,"")</f>
        <v/>
      </c>
      <c r="Y35" s="18">
        <f>IFERROR(Y14/Y$28,"")</f>
        <v/>
      </c>
      <c r="Z35" s="18">
        <f>IFERROR(Z14/Z$28,"")</f>
        <v/>
      </c>
      <c r="AA35" s="18">
        <f>IFERROR(AA14/AA$28,"")</f>
        <v/>
      </c>
      <c r="AB35" s="18">
        <f>IFERROR(AB14/AB$28,"")</f>
        <v/>
      </c>
      <c r="AC35" s="18">
        <f>IFERROR(AC14/AC$28,"")</f>
        <v/>
      </c>
      <c r="AD35" s="18">
        <f>IFERROR(AD14/AD$28,"")</f>
        <v/>
      </c>
      <c r="AE35" s="18">
        <f>IFERROR(AE14/AE$28,"")</f>
        <v/>
      </c>
      <c r="AF35" s="18">
        <f>IFERROR(AF14/AF$28,"")</f>
        <v/>
      </c>
      <c r="AG35" s="18">
        <f>IFERROR(AG14/AG$28,"")</f>
        <v/>
      </c>
      <c r="AH35" s="18">
        <f>IFERROR(AH14/AH$28,"")</f>
        <v/>
      </c>
      <c r="AI35" s="18">
        <f>IFERROR(AI14/AI$28,"")</f>
        <v/>
      </c>
      <c r="AJ35" s="18">
        <f>IFERROR(AJ14/AJ$28,"")</f>
        <v/>
      </c>
      <c r="AK35" s="18">
        <f>IFERROR(AK14/AK$28,"")</f>
        <v/>
      </c>
      <c r="AL35" s="18">
        <f>IFERROR(AL14/AL$28,"")</f>
        <v/>
      </c>
      <c r="AM35" s="18">
        <f>IFERROR(AM14/AM$28,"")</f>
        <v/>
      </c>
      <c r="AN35" s="18">
        <f>IFERROR(AN14/AN$28,"")</f>
        <v/>
      </c>
      <c r="AO35" s="18">
        <f>IFERROR(AO14/AO$28,"")</f>
        <v/>
      </c>
      <c r="AP35" s="18">
        <f>IFERROR(AP14/AP$28,"")</f>
        <v/>
      </c>
      <c r="AQ35" s="18">
        <f>IFERROR(AQ14/AQ$28,"")</f>
        <v/>
      </c>
      <c r="AR35" s="18">
        <f>IFERROR(AR14/AR$28,"")</f>
        <v/>
      </c>
      <c r="AS35" s="18">
        <f>IFERROR(AS14/AS$28,"")</f>
        <v/>
      </c>
      <c r="AT35" s="18">
        <f>IFERROR(AT14/AT$28,"")</f>
        <v/>
      </c>
      <c r="AU35" s="18">
        <f>IFERROR(AU14/AU$28,"")</f>
        <v/>
      </c>
      <c r="AV35" s="18">
        <f>IFERROR(AV14/AV$28,"")</f>
        <v/>
      </c>
      <c r="AW35" s="18">
        <f>IFERROR(AW14/AW$28,"")</f>
        <v/>
      </c>
      <c r="AX35" s="18">
        <f>IFERROR(AX14/AX$28,"")</f>
        <v/>
      </c>
      <c r="AY35" s="18">
        <f>IFERROR(AY14/AY$28,"")</f>
        <v/>
      </c>
      <c r="AZ35" s="18">
        <f>IFERROR(AZ14/AZ$28,"")</f>
        <v/>
      </c>
      <c r="BA35" s="18">
        <f>IFERROR(BA14/BA$28,"")</f>
        <v/>
      </c>
      <c r="BB35" s="18">
        <f>IFERROR(BB14/BB$28,"")</f>
        <v/>
      </c>
      <c r="BC35" s="18">
        <f>IFERROR(BC14/BC$28,"")</f>
        <v/>
      </c>
      <c r="BD35" s="18">
        <f>IFERROR(BD14/BD$28,"")</f>
        <v/>
      </c>
      <c r="BE35" s="18">
        <f>IFERROR(BE14/BE$28,"")</f>
        <v/>
      </c>
      <c r="BF35" s="18">
        <f>IFERROR(BF14/BF$28,"")</f>
        <v/>
      </c>
    </row>
    <row r="36" ht="15.75" customHeight="1" s="252">
      <c r="A36" s="11" t="inlineStr">
        <is>
          <t>Kabbaj</t>
        </is>
      </c>
      <c r="B36" s="12" t="n">
        <v>0.2</v>
      </c>
      <c r="C36" s="18" t="n"/>
      <c r="D36" s="18" t="n"/>
      <c r="E36" s="18">
        <f>IFERROR(E15/E$28,"")</f>
        <v/>
      </c>
      <c r="F36" s="18">
        <f>IFERROR(F15/F$28,"")</f>
        <v/>
      </c>
      <c r="G36" s="18">
        <f>IFERROR(G15/G$28,"")</f>
        <v/>
      </c>
      <c r="H36" s="18">
        <f>IFERROR(H15/H$28,"")</f>
        <v/>
      </c>
      <c r="I36" s="18">
        <f>IFERROR(I15/I$28,"")</f>
        <v/>
      </c>
      <c r="J36" s="18">
        <f>IFERROR(J15/J$28,"")</f>
        <v/>
      </c>
      <c r="K36" s="18">
        <f>IFERROR(K15/K$28,"")</f>
        <v/>
      </c>
      <c r="L36" s="18">
        <f>IFERROR(L15/L$28,"")</f>
        <v/>
      </c>
      <c r="M36" s="18">
        <f>IFERROR(M15/M$28,"")</f>
        <v/>
      </c>
      <c r="N36" s="18">
        <f>IFERROR(N15/N$28,"")</f>
        <v/>
      </c>
      <c r="O36" s="18">
        <f>IFERROR(O15/O$28,"")</f>
        <v/>
      </c>
      <c r="P36" s="18">
        <f>IFERROR(P15/P$28,"")</f>
        <v/>
      </c>
      <c r="Q36" s="18">
        <f>IFERROR(Q15/Q$28,"")</f>
        <v/>
      </c>
      <c r="R36" s="18">
        <f>IFERROR(R15/R$28,"")</f>
        <v/>
      </c>
      <c r="S36" s="18">
        <f>IFERROR(S15/S$28,"")</f>
        <v/>
      </c>
      <c r="T36" s="18">
        <f>IFERROR(T15/T$28,"")</f>
        <v/>
      </c>
      <c r="U36" s="18">
        <f>IFERROR(U15/U$28,"")</f>
        <v/>
      </c>
      <c r="V36" s="18">
        <f>IFERROR(V15/V$28,"")</f>
        <v/>
      </c>
      <c r="W36" s="18">
        <f>IFERROR(W15/W$28,"")</f>
        <v/>
      </c>
      <c r="X36" s="18">
        <f>IFERROR(X15/X$28,"")</f>
        <v/>
      </c>
      <c r="Y36" s="18">
        <f>IFERROR(Y15/Y$28,"")</f>
        <v/>
      </c>
      <c r="Z36" s="18">
        <f>IFERROR(Z15/Z$28,"")</f>
        <v/>
      </c>
      <c r="AA36" s="18">
        <f>IFERROR(AA15/AA$28,"")</f>
        <v/>
      </c>
      <c r="AB36" s="18">
        <f>IFERROR(AB15/AB$28,"")</f>
        <v/>
      </c>
      <c r="AC36" s="18">
        <f>IFERROR(AC15/AC$28,"")</f>
        <v/>
      </c>
      <c r="AD36" s="18">
        <f>IFERROR(AD15/AD$28,"")</f>
        <v/>
      </c>
      <c r="AE36" s="18">
        <f>IFERROR(AE15/AE$28,"")</f>
        <v/>
      </c>
      <c r="AF36" s="18">
        <f>IFERROR(AF15/AF$28,"")</f>
        <v/>
      </c>
      <c r="AG36" s="18">
        <f>IFERROR(AG15/AG$28,"")</f>
        <v/>
      </c>
      <c r="AH36" s="18">
        <f>IFERROR(AH15/AH$28,"")</f>
        <v/>
      </c>
      <c r="AI36" s="18">
        <f>IFERROR(AI15/AI$28,"")</f>
        <v/>
      </c>
      <c r="AJ36" s="18">
        <f>IFERROR(AJ15/AJ$28,"")</f>
        <v/>
      </c>
      <c r="AK36" s="18">
        <f>IFERROR(AK15/AK$28,"")</f>
        <v/>
      </c>
      <c r="AL36" s="18">
        <f>IFERROR(AL15/AL$28,"")</f>
        <v/>
      </c>
      <c r="AM36" s="18">
        <f>IFERROR(AM15/AM$28,"")</f>
        <v/>
      </c>
      <c r="AN36" s="18">
        <f>IFERROR(AN15/AN$28,"")</f>
        <v/>
      </c>
      <c r="AO36" s="18">
        <f>IFERROR(AO15/AO$28,"")</f>
        <v/>
      </c>
      <c r="AP36" s="18">
        <f>IFERROR(AP15/AP$28,"")</f>
        <v/>
      </c>
      <c r="AQ36" s="18">
        <f>IFERROR(AQ15/AQ$28,"")</f>
        <v/>
      </c>
      <c r="AR36" s="18">
        <f>IFERROR(AR15/AR$28,"")</f>
        <v/>
      </c>
      <c r="AS36" s="18">
        <f>IFERROR(AS15/AS$28,"")</f>
        <v/>
      </c>
      <c r="AT36" s="18">
        <f>IFERROR(AT15/AT$28,"")</f>
        <v/>
      </c>
      <c r="AU36" s="18">
        <f>IFERROR(AU15/AU$28,"")</f>
        <v/>
      </c>
      <c r="AV36" s="18">
        <f>IFERROR(AV15/AV$28,"")</f>
        <v/>
      </c>
      <c r="AW36" s="18">
        <f>IFERROR(AW15/AW$28,"")</f>
        <v/>
      </c>
      <c r="AX36" s="18">
        <f>IFERROR(AX15/AX$28,"")</f>
        <v/>
      </c>
      <c r="AY36" s="18">
        <f>IFERROR(AY15/AY$28,"")</f>
        <v/>
      </c>
      <c r="AZ36" s="18">
        <f>IFERROR(AZ15/AZ$28,"")</f>
        <v/>
      </c>
      <c r="BA36" s="18">
        <f>IFERROR(BA15/BA$28,"")</f>
        <v/>
      </c>
      <c r="BB36" s="18">
        <f>IFERROR(BB15/BB$28,"")</f>
        <v/>
      </c>
      <c r="BC36" s="18">
        <f>IFERROR(BC15/BC$28,"")</f>
        <v/>
      </c>
      <c r="BD36" s="18">
        <f>IFERROR(BD15/BD$28,"")</f>
        <v/>
      </c>
      <c r="BE36" s="18">
        <f>IFERROR(BE15/BE$28,"")</f>
        <v/>
      </c>
      <c r="BF36" s="18">
        <f>IFERROR(BF15/BF$28,"")</f>
        <v/>
      </c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</row>
    <row r="37" ht="15.75" customHeight="1" s="252">
      <c r="A37" s="11" t="inlineStr">
        <is>
          <t>Victoria Pariente-Cohen</t>
        </is>
      </c>
      <c r="B37" s="12" t="n">
        <v>0</v>
      </c>
      <c r="C37" s="18" t="n"/>
      <c r="D37" s="18" t="n"/>
      <c r="E37" s="18">
        <f>IFERROR(E16/E$28,"")</f>
        <v/>
      </c>
      <c r="F37" s="18">
        <f>IFERROR(F16/F$28,"")</f>
        <v/>
      </c>
      <c r="G37" s="18">
        <f>IFERROR(G16/G$28,"")</f>
        <v/>
      </c>
      <c r="H37" s="18">
        <f>IFERROR(H16/H$28,"")</f>
        <v/>
      </c>
      <c r="I37" s="18">
        <f>IFERROR(I16/I$28,"")</f>
        <v/>
      </c>
      <c r="J37" s="18">
        <f>IFERROR(J16/J$28,"")</f>
        <v/>
      </c>
      <c r="K37" s="18">
        <f>IFERROR(K16/K$28,"")</f>
        <v/>
      </c>
      <c r="L37" s="18">
        <f>IFERROR(L16/L$28,"")</f>
        <v/>
      </c>
      <c r="M37" s="18">
        <f>IFERROR(M16/M$28,"")</f>
        <v/>
      </c>
      <c r="N37" s="18">
        <f>IFERROR(N16/N$28,"")</f>
        <v/>
      </c>
      <c r="O37" s="18">
        <f>IFERROR(O16/O$28,"")</f>
        <v/>
      </c>
      <c r="P37" s="18">
        <f>IFERROR(P16/P$28,"")</f>
        <v/>
      </c>
      <c r="Q37" s="18">
        <f>IFERROR(Q16/Q$28,"")</f>
        <v/>
      </c>
      <c r="R37" s="18">
        <f>IFERROR(R16/R$28,"")</f>
        <v/>
      </c>
      <c r="S37" s="18">
        <f>IFERROR(S16/S$28,"")</f>
        <v/>
      </c>
      <c r="T37" s="18">
        <f>IFERROR(T16/T$28,"")</f>
        <v/>
      </c>
      <c r="U37" s="18">
        <f>IFERROR(U16/U$28,"")</f>
        <v/>
      </c>
      <c r="V37" s="18">
        <f>IFERROR(V16/V$28,"")</f>
        <v/>
      </c>
      <c r="W37" s="18">
        <f>IFERROR(W16/W$28,"")</f>
        <v/>
      </c>
      <c r="X37" s="18">
        <f>IFERROR(X16/X$28,"")</f>
        <v/>
      </c>
      <c r="Y37" s="18">
        <f>IFERROR(Y16/Y$28,"")</f>
        <v/>
      </c>
      <c r="Z37" s="18">
        <f>IFERROR(Z16/Z$28,"")</f>
        <v/>
      </c>
      <c r="AA37" s="18">
        <f>IFERROR(AA16/AA$28,"")</f>
        <v/>
      </c>
      <c r="AB37" s="18">
        <f>IFERROR(AB16/AB$28,"")</f>
        <v/>
      </c>
      <c r="AC37" s="18">
        <f>IFERROR(AC16/AC$28,"")</f>
        <v/>
      </c>
      <c r="AD37" s="18">
        <f>IFERROR(AD16/AD$28,"")</f>
        <v/>
      </c>
      <c r="AE37" s="18">
        <f>IFERROR(AE16/AE$28,"")</f>
        <v/>
      </c>
      <c r="AF37" s="18">
        <f>IFERROR(AF16/AF$28,"")</f>
        <v/>
      </c>
      <c r="AG37" s="18">
        <f>IFERROR(AG16/AG$28,"")</f>
        <v/>
      </c>
      <c r="AH37" s="18">
        <f>IFERROR(AH16/AH$28,"")</f>
        <v/>
      </c>
      <c r="AI37" s="18">
        <f>IFERROR(AI16/AI$28,"")</f>
        <v/>
      </c>
      <c r="AJ37" s="18">
        <f>IFERROR(AJ16/AJ$28,"")</f>
        <v/>
      </c>
      <c r="AK37" s="18">
        <f>IFERROR(AK16/AK$28,"")</f>
        <v/>
      </c>
      <c r="AL37" s="18">
        <f>IFERROR(AL16/AL$28,"")</f>
        <v/>
      </c>
      <c r="AM37" s="18">
        <f>IFERROR(AM16/AM$28,"")</f>
        <v/>
      </c>
      <c r="AN37" s="18">
        <f>IFERROR(AN16/AN$28,"")</f>
        <v/>
      </c>
      <c r="AO37" s="18">
        <f>IFERROR(AO16/AO$28,"")</f>
        <v/>
      </c>
      <c r="AP37" s="18">
        <f>IFERROR(AP16/AP$28,"")</f>
        <v/>
      </c>
      <c r="AQ37" s="18">
        <f>IFERROR(AQ16/AQ$28,"")</f>
        <v/>
      </c>
      <c r="AR37" s="18">
        <f>IFERROR(AR16/AR$28,"")</f>
        <v/>
      </c>
      <c r="AS37" s="18">
        <f>IFERROR(AS16/AS$28,"")</f>
        <v/>
      </c>
      <c r="AT37" s="18">
        <f>IFERROR(AT16/AT$28,"")</f>
        <v/>
      </c>
      <c r="AU37" s="18">
        <f>IFERROR(AU16/AU$28,"")</f>
        <v/>
      </c>
      <c r="AV37" s="18">
        <f>IFERROR(AV16/AV$28,"")</f>
        <v/>
      </c>
      <c r="AW37" s="18">
        <f>IFERROR(AW16/AW$28,"")</f>
        <v/>
      </c>
      <c r="AX37" s="18">
        <f>IFERROR(AX16/AX$28,"")</f>
        <v/>
      </c>
      <c r="AY37" s="18">
        <f>IFERROR(AY16/AY$28,"")</f>
        <v/>
      </c>
      <c r="AZ37" s="18">
        <f>IFERROR(AZ16/AZ$28,"")</f>
        <v/>
      </c>
      <c r="BA37" s="18">
        <f>IFERROR(BA16/BA$28,"")</f>
        <v/>
      </c>
      <c r="BB37" s="18">
        <f>IFERROR(BB16/BB$28,"")</f>
        <v/>
      </c>
      <c r="BC37" s="18">
        <f>IFERROR(BC16/BC$28,"")</f>
        <v/>
      </c>
      <c r="BD37" s="18">
        <f>IFERROR(BD16/BD$28,"")</f>
        <v/>
      </c>
      <c r="BE37" s="18">
        <f>IFERROR(BE16/BE$28,"")</f>
        <v/>
      </c>
      <c r="BF37" s="18">
        <f>IFERROR(BF16/BF$28,"")</f>
        <v/>
      </c>
    </row>
    <row r="38" ht="15.75" customHeight="1" s="252">
      <c r="A38" s="11" t="inlineStr">
        <is>
          <t>Nathanaël Cohen</t>
        </is>
      </c>
      <c r="B38" s="12" t="n">
        <v>0</v>
      </c>
      <c r="C38" s="18" t="n"/>
      <c r="D38" s="18" t="n"/>
      <c r="E38" s="18">
        <f>IFERROR(E17/E$28,"")</f>
        <v/>
      </c>
      <c r="F38" s="18">
        <f>IFERROR(F17/F$28,"")</f>
        <v/>
      </c>
      <c r="G38" s="18">
        <f>IFERROR(G17/G$28,"")</f>
        <v/>
      </c>
      <c r="H38" s="18">
        <f>IFERROR(H17/H$28,"")</f>
        <v/>
      </c>
      <c r="I38" s="18">
        <f>IFERROR(I17/I$28,"")</f>
        <v/>
      </c>
      <c r="J38" s="18">
        <f>IFERROR(J17/J$28,"")</f>
        <v/>
      </c>
      <c r="K38" s="18">
        <f>IFERROR(K17/K$28,"")</f>
        <v/>
      </c>
      <c r="L38" s="18">
        <f>IFERROR(L17/L$28,"")</f>
        <v/>
      </c>
      <c r="M38" s="18">
        <f>IFERROR(M17/M$28,"")</f>
        <v/>
      </c>
      <c r="N38" s="18">
        <f>IFERROR(N17/N$28,"")</f>
        <v/>
      </c>
      <c r="O38" s="18">
        <f>IFERROR(O17/O$28,"")</f>
        <v/>
      </c>
      <c r="P38" s="18">
        <f>IFERROR(P17/P$28,"")</f>
        <v/>
      </c>
      <c r="Q38" s="18">
        <f>IFERROR(Q17/Q$28,"")</f>
        <v/>
      </c>
      <c r="R38" s="18">
        <f>IFERROR(R17/R$28,"")</f>
        <v/>
      </c>
      <c r="S38" s="18">
        <f>IFERROR(S17/S$28,"")</f>
        <v/>
      </c>
      <c r="T38" s="18">
        <f>IFERROR(T17/T$28,"")</f>
        <v/>
      </c>
      <c r="U38" s="18">
        <f>IFERROR(U17/U$28,"")</f>
        <v/>
      </c>
      <c r="V38" s="18">
        <f>IFERROR(V17/V$28,"")</f>
        <v/>
      </c>
      <c r="W38" s="18">
        <f>IFERROR(W17/W$28,"")</f>
        <v/>
      </c>
      <c r="X38" s="18">
        <f>IFERROR(X17/X$28,"")</f>
        <v/>
      </c>
      <c r="Y38" s="18">
        <f>IFERROR(Y17/Y$28,"")</f>
        <v/>
      </c>
      <c r="Z38" s="18">
        <f>IFERROR(Z17/Z$28,"")</f>
        <v/>
      </c>
      <c r="AA38" s="18">
        <f>IFERROR(AA17/AA$28,"")</f>
        <v/>
      </c>
      <c r="AB38" s="18">
        <f>IFERROR(AB17/AB$28,"")</f>
        <v/>
      </c>
      <c r="AC38" s="18">
        <f>IFERROR(AC17/AC$28,"")</f>
        <v/>
      </c>
      <c r="AD38" s="18">
        <f>IFERROR(AD17/AD$28,"")</f>
        <v/>
      </c>
      <c r="AE38" s="18">
        <f>IFERROR(AE17/AE$28,"")</f>
        <v/>
      </c>
      <c r="AF38" s="18">
        <f>IFERROR(AF17/AF$28,"")</f>
        <v/>
      </c>
      <c r="AG38" s="18">
        <f>IFERROR(AG17/AG$28,"")</f>
        <v/>
      </c>
      <c r="AH38" s="18">
        <f>IFERROR(AH17/AH$28,"")</f>
        <v/>
      </c>
      <c r="AI38" s="18">
        <f>IFERROR(AI17/AI$28,"")</f>
        <v/>
      </c>
      <c r="AJ38" s="18">
        <f>IFERROR(AJ17/AJ$28,"")</f>
        <v/>
      </c>
      <c r="AK38" s="18">
        <f>IFERROR(AK17/AK$28,"")</f>
        <v/>
      </c>
      <c r="AL38" s="18">
        <f>IFERROR(AL17/AL$28,"")</f>
        <v/>
      </c>
      <c r="AM38" s="18">
        <f>IFERROR(AM17/AM$28,"")</f>
        <v/>
      </c>
      <c r="AN38" s="18">
        <f>IFERROR(AN17/AN$28,"")</f>
        <v/>
      </c>
      <c r="AO38" s="18">
        <f>IFERROR(AO17/AO$28,"")</f>
        <v/>
      </c>
      <c r="AP38" s="18">
        <f>IFERROR(AP17/AP$28,"")</f>
        <v/>
      </c>
      <c r="AQ38" s="18">
        <f>IFERROR(AQ17/AQ$28,"")</f>
        <v/>
      </c>
      <c r="AR38" s="18">
        <f>IFERROR(AR17/AR$28,"")</f>
        <v/>
      </c>
      <c r="AS38" s="18">
        <f>IFERROR(AS17/AS$28,"")</f>
        <v/>
      </c>
      <c r="AT38" s="18">
        <f>IFERROR(AT17/AT$28,"")</f>
        <v/>
      </c>
      <c r="AU38" s="18">
        <f>IFERROR(AU17/AU$28,"")</f>
        <v/>
      </c>
      <c r="AV38" s="18">
        <f>IFERROR(AV17/AV$28,"")</f>
        <v/>
      </c>
      <c r="AW38" s="18">
        <f>IFERROR(AW17/AW$28,"")</f>
        <v/>
      </c>
      <c r="AX38" s="18">
        <f>IFERROR(AX17/AX$28,"")</f>
        <v/>
      </c>
      <c r="AY38" s="18">
        <f>IFERROR(AY17/AY$28,"")</f>
        <v/>
      </c>
      <c r="AZ38" s="18">
        <f>IFERROR(AZ17/AZ$28,"")</f>
        <v/>
      </c>
      <c r="BA38" s="18">
        <f>IFERROR(BA17/BA$28,"")</f>
        <v/>
      </c>
      <c r="BB38" s="18">
        <f>IFERROR(BB17/BB$28,"")</f>
        <v/>
      </c>
      <c r="BC38" s="18">
        <f>IFERROR(BC17/BC$28,"")</f>
        <v/>
      </c>
      <c r="BD38" s="18">
        <f>IFERROR(BD17/BD$28,"")</f>
        <v/>
      </c>
      <c r="BE38" s="18">
        <f>IFERROR(BE17/BE$28,"")</f>
        <v/>
      </c>
      <c r="BF38" s="18">
        <f>IFERROR(BF17/BF$28,"")</f>
        <v/>
      </c>
    </row>
    <row r="39" ht="15.75" customHeight="1" s="252">
      <c r="A39" s="11" t="inlineStr">
        <is>
          <t>Blondish</t>
        </is>
      </c>
      <c r="B39" s="12" t="n">
        <v>0</v>
      </c>
      <c r="C39" s="18" t="n"/>
      <c r="D39" s="18" t="n"/>
      <c r="E39" s="18">
        <f>IFERROR(E18/E$28,"")</f>
        <v/>
      </c>
      <c r="F39" s="18">
        <f>IFERROR(F18/F$28,"")</f>
        <v/>
      </c>
      <c r="G39" s="18">
        <f>IFERROR(G18/G$28,"")</f>
        <v/>
      </c>
      <c r="H39" s="18">
        <f>IFERROR(H18/H$28,"")</f>
        <v/>
      </c>
      <c r="I39" s="18">
        <f>IFERROR(I18/I$28,"")</f>
        <v/>
      </c>
      <c r="J39" s="18">
        <f>IFERROR(J18/J$28,"")</f>
        <v/>
      </c>
      <c r="K39" s="18">
        <f>IFERROR(K18/K$28,"")</f>
        <v/>
      </c>
      <c r="L39" s="18">
        <f>IFERROR(L18/L$28,"")</f>
        <v/>
      </c>
      <c r="M39" s="18">
        <f>IFERROR(M18/M$28,"")</f>
        <v/>
      </c>
      <c r="N39" s="18">
        <f>IFERROR(N18/N$28,"")</f>
        <v/>
      </c>
      <c r="O39" s="18">
        <f>IFERROR(O18/O$28,"")</f>
        <v/>
      </c>
      <c r="P39" s="18">
        <f>IFERROR(P18/P$28,"")</f>
        <v/>
      </c>
      <c r="Q39" s="18">
        <f>IFERROR(Q18/Q$28,"")</f>
        <v/>
      </c>
      <c r="R39" s="18">
        <f>IFERROR(R18/R$28,"")</f>
        <v/>
      </c>
      <c r="S39" s="18">
        <f>IFERROR(S18/S$28,"")</f>
        <v/>
      </c>
      <c r="T39" s="18">
        <f>IFERROR(T18/T$28,"")</f>
        <v/>
      </c>
      <c r="U39" s="18">
        <f>IFERROR(U18/U$28,"")</f>
        <v/>
      </c>
      <c r="V39" s="18">
        <f>IFERROR(V18/V$28,"")</f>
        <v/>
      </c>
      <c r="W39" s="18">
        <f>IFERROR(W18/W$28,"")</f>
        <v/>
      </c>
      <c r="X39" s="18">
        <f>IFERROR(X18/X$28,"")</f>
        <v/>
      </c>
      <c r="Y39" s="18">
        <f>IFERROR(Y18/Y$28,"")</f>
        <v/>
      </c>
      <c r="Z39" s="18">
        <f>IFERROR(Z18/Z$28,"")</f>
        <v/>
      </c>
      <c r="AA39" s="18">
        <f>IFERROR(AA18/AA$28,"")</f>
        <v/>
      </c>
      <c r="AB39" s="18">
        <f>IFERROR(AB18/AB$28,"")</f>
        <v/>
      </c>
      <c r="AC39" s="18">
        <f>IFERROR(AC18/AC$28,"")</f>
        <v/>
      </c>
      <c r="AD39" s="18">
        <f>IFERROR(AD18/AD$28,"")</f>
        <v/>
      </c>
      <c r="AE39" s="18">
        <f>IFERROR(AE18/AE$28,"")</f>
        <v/>
      </c>
      <c r="AF39" s="18">
        <f>IFERROR(AF18/AF$28,"")</f>
        <v/>
      </c>
      <c r="AG39" s="18">
        <f>IFERROR(AG18/AG$28,"")</f>
        <v/>
      </c>
      <c r="AH39" s="18">
        <f>IFERROR(AH18/AH$28,"")</f>
        <v/>
      </c>
      <c r="AI39" s="18">
        <f>IFERROR(AI18/AI$28,"")</f>
        <v/>
      </c>
      <c r="AJ39" s="18">
        <f>IFERROR(AJ18/AJ$28,"")</f>
        <v/>
      </c>
      <c r="AK39" s="18">
        <f>IFERROR(AK18/AK$28,"")</f>
        <v/>
      </c>
      <c r="AL39" s="18">
        <f>IFERROR(AL18/AL$28,"")</f>
        <v/>
      </c>
      <c r="AM39" s="18">
        <f>IFERROR(AM18/AM$28,"")</f>
        <v/>
      </c>
      <c r="AN39" s="18">
        <f>IFERROR(AN18/AN$28,"")</f>
        <v/>
      </c>
      <c r="AO39" s="18">
        <f>IFERROR(AO18/AO$28,"")</f>
        <v/>
      </c>
      <c r="AP39" s="18">
        <f>IFERROR(AP18/AP$28,"")</f>
        <v/>
      </c>
      <c r="AQ39" s="18">
        <f>IFERROR(AQ18/AQ$28,"")</f>
        <v/>
      </c>
      <c r="AR39" s="18">
        <f>IFERROR(AR18/AR$28,"")</f>
        <v/>
      </c>
      <c r="AS39" s="18">
        <f>IFERROR(AS18/AS$28,"")</f>
        <v/>
      </c>
      <c r="AT39" s="18">
        <f>IFERROR(AT18/AT$28,"")</f>
        <v/>
      </c>
      <c r="AU39" s="18">
        <f>IFERROR(AU18/AU$28,"")</f>
        <v/>
      </c>
      <c r="AV39" s="18">
        <f>IFERROR(AV18/AV$28,"")</f>
        <v/>
      </c>
      <c r="AW39" s="18">
        <f>IFERROR(AW18/AW$28,"")</f>
        <v/>
      </c>
      <c r="AX39" s="18">
        <f>IFERROR(AX18/AX$28,"")</f>
        <v/>
      </c>
      <c r="AY39" s="18">
        <f>IFERROR(AY18/AY$28,"")</f>
        <v/>
      </c>
      <c r="AZ39" s="18">
        <f>IFERROR(AZ18/AZ$28,"")</f>
        <v/>
      </c>
      <c r="BA39" s="18">
        <f>IFERROR(BA18/BA$28,"")</f>
        <v/>
      </c>
      <c r="BB39" s="18">
        <f>IFERROR(BB18/BB$28,"")</f>
        <v/>
      </c>
      <c r="BC39" s="18">
        <f>IFERROR(BC18/BC$28,"")</f>
        <v/>
      </c>
      <c r="BD39" s="18">
        <f>IFERROR(BD18/BD$28,"")</f>
        <v/>
      </c>
      <c r="BE39" s="18">
        <f>IFERROR(BE18/BE$28,"")</f>
        <v/>
      </c>
      <c r="BF39" s="18">
        <f>IFERROR(BF18/BF$28,"")</f>
        <v/>
      </c>
    </row>
    <row r="40" ht="15.75" customHeight="1" s="252">
      <c r="A40" s="11" t="inlineStr">
        <is>
          <t>Oliver Loisel</t>
        </is>
      </c>
      <c r="B40" s="12" t="n">
        <v>0.1</v>
      </c>
      <c r="C40" s="18" t="n"/>
      <c r="D40" s="18" t="n"/>
      <c r="E40" s="18">
        <f>IFERROR(E19/E$28,"")</f>
        <v/>
      </c>
      <c r="F40" s="18">
        <f>IFERROR(F19/F$28,"")</f>
        <v/>
      </c>
      <c r="G40" s="18">
        <f>IFERROR(G19/G$28,"")</f>
        <v/>
      </c>
      <c r="H40" s="18">
        <f>IFERROR(H19/H$28,"")</f>
        <v/>
      </c>
      <c r="I40" s="18">
        <f>IFERROR(I19/I$28,"")</f>
        <v/>
      </c>
      <c r="J40" s="18">
        <f>IFERROR(J19/J$28,"")</f>
        <v/>
      </c>
      <c r="K40" s="18">
        <f>IFERROR(K19/K$28,"")</f>
        <v/>
      </c>
      <c r="L40" s="18">
        <f>IFERROR(L19/L$28,"")</f>
        <v/>
      </c>
      <c r="M40" s="18">
        <f>IFERROR(M19/M$28,"")</f>
        <v/>
      </c>
      <c r="N40" s="18">
        <f>IFERROR(N19/N$28,"")</f>
        <v/>
      </c>
      <c r="O40" s="18">
        <f>IFERROR(O19/O$28,"")</f>
        <v/>
      </c>
      <c r="P40" s="18">
        <f>IFERROR(P19/P$28,"")</f>
        <v/>
      </c>
      <c r="Q40" s="18">
        <f>IFERROR(Q19/Q$28,"")</f>
        <v/>
      </c>
      <c r="R40" s="18">
        <f>IFERROR(R19/R$28,"")</f>
        <v/>
      </c>
      <c r="S40" s="18">
        <f>IFERROR(S19/S$28,"")</f>
        <v/>
      </c>
      <c r="T40" s="18">
        <f>IFERROR(T19/T$28,"")</f>
        <v/>
      </c>
      <c r="U40" s="18">
        <f>IFERROR(U19/U$28,"")</f>
        <v/>
      </c>
      <c r="V40" s="18">
        <f>IFERROR(V19/V$28,"")</f>
        <v/>
      </c>
      <c r="W40" s="18">
        <f>IFERROR(W19/W$28,"")</f>
        <v/>
      </c>
      <c r="X40" s="18">
        <f>IFERROR(X19/X$28,"")</f>
        <v/>
      </c>
      <c r="Y40" s="18">
        <f>IFERROR(Y19/Y$28,"")</f>
        <v/>
      </c>
      <c r="Z40" s="18">
        <f>IFERROR(Z19/Z$28,"")</f>
        <v/>
      </c>
      <c r="AA40" s="18">
        <f>IFERROR(AA19/AA$28,"")</f>
        <v/>
      </c>
      <c r="AB40" s="18">
        <f>IFERROR(AB19/AB$28,"")</f>
        <v/>
      </c>
      <c r="AC40" s="18">
        <f>IFERROR(AC19/AC$28,"")</f>
        <v/>
      </c>
      <c r="AD40" s="18">
        <f>IFERROR(AD19/AD$28,"")</f>
        <v/>
      </c>
      <c r="AE40" s="18">
        <f>IFERROR(AE19/AE$28,"")</f>
        <v/>
      </c>
      <c r="AF40" s="18">
        <f>IFERROR(AF19/AF$28,"")</f>
        <v/>
      </c>
      <c r="AG40" s="18">
        <f>IFERROR(AG19/AG$28,"")</f>
        <v/>
      </c>
      <c r="AH40" s="18">
        <f>IFERROR(AH19/AH$28,"")</f>
        <v/>
      </c>
      <c r="AI40" s="18">
        <f>IFERROR(AI19/AI$28,"")</f>
        <v/>
      </c>
      <c r="AJ40" s="18">
        <f>IFERROR(AJ19/AJ$28,"")</f>
        <v/>
      </c>
      <c r="AK40" s="18">
        <f>IFERROR(AK19/AK$28,"")</f>
        <v/>
      </c>
      <c r="AL40" s="18">
        <f>IFERROR(AL19/AL$28,"")</f>
        <v/>
      </c>
      <c r="AM40" s="18">
        <f>IFERROR(AM19/AM$28,"")</f>
        <v/>
      </c>
      <c r="AN40" s="18">
        <f>IFERROR(AN19/AN$28,"")</f>
        <v/>
      </c>
      <c r="AO40" s="18">
        <f>IFERROR(AO19/AO$28,"")</f>
        <v/>
      </c>
      <c r="AP40" s="18">
        <f>IFERROR(AP19/AP$28,"")</f>
        <v/>
      </c>
      <c r="AQ40" s="18">
        <f>IFERROR(AQ19/AQ$28,"")</f>
        <v/>
      </c>
      <c r="AR40" s="18">
        <f>IFERROR(AR19/AR$28,"")</f>
        <v/>
      </c>
      <c r="AS40" s="18">
        <f>IFERROR(AS19/AS$28,"")</f>
        <v/>
      </c>
      <c r="AT40" s="18">
        <f>IFERROR(AT19/AT$28,"")</f>
        <v/>
      </c>
      <c r="AU40" s="18">
        <f>IFERROR(AU19/AU$28,"")</f>
        <v/>
      </c>
      <c r="AV40" s="18">
        <f>IFERROR(AV19/AV$28,"")</f>
        <v/>
      </c>
      <c r="AW40" s="18">
        <f>IFERROR(AW19/AW$28,"")</f>
        <v/>
      </c>
      <c r="AX40" s="18">
        <f>IFERROR(AX19/AX$28,"")</f>
        <v/>
      </c>
      <c r="AY40" s="18">
        <f>IFERROR(AY19/AY$28,"")</f>
        <v/>
      </c>
      <c r="AZ40" s="18">
        <f>IFERROR(AZ19/AZ$28,"")</f>
        <v/>
      </c>
      <c r="BA40" s="18">
        <f>IFERROR(BA19/BA$28,"")</f>
        <v/>
      </c>
      <c r="BB40" s="18">
        <f>IFERROR(BB19/BB$28,"")</f>
        <v/>
      </c>
      <c r="BC40" s="18">
        <f>IFERROR(BC19/BC$28,"")</f>
        <v/>
      </c>
      <c r="BD40" s="18">
        <f>IFERROR(BD19/BD$28,"")</f>
        <v/>
      </c>
      <c r="BE40" s="18">
        <f>IFERROR(BE19/BE$28,"")</f>
        <v/>
      </c>
      <c r="BF40" s="18">
        <f>IFERROR(BF19/BF$28,"")</f>
        <v/>
      </c>
    </row>
    <row r="41" ht="15.75" customHeight="1" s="252">
      <c r="A41" s="11" t="inlineStr">
        <is>
          <t>Paul Johnson</t>
        </is>
      </c>
      <c r="B41" s="75" t="n">
        <v>0.135</v>
      </c>
      <c r="C41" s="12" t="n">
        <v>0.015</v>
      </c>
      <c r="D41" s="18" t="n"/>
      <c r="E41" s="18">
        <f>IFERROR(E20/E$28,"")</f>
        <v/>
      </c>
      <c r="F41" s="18">
        <f>IFERROR(F20/F$28,"")</f>
        <v/>
      </c>
      <c r="G41" s="18">
        <f>IFERROR(G20/G$28,"")</f>
        <v/>
      </c>
      <c r="H41" s="18">
        <f>IFERROR(H20/H$28,"")</f>
        <v/>
      </c>
      <c r="I41" s="18">
        <f>IFERROR(I20/I$28,"")</f>
        <v/>
      </c>
      <c r="J41" s="18">
        <f>IFERROR(J20/J$28,"")</f>
        <v/>
      </c>
      <c r="K41" s="18">
        <f>IFERROR(K20/K$28,"")</f>
        <v/>
      </c>
      <c r="L41" s="18">
        <f>IFERROR(L20/L$28,"")</f>
        <v/>
      </c>
      <c r="M41" s="18">
        <f>IFERROR(M20/M$28,"")</f>
        <v/>
      </c>
      <c r="N41" s="18">
        <f>IFERROR(N20/N$28,"")</f>
        <v/>
      </c>
      <c r="O41" s="18">
        <f>IFERROR(O20/O$28,"")</f>
        <v/>
      </c>
      <c r="P41" s="18">
        <f>IFERROR(P20/P$28,"")</f>
        <v/>
      </c>
      <c r="Q41" s="18">
        <f>IFERROR(Q20/Q$28,"")</f>
        <v/>
      </c>
      <c r="R41" s="18">
        <f>IFERROR(R20/R$28,"")</f>
        <v/>
      </c>
      <c r="S41" s="18">
        <f>IFERROR(S20/S$28,"")</f>
        <v/>
      </c>
      <c r="T41" s="18">
        <f>IFERROR(T20/T$28,"")</f>
        <v/>
      </c>
      <c r="U41" s="18">
        <f>IFERROR(U20/U$28,"")</f>
        <v/>
      </c>
      <c r="V41" s="18">
        <f>IFERROR(V20/V$28,"")</f>
        <v/>
      </c>
      <c r="W41" s="18">
        <f>IFERROR(W20/W$28,"")</f>
        <v/>
      </c>
      <c r="X41" s="18">
        <f>IFERROR(X20/X$28,"")</f>
        <v/>
      </c>
      <c r="Y41" s="18">
        <f>IFERROR(Y20/Y$28,"")</f>
        <v/>
      </c>
      <c r="Z41" s="18">
        <f>IFERROR(Z20/Z$28,"")</f>
        <v/>
      </c>
      <c r="AA41" s="18">
        <f>IFERROR(AA20/AA$28,"")</f>
        <v/>
      </c>
      <c r="AB41" s="18">
        <f>IFERROR(AB20/AB$28,"")</f>
        <v/>
      </c>
      <c r="AC41" s="18">
        <f>IFERROR(AC20/AC$28,"")</f>
        <v/>
      </c>
      <c r="AD41" s="18">
        <f>IFERROR(AD20/AD$28,"")</f>
        <v/>
      </c>
      <c r="AE41" s="18">
        <f>IFERROR(AE20/AE$28,"")</f>
        <v/>
      </c>
      <c r="AF41" s="18">
        <f>IFERROR(AF20/AF$28,"")</f>
        <v/>
      </c>
      <c r="AG41" s="18">
        <f>IFERROR(AG20/AG$28,"")</f>
        <v/>
      </c>
      <c r="AH41" s="18">
        <f>IFERROR(AH20/AH$28,"")</f>
        <v/>
      </c>
      <c r="AI41" s="18">
        <f>IFERROR(AI20/AI$28,"")</f>
        <v/>
      </c>
      <c r="AJ41" s="18">
        <f>IFERROR(AJ20/AJ$28,"")</f>
        <v/>
      </c>
      <c r="AK41" s="18">
        <f>IFERROR(AK20/AK$28,"")</f>
        <v/>
      </c>
      <c r="AL41" s="18">
        <f>IFERROR(AL20/AL$28,"")</f>
        <v/>
      </c>
      <c r="AM41" s="18">
        <f>IFERROR(AM20/AM$28,"")</f>
        <v/>
      </c>
      <c r="AN41" s="18">
        <f>IFERROR(AN20/AN$28,"")</f>
        <v/>
      </c>
      <c r="AO41" s="18">
        <f>IFERROR(AO20/AO$28,"")</f>
        <v/>
      </c>
      <c r="AP41" s="18">
        <f>IFERROR(AP20/AP$28,"")</f>
        <v/>
      </c>
      <c r="AQ41" s="18">
        <f>IFERROR(AQ20/AQ$28,"")</f>
        <v/>
      </c>
      <c r="AR41" s="18">
        <f>IFERROR(AR20/AR$28,"")</f>
        <v/>
      </c>
      <c r="AS41" s="18">
        <f>IFERROR(AS20/AS$28,"")</f>
        <v/>
      </c>
      <c r="AT41" s="18">
        <f>IFERROR(AT20/AT$28,"")</f>
        <v/>
      </c>
      <c r="AU41" s="18">
        <f>IFERROR(AU20/AU$28,"")</f>
        <v/>
      </c>
      <c r="AV41" s="18">
        <f>IFERROR(AV20/AV$28,"")</f>
        <v/>
      </c>
      <c r="AW41" s="18">
        <f>IFERROR(AW20/AW$28,"")</f>
        <v/>
      </c>
      <c r="AX41" s="18">
        <f>IFERROR(AX20/AX$28,"")</f>
        <v/>
      </c>
      <c r="AY41" s="18">
        <f>IFERROR(AY20/AY$28,"")</f>
        <v/>
      </c>
      <c r="AZ41" s="18">
        <f>IFERROR(AZ20/AZ$28,"")</f>
        <v/>
      </c>
      <c r="BA41" s="18">
        <f>IFERROR(BA20/BA$28,"")</f>
        <v/>
      </c>
      <c r="BB41" s="18">
        <f>IFERROR(BB20/BB$28,"")</f>
        <v/>
      </c>
      <c r="BC41" s="18">
        <f>IFERROR(BC20/BC$28,"")</f>
        <v/>
      </c>
      <c r="BD41" s="18">
        <f>IFERROR(BD20/BD$28,"")</f>
        <v/>
      </c>
      <c r="BE41" s="18">
        <f>IFERROR(BE20/BE$28,"")</f>
        <v/>
      </c>
      <c r="BF41" s="18">
        <f>IFERROR(BF20/BF$28,"")</f>
        <v/>
      </c>
    </row>
    <row r="42" ht="15.75" customHeight="1" s="252">
      <c r="A42" s="11" t="inlineStr">
        <is>
          <t>Alex Jacobs</t>
        </is>
      </c>
      <c r="B42" s="12" t="n">
        <v>0.2</v>
      </c>
      <c r="C42" s="12" t="n"/>
      <c r="D42" s="18" t="n"/>
      <c r="E42" s="18">
        <f>IFERROR(E21/E$28,"")</f>
        <v/>
      </c>
      <c r="F42" s="18">
        <f>IFERROR(F21/F$28,"")</f>
        <v/>
      </c>
      <c r="G42" s="18">
        <f>IFERROR(G21/G$28,"")</f>
        <v/>
      </c>
      <c r="H42" s="18">
        <f>IFERROR(H21/H$28,"")</f>
        <v/>
      </c>
      <c r="I42" s="18">
        <f>IFERROR(I21/I$28,"")</f>
        <v/>
      </c>
      <c r="J42" s="18">
        <f>IFERROR(J21/J$28,"")</f>
        <v/>
      </c>
      <c r="K42" s="18">
        <f>IFERROR(K21/K$28,"")</f>
        <v/>
      </c>
      <c r="L42" s="18">
        <f>IFERROR(L21/L$28,"")</f>
        <v/>
      </c>
      <c r="M42" s="18">
        <f>IFERROR(M21/M$28,"")</f>
        <v/>
      </c>
      <c r="N42" s="18">
        <f>IFERROR(N21/N$28,"")</f>
        <v/>
      </c>
      <c r="O42" s="18">
        <f>IFERROR(O21/O$28,"")</f>
        <v/>
      </c>
      <c r="P42" s="18">
        <f>IFERROR(P21/P$28,"")</f>
        <v/>
      </c>
      <c r="Q42" s="18">
        <f>IFERROR(Q21/Q$28,"")</f>
        <v/>
      </c>
      <c r="R42" s="18">
        <f>IFERROR(R21/R$28,"")</f>
        <v/>
      </c>
      <c r="S42" s="18">
        <f>IFERROR(S21/S$28,"")</f>
        <v/>
      </c>
      <c r="T42" s="18">
        <f>IFERROR(T21/T$28,"")</f>
        <v/>
      </c>
      <c r="U42" s="18">
        <f>IFERROR(U21/U$28,"")</f>
        <v/>
      </c>
      <c r="V42" s="18">
        <f>IFERROR(V21/V$28,"")</f>
        <v/>
      </c>
      <c r="W42" s="18">
        <f>IFERROR(W21/W$28,"")</f>
        <v/>
      </c>
      <c r="X42" s="18">
        <f>IFERROR(X21/X$28,"")</f>
        <v/>
      </c>
      <c r="Y42" s="18">
        <f>IFERROR(Y21/Y$28,"")</f>
        <v/>
      </c>
      <c r="Z42" s="18">
        <f>IFERROR(Z21/Z$28,"")</f>
        <v/>
      </c>
      <c r="AA42" s="18">
        <f>IFERROR(AA21/AA$28,"")</f>
        <v/>
      </c>
      <c r="AB42" s="18">
        <f>IFERROR(AB21/AB$28,"")</f>
        <v/>
      </c>
      <c r="AC42" s="18">
        <f>IFERROR(AC21/AC$28,"")</f>
        <v/>
      </c>
      <c r="AD42" s="18">
        <f>IFERROR(AD21/AD$28,"")</f>
        <v/>
      </c>
      <c r="AE42" s="18">
        <f>IFERROR(AE21/AE$28,"")</f>
        <v/>
      </c>
      <c r="AF42" s="18">
        <f>IFERROR(AF21/AF$28,"")</f>
        <v/>
      </c>
      <c r="AG42" s="18">
        <f>IFERROR(AG21/AG$28,"")</f>
        <v/>
      </c>
      <c r="AH42" s="18">
        <f>IFERROR(AH21/AH$28,"")</f>
        <v/>
      </c>
      <c r="AI42" s="18">
        <f>IFERROR(AI21/AI$28,"")</f>
        <v/>
      </c>
      <c r="AJ42" s="18">
        <f>IFERROR(AJ21/AJ$28,"")</f>
        <v/>
      </c>
      <c r="AK42" s="18">
        <f>IFERROR(AK21/AK$28,"")</f>
        <v/>
      </c>
      <c r="AL42" s="18">
        <f>IFERROR(AL21/AL$28,"")</f>
        <v/>
      </c>
      <c r="AM42" s="18">
        <f>IFERROR(AM21/AM$28,"")</f>
        <v/>
      </c>
      <c r="AN42" s="18">
        <f>IFERROR(AN21/AN$28,"")</f>
        <v/>
      </c>
      <c r="AO42" s="18">
        <f>IFERROR(AO21/AO$28,"")</f>
        <v/>
      </c>
      <c r="AP42" s="18">
        <f>IFERROR(AP21/AP$28,"")</f>
        <v/>
      </c>
      <c r="AQ42" s="18">
        <f>IFERROR(AQ21/AQ$28,"")</f>
        <v/>
      </c>
      <c r="AR42" s="18">
        <f>IFERROR(AR21/AR$28,"")</f>
        <v/>
      </c>
      <c r="AS42" s="18">
        <f>IFERROR(AS21/AS$28,"")</f>
        <v/>
      </c>
      <c r="AT42" s="18">
        <f>IFERROR(AT21/AT$28,"")</f>
        <v/>
      </c>
      <c r="AU42" s="18">
        <f>IFERROR(AU21/AU$28,"")</f>
        <v/>
      </c>
      <c r="AV42" s="18">
        <f>IFERROR(AV21/AV$28,"")</f>
        <v/>
      </c>
      <c r="AW42" s="18">
        <f>IFERROR(AW21/AW$28,"")</f>
        <v/>
      </c>
      <c r="AX42" s="18">
        <f>IFERROR(AX21/AX$28,"")</f>
        <v/>
      </c>
      <c r="AY42" s="18">
        <f>IFERROR(AY21/AY$28,"")</f>
        <v/>
      </c>
      <c r="AZ42" s="18">
        <f>IFERROR(AZ21/AZ$28,"")</f>
        <v/>
      </c>
      <c r="BA42" s="18">
        <f>IFERROR(BA21/BA$28,"")</f>
        <v/>
      </c>
      <c r="BB42" s="18">
        <f>IFERROR(BB21/BB$28,"")</f>
        <v/>
      </c>
      <c r="BC42" s="18">
        <f>IFERROR(BC21/BC$28,"")</f>
        <v/>
      </c>
      <c r="BD42" s="18">
        <f>IFERROR(BD21/BD$28,"")</f>
        <v/>
      </c>
      <c r="BE42" s="18">
        <f>IFERROR(BE21/BE$28,"")</f>
        <v/>
      </c>
      <c r="BF42" s="18">
        <f>IFERROR(BF21/BF$28,"")</f>
        <v/>
      </c>
    </row>
    <row r="43" ht="15.75" customHeight="1" s="252">
      <c r="A43" s="11" t="inlineStr">
        <is>
          <t>Sam Johnson</t>
        </is>
      </c>
      <c r="B43" s="12" t="n">
        <v>0.18</v>
      </c>
      <c r="C43" s="12" t="n">
        <v>0.015</v>
      </c>
      <c r="D43" s="18" t="n"/>
      <c r="E43" s="18">
        <f>IFERROR(E22/E$28,"")</f>
        <v/>
      </c>
      <c r="F43" s="18">
        <f>IFERROR(F22/F$28,"")</f>
        <v/>
      </c>
      <c r="G43" s="18">
        <f>IFERROR(G22/G$28,"")</f>
        <v/>
      </c>
      <c r="H43" s="18">
        <f>IFERROR(H22/H$28,"")</f>
        <v/>
      </c>
      <c r="I43" s="18">
        <f>IFERROR(I22/I$28,"")</f>
        <v/>
      </c>
      <c r="J43" s="18">
        <f>IFERROR(J22/J$28,"")</f>
        <v/>
      </c>
      <c r="K43" s="18">
        <f>IFERROR(K22/K$28,"")</f>
        <v/>
      </c>
      <c r="L43" s="18">
        <f>IFERROR(L22/L$28,"")</f>
        <v/>
      </c>
      <c r="M43" s="18">
        <f>IFERROR(M22/M$28,"")</f>
        <v/>
      </c>
      <c r="N43" s="18">
        <f>IFERROR(N22/N$28,"")</f>
        <v/>
      </c>
      <c r="O43" s="18">
        <f>IFERROR(O22/O$28,"")</f>
        <v/>
      </c>
      <c r="P43" s="18">
        <f>IFERROR(P22/P$28,"")</f>
        <v/>
      </c>
      <c r="Q43" s="18">
        <f>IFERROR(Q22/Q$28,"")</f>
        <v/>
      </c>
      <c r="R43" s="18">
        <f>IFERROR(R22/R$28,"")</f>
        <v/>
      </c>
      <c r="S43" s="18">
        <f>IFERROR(S22/S$28,"")</f>
        <v/>
      </c>
      <c r="T43" s="18">
        <f>IFERROR(T22/T$28,"")</f>
        <v/>
      </c>
      <c r="U43" s="18">
        <f>IFERROR(U22/U$28,"")</f>
        <v/>
      </c>
      <c r="V43" s="18">
        <f>IFERROR(V22/V$28,"")</f>
        <v/>
      </c>
      <c r="W43" s="18">
        <f>IFERROR(W22/W$28,"")</f>
        <v/>
      </c>
      <c r="X43" s="18">
        <f>IFERROR(X22/X$28,"")</f>
        <v/>
      </c>
      <c r="Y43" s="18">
        <f>IFERROR(Y22/Y$28,"")</f>
        <v/>
      </c>
      <c r="Z43" s="18">
        <f>IFERROR(Z22/Z$28,"")</f>
        <v/>
      </c>
      <c r="AA43" s="18">
        <f>IFERROR(AA22/AA$28,"")</f>
        <v/>
      </c>
      <c r="AB43" s="18">
        <f>IFERROR(AB22/AB$28,"")</f>
        <v/>
      </c>
      <c r="AC43" s="18">
        <f>IFERROR(AC22/AC$28,"")</f>
        <v/>
      </c>
      <c r="AD43" s="18">
        <f>IFERROR(AD22/AD$28,"")</f>
        <v/>
      </c>
      <c r="AE43" s="18">
        <f>IFERROR(AE22/AE$28,"")</f>
        <v/>
      </c>
      <c r="AF43" s="18">
        <f>IFERROR(AF22/AF$28,"")</f>
        <v/>
      </c>
      <c r="AG43" s="18">
        <f>IFERROR(AG22/AG$28,"")</f>
        <v/>
      </c>
      <c r="AH43" s="18">
        <f>IFERROR(AH22/AH$28,"")</f>
        <v/>
      </c>
      <c r="AI43" s="18">
        <f>IFERROR(AI22/AI$28,"")</f>
        <v/>
      </c>
      <c r="AJ43" s="18">
        <f>IFERROR(AJ22/AJ$28,"")</f>
        <v/>
      </c>
      <c r="AK43" s="18">
        <f>IFERROR(AK22/AK$28,"")</f>
        <v/>
      </c>
      <c r="AL43" s="18">
        <f>IFERROR(AL22/AL$28,"")</f>
        <v/>
      </c>
      <c r="AM43" s="18">
        <f>IFERROR(AM22/AM$28,"")</f>
        <v/>
      </c>
      <c r="AN43" s="18">
        <f>IFERROR(AN22/AN$28,"")</f>
        <v/>
      </c>
      <c r="AO43" s="18">
        <f>IFERROR(AO22/AO$28,"")</f>
        <v/>
      </c>
      <c r="AP43" s="18">
        <f>IFERROR(AP22/AP$28,"")</f>
        <v/>
      </c>
      <c r="AQ43" s="18">
        <f>IFERROR(AQ22/AQ$28,"")</f>
        <v/>
      </c>
      <c r="AR43" s="18">
        <f>IFERROR(AR22/AR$28,"")</f>
        <v/>
      </c>
      <c r="AS43" s="18">
        <f>IFERROR(AS22/AS$28,"")</f>
        <v/>
      </c>
      <c r="AT43" s="18">
        <f>IFERROR(AT22/AT$28,"")</f>
        <v/>
      </c>
      <c r="AU43" s="18">
        <f>IFERROR(AU22/AU$28,"")</f>
        <v/>
      </c>
      <c r="AV43" s="18">
        <f>IFERROR(AV22/AV$28,"")</f>
        <v/>
      </c>
      <c r="AW43" s="18">
        <f>IFERROR(AW22/AW$28,"")</f>
        <v/>
      </c>
      <c r="AX43" s="18">
        <f>IFERROR(AX22/AX$28,"")</f>
        <v/>
      </c>
      <c r="AY43" s="18">
        <f>IFERROR(AY22/AY$28,"")</f>
        <v/>
      </c>
      <c r="AZ43" s="18">
        <f>IFERROR(AZ22/AZ$28,"")</f>
        <v/>
      </c>
      <c r="BA43" s="18">
        <f>IFERROR(BA22/BA$28,"")</f>
        <v/>
      </c>
      <c r="BB43" s="18">
        <f>IFERROR(BB22/BB$28,"")</f>
        <v/>
      </c>
      <c r="BC43" s="18">
        <f>IFERROR(BC22/BC$28,"")</f>
        <v/>
      </c>
      <c r="BD43" s="18">
        <f>IFERROR(BD22/BD$28,"")</f>
        <v/>
      </c>
      <c r="BE43" s="18">
        <f>IFERROR(BE22/BE$28,"")</f>
        <v/>
      </c>
      <c r="BF43" s="18">
        <f>IFERROR(BF22/BF$28,"")</f>
        <v/>
      </c>
    </row>
    <row r="44" ht="15.75" customHeight="1" s="252">
      <c r="A44" s="11" t="inlineStr">
        <is>
          <t>Ryan Van Der Wall</t>
        </is>
      </c>
      <c r="B44" s="12" t="n">
        <v>0.2</v>
      </c>
      <c r="D44" s="18" t="n"/>
      <c r="E44" s="18">
        <f>IFERROR(E23/E$28,"")</f>
        <v/>
      </c>
      <c r="F44" s="18">
        <f>IFERROR(F23/F$28,"")</f>
        <v/>
      </c>
      <c r="G44" s="18">
        <f>IFERROR(G23/G$28,"")</f>
        <v/>
      </c>
      <c r="H44" s="18">
        <f>IFERROR(H23/H$28,"")</f>
        <v/>
      </c>
      <c r="I44" s="18">
        <f>IFERROR(I23/I$28,"")</f>
        <v/>
      </c>
      <c r="J44" s="18">
        <f>IFERROR(J23/J$28,"")</f>
        <v/>
      </c>
      <c r="K44" s="18">
        <f>IFERROR(K23/K$28,"")</f>
        <v/>
      </c>
      <c r="L44" s="18">
        <f>IFERROR(L23/L$28,"")</f>
        <v/>
      </c>
      <c r="M44" s="18">
        <f>IFERROR(M23/M$28,"")</f>
        <v/>
      </c>
      <c r="N44" s="18">
        <f>IFERROR(N23/N$28,"")</f>
        <v/>
      </c>
      <c r="O44" s="18">
        <f>IFERROR(O23/O$28,"")</f>
        <v/>
      </c>
      <c r="P44" s="18">
        <f>IFERROR(P23/P$28,"")</f>
        <v/>
      </c>
      <c r="Q44" s="18">
        <f>IFERROR(Q23/Q$28,"")</f>
        <v/>
      </c>
      <c r="R44" s="18">
        <f>IFERROR(R23/R$28,"")</f>
        <v/>
      </c>
      <c r="S44" s="18">
        <f>IFERROR(S23/S$28,"")</f>
        <v/>
      </c>
      <c r="T44" s="18">
        <f>IFERROR(T23/T$28,"")</f>
        <v/>
      </c>
      <c r="U44" s="18">
        <f>IFERROR(U23/U$28,"")</f>
        <v/>
      </c>
      <c r="V44" s="18">
        <f>IFERROR(V23/V$28,"")</f>
        <v/>
      </c>
      <c r="W44" s="18">
        <f>IFERROR(W23/W$28,"")</f>
        <v/>
      </c>
      <c r="X44" s="18">
        <f>IFERROR(X23/X$28,"")</f>
        <v/>
      </c>
      <c r="Y44" s="18">
        <f>IFERROR(Y23/Y$28,"")</f>
        <v/>
      </c>
      <c r="Z44" s="18">
        <f>IFERROR(Z23/Z$28,"")</f>
        <v/>
      </c>
      <c r="AA44" s="18">
        <f>IFERROR(AA23/AA$28,"")</f>
        <v/>
      </c>
      <c r="AB44" s="18">
        <f>IFERROR(AB23/AB$28,"")</f>
        <v/>
      </c>
      <c r="AC44" s="18">
        <f>IFERROR(AC23/AC$28,"")</f>
        <v/>
      </c>
      <c r="AD44" s="18">
        <f>IFERROR(AD23/AD$28,"")</f>
        <v/>
      </c>
      <c r="AE44" s="18">
        <f>IFERROR(AE23/AE$28,"")</f>
        <v/>
      </c>
      <c r="AF44" s="18">
        <f>IFERROR(AF23/AF$28,"")</f>
        <v/>
      </c>
      <c r="AG44" s="18">
        <f>IFERROR(AG23/AG$28,"")</f>
        <v/>
      </c>
      <c r="AH44" s="18">
        <f>IFERROR(AH23/AH$28,"")</f>
        <v/>
      </c>
      <c r="AI44" s="18">
        <f>IFERROR(AI23/AI$28,"")</f>
        <v/>
      </c>
      <c r="AJ44" s="18">
        <f>IFERROR(AJ23/AJ$28,"")</f>
        <v/>
      </c>
      <c r="AK44" s="18">
        <f>IFERROR(AK23/AK$28,"")</f>
        <v/>
      </c>
      <c r="AL44" s="18">
        <f>IFERROR(AL23/AL$28,"")</f>
        <v/>
      </c>
      <c r="AM44" s="18">
        <f>IFERROR(AM23/AM$28,"")</f>
        <v/>
      </c>
      <c r="AN44" s="18">
        <f>IFERROR(AN23/AN$28,"")</f>
        <v/>
      </c>
      <c r="AO44" s="18">
        <f>IFERROR(AO23/AO$28,"")</f>
        <v/>
      </c>
      <c r="AP44" s="18">
        <f>IFERROR(AP23/AP$28,"")</f>
        <v/>
      </c>
      <c r="AQ44" s="18">
        <f>IFERROR(AQ23/AQ$28,"")</f>
        <v/>
      </c>
      <c r="AR44" s="18">
        <f>IFERROR(AR23/AR$28,"")</f>
        <v/>
      </c>
      <c r="AS44" s="18">
        <f>IFERROR(AS23/AS$28,"")</f>
        <v/>
      </c>
      <c r="AT44" s="18">
        <f>IFERROR(AT23/AT$28,"")</f>
        <v/>
      </c>
      <c r="AU44" s="18">
        <f>IFERROR(AU23/AU$28,"")</f>
        <v/>
      </c>
      <c r="AV44" s="18">
        <f>IFERROR(AV23/AV$28,"")</f>
        <v/>
      </c>
      <c r="AW44" s="18">
        <f>IFERROR(AW23/AW$28,"")</f>
        <v/>
      </c>
      <c r="AX44" s="18">
        <f>IFERROR(AX23/AX$28,"")</f>
        <v/>
      </c>
      <c r="AY44" s="18">
        <f>IFERROR(AY23/AY$28,"")</f>
        <v/>
      </c>
      <c r="AZ44" s="18">
        <f>IFERROR(AZ23/AZ$28,"")</f>
        <v/>
      </c>
      <c r="BA44" s="18">
        <f>IFERROR(BA23/BA$28,"")</f>
        <v/>
      </c>
      <c r="BB44" s="18">
        <f>IFERROR(BB23/BB$28,"")</f>
        <v/>
      </c>
      <c r="BC44" s="18">
        <f>IFERROR(BC23/BC$28,"")</f>
        <v/>
      </c>
      <c r="BD44" s="18">
        <f>IFERROR(BD23/BD$28,"")</f>
        <v/>
      </c>
      <c r="BE44" s="18">
        <f>IFERROR(BE23/BE$28,"")</f>
        <v/>
      </c>
      <c r="BF44" s="18">
        <f>IFERROR(BF23/BF$28,"")</f>
        <v/>
      </c>
    </row>
    <row r="45" ht="15.75" customHeight="1" s="252">
      <c r="A45" s="11" t="inlineStr">
        <is>
          <t>Nath &amp; Thomas</t>
        </is>
      </c>
      <c r="B45" s="12" t="n">
        <v>0</v>
      </c>
      <c r="D45" s="18" t="n"/>
      <c r="E45" s="18">
        <f>IFERROR(E24/E$28,"")</f>
        <v/>
      </c>
      <c r="F45" s="18">
        <f>IFERROR(F24/F$28,"")</f>
        <v/>
      </c>
      <c r="G45" s="18">
        <f>IFERROR(G24/G$28,"")</f>
        <v/>
      </c>
      <c r="H45" s="18">
        <f>IFERROR(H24/H$28,"")</f>
        <v/>
      </c>
      <c r="I45" s="18">
        <f>IFERROR(I24/I$28,"")</f>
        <v/>
      </c>
      <c r="J45" s="18">
        <f>IFERROR(J24/J$28,"")</f>
        <v/>
      </c>
      <c r="K45" s="18">
        <f>IFERROR(K24/K$28,"")</f>
        <v/>
      </c>
      <c r="L45" s="18">
        <f>IFERROR(L24/L$28,"")</f>
        <v/>
      </c>
      <c r="M45" s="18">
        <f>IFERROR(M24/M$28,"")</f>
        <v/>
      </c>
      <c r="N45" s="18">
        <f>IFERROR(N24/N$28,"")</f>
        <v/>
      </c>
      <c r="O45" s="18">
        <f>IFERROR(O24/O$28,"")</f>
        <v/>
      </c>
      <c r="P45" s="18">
        <f>IFERROR(P24/P$28,"")</f>
        <v/>
      </c>
      <c r="Q45" s="18">
        <f>IFERROR(Q24/Q$28,"")</f>
        <v/>
      </c>
      <c r="R45" s="18">
        <f>IFERROR(R24/R$28,"")</f>
        <v/>
      </c>
      <c r="S45" s="18">
        <f>IFERROR(S24/S$28,"")</f>
        <v/>
      </c>
      <c r="T45" s="18">
        <f>IFERROR(T24/T$28,"")</f>
        <v/>
      </c>
      <c r="U45" s="18">
        <f>IFERROR(U24/U$28,"")</f>
        <v/>
      </c>
      <c r="V45" s="18">
        <f>IFERROR(V24/V$28,"")</f>
        <v/>
      </c>
      <c r="W45" s="18">
        <f>IFERROR(W24/W$28,"")</f>
        <v/>
      </c>
      <c r="X45" s="18">
        <f>IFERROR(X24/X$28,"")</f>
        <v/>
      </c>
      <c r="Y45" s="18">
        <f>IFERROR(Y24/Y$28,"")</f>
        <v/>
      </c>
      <c r="Z45" s="18">
        <f>IFERROR(Z24/Z$28,"")</f>
        <v/>
      </c>
      <c r="AA45" s="18">
        <f>IFERROR(AA24/AA$28,"")</f>
        <v/>
      </c>
      <c r="AB45" s="18">
        <f>IFERROR(AB24/AB$28,"")</f>
        <v/>
      </c>
      <c r="AC45" s="18">
        <f>IFERROR(AC24/AC$28,"")</f>
        <v/>
      </c>
      <c r="AD45" s="18">
        <f>IFERROR(AD24/AD$28,"")</f>
        <v/>
      </c>
      <c r="AE45" s="18">
        <f>IFERROR(AE24/AE$28,"")</f>
        <v/>
      </c>
      <c r="AF45" s="18">
        <f>IFERROR(AF24/AF$28,"")</f>
        <v/>
      </c>
      <c r="AG45" s="18">
        <f>IFERROR(AG24/AG$28,"")</f>
        <v/>
      </c>
      <c r="AH45" s="18">
        <f>IFERROR(AH24/AH$28,"")</f>
        <v/>
      </c>
      <c r="AI45" s="18">
        <f>IFERROR(AI24/AI$28,"")</f>
        <v/>
      </c>
      <c r="AJ45" s="18">
        <f>IFERROR(AJ24/AJ$28,"")</f>
        <v/>
      </c>
      <c r="AK45" s="18">
        <f>IFERROR(AK24/AK$28,"")</f>
        <v/>
      </c>
      <c r="AL45" s="18">
        <f>IFERROR(AL24/AL$28,"")</f>
        <v/>
      </c>
      <c r="AM45" s="18">
        <f>IFERROR(AM24/AM$28,"")</f>
        <v/>
      </c>
      <c r="AN45" s="18">
        <f>IFERROR(AN24/AN$28,"")</f>
        <v/>
      </c>
      <c r="AO45" s="18">
        <f>IFERROR(AO24/AO$28,"")</f>
        <v/>
      </c>
      <c r="AP45" s="18">
        <f>IFERROR(AP24/AP$28,"")</f>
        <v/>
      </c>
      <c r="AQ45" s="18">
        <f>IFERROR(AQ24/AQ$28,"")</f>
        <v/>
      </c>
      <c r="AR45" s="18">
        <f>IFERROR(AR24/AR$28,"")</f>
        <v/>
      </c>
      <c r="AS45" s="18">
        <f>IFERROR(AS24/AS$28,"")</f>
        <v/>
      </c>
      <c r="AT45" s="18">
        <f>IFERROR(AT24/AT$28,"")</f>
        <v/>
      </c>
      <c r="AU45" s="18">
        <f>IFERROR(AU24/AU$28,"")</f>
        <v/>
      </c>
      <c r="AV45" s="18">
        <f>IFERROR(AV24/AV$28,"")</f>
        <v/>
      </c>
      <c r="AW45" s="18">
        <f>IFERROR(AW24/AW$28,"")</f>
        <v/>
      </c>
      <c r="AX45" s="18">
        <f>IFERROR(AX24/AX$28,"")</f>
        <v/>
      </c>
      <c r="AY45" s="18">
        <f>IFERROR(AY24/AY$28,"")</f>
        <v/>
      </c>
      <c r="AZ45" s="18">
        <f>IFERROR(AZ24/AZ$28,"")</f>
        <v/>
      </c>
      <c r="BA45" s="18">
        <f>IFERROR(BA24/BA$28,"")</f>
        <v/>
      </c>
      <c r="BB45" s="18">
        <f>IFERROR(BB24/BB$28,"")</f>
        <v/>
      </c>
      <c r="BC45" s="18">
        <f>IFERROR(BC24/BC$28,"")</f>
        <v/>
      </c>
      <c r="BD45" s="18">
        <f>IFERROR(BD24/BD$28,"")</f>
        <v/>
      </c>
      <c r="BE45" s="18">
        <f>IFERROR(BE24/BE$28,"")</f>
        <v/>
      </c>
      <c r="BF45" s="18">
        <f>IFERROR(BF24/BF$28,"")</f>
        <v/>
      </c>
    </row>
    <row r="46" ht="15.75" customHeight="1" s="252">
      <c r="A46" s="11" t="inlineStr">
        <is>
          <t>Vivie &amp; Liana</t>
        </is>
      </c>
      <c r="B46" s="12" t="n">
        <v>0</v>
      </c>
      <c r="D46" s="18" t="n"/>
      <c r="E46" s="18">
        <f>IFERROR(E25/E$28,"")</f>
        <v/>
      </c>
      <c r="F46" s="18">
        <f>IFERROR(F25/F$28,"")</f>
        <v/>
      </c>
      <c r="G46" s="18">
        <f>IFERROR(G25/G$28,"")</f>
        <v/>
      </c>
      <c r="H46" s="18">
        <f>IFERROR(H25/H$28,"")</f>
        <v/>
      </c>
      <c r="I46" s="18">
        <f>IFERROR(I25/I$28,"")</f>
        <v/>
      </c>
      <c r="J46" s="18">
        <f>IFERROR(J25/J$28,"")</f>
        <v/>
      </c>
      <c r="K46" s="18">
        <f>IFERROR(K25/K$28,"")</f>
        <v/>
      </c>
      <c r="L46" s="18">
        <f>IFERROR(L25/L$28,"")</f>
        <v/>
      </c>
      <c r="M46" s="18">
        <f>IFERROR(M25/M$28,"")</f>
        <v/>
      </c>
      <c r="N46" s="18">
        <f>IFERROR(N25/N$28,"")</f>
        <v/>
      </c>
      <c r="O46" s="18">
        <f>IFERROR(O25/O$28,"")</f>
        <v/>
      </c>
      <c r="P46" s="18">
        <f>IFERROR(P25/P$28,"")</f>
        <v/>
      </c>
      <c r="Q46" s="18">
        <f>IFERROR(Q25/Q$28,"")</f>
        <v/>
      </c>
      <c r="R46" s="18">
        <f>IFERROR(R25/R$28,"")</f>
        <v/>
      </c>
      <c r="S46" s="18">
        <f>IFERROR(S25/S$28,"")</f>
        <v/>
      </c>
      <c r="T46" s="18">
        <f>IFERROR(T25/T$28,"")</f>
        <v/>
      </c>
      <c r="U46" s="18">
        <f>IFERROR(U25/U$28,"")</f>
        <v/>
      </c>
      <c r="V46" s="18">
        <f>IFERROR(V25/V$28,"")</f>
        <v/>
      </c>
      <c r="W46" s="18">
        <f>IFERROR(W25/W$28,"")</f>
        <v/>
      </c>
      <c r="X46" s="18">
        <f>IFERROR(X25/X$28,"")</f>
        <v/>
      </c>
      <c r="Y46" s="18">
        <f>IFERROR(Y25/Y$28,"")</f>
        <v/>
      </c>
      <c r="Z46" s="18">
        <f>IFERROR(Z25/Z$28,"")</f>
        <v/>
      </c>
      <c r="AA46" s="18">
        <f>IFERROR(AA25/AA$28,"")</f>
        <v/>
      </c>
      <c r="AB46" s="18">
        <f>IFERROR(AB25/AB$28,"")</f>
        <v/>
      </c>
      <c r="AC46" s="18">
        <f>IFERROR(AC25/AC$28,"")</f>
        <v/>
      </c>
      <c r="AD46" s="18">
        <f>IFERROR(AD25/AD$28,"")</f>
        <v/>
      </c>
      <c r="AE46" s="18">
        <f>IFERROR(AE25/AE$28,"")</f>
        <v/>
      </c>
      <c r="AF46" s="18">
        <f>IFERROR(AF25/AF$28,"")</f>
        <v/>
      </c>
      <c r="AG46" s="18">
        <f>IFERROR(AG25/AG$28,"")</f>
        <v/>
      </c>
      <c r="AH46" s="18">
        <f>IFERROR(AH25/AH$28,"")</f>
        <v/>
      </c>
      <c r="AI46" s="18">
        <f>IFERROR(AI25/AI$28,"")</f>
        <v/>
      </c>
      <c r="AJ46" s="18">
        <f>IFERROR(AJ25/AJ$28,"")</f>
        <v/>
      </c>
      <c r="AK46" s="18">
        <f>IFERROR(AK25/AK$28,"")</f>
        <v/>
      </c>
      <c r="AL46" s="18">
        <f>IFERROR(AL25/AL$28,"")</f>
        <v/>
      </c>
      <c r="AM46" s="18">
        <f>IFERROR(AM25/AM$28,"")</f>
        <v/>
      </c>
      <c r="AN46" s="18">
        <f>IFERROR(AN25/AN$28,"")</f>
        <v/>
      </c>
      <c r="AO46" s="18">
        <f>IFERROR(AO25/AO$28,"")</f>
        <v/>
      </c>
      <c r="AP46" s="18">
        <f>IFERROR(AP25/AP$28,"")</f>
        <v/>
      </c>
      <c r="AQ46" s="18">
        <f>IFERROR(AQ25/AQ$28,"")</f>
        <v/>
      </c>
      <c r="AR46" s="18">
        <f>IFERROR(AR25/AR$28,"")</f>
        <v/>
      </c>
      <c r="AS46" s="18">
        <f>IFERROR(AS25/AS$28,"")</f>
        <v/>
      </c>
      <c r="AT46" s="18">
        <f>IFERROR(AT25/AT$28,"")</f>
        <v/>
      </c>
      <c r="AU46" s="18">
        <f>IFERROR(AU25/AU$28,"")</f>
        <v/>
      </c>
      <c r="AV46" s="18">
        <f>IFERROR(AV25/AV$28,"")</f>
        <v/>
      </c>
      <c r="AW46" s="18">
        <f>IFERROR(AW25/AW$28,"")</f>
        <v/>
      </c>
      <c r="AX46" s="18">
        <f>IFERROR(AX25/AX$28,"")</f>
        <v/>
      </c>
      <c r="AY46" s="18">
        <f>IFERROR(AY25/AY$28,"")</f>
        <v/>
      </c>
      <c r="AZ46" s="18">
        <f>IFERROR(AZ25/AZ$28,"")</f>
        <v/>
      </c>
      <c r="BA46" s="18">
        <f>IFERROR(BA25/BA$28,"")</f>
        <v/>
      </c>
      <c r="BB46" s="18">
        <f>IFERROR(BB25/BB$28,"")</f>
        <v/>
      </c>
      <c r="BC46" s="18">
        <f>IFERROR(BC25/BC$28,"")</f>
        <v/>
      </c>
      <c r="BD46" s="18">
        <f>IFERROR(BD25/BD$28,"")</f>
        <v/>
      </c>
      <c r="BE46" s="18">
        <f>IFERROR(BE25/BE$28,"")</f>
        <v/>
      </c>
      <c r="BF46" s="18">
        <f>IFERROR(BF25/BF$28,"")</f>
        <v/>
      </c>
    </row>
    <row r="47" ht="15.75" customHeight="1" s="252">
      <c r="A47" s="11" t="inlineStr">
        <is>
          <t>NSVO Holdings</t>
        </is>
      </c>
      <c r="B47" s="12" t="n">
        <v>0.2</v>
      </c>
      <c r="D47" s="18" t="n"/>
      <c r="E47" s="18">
        <f>IFERROR(E26/E$28,"")</f>
        <v/>
      </c>
      <c r="F47" s="18">
        <f>IFERROR(F26/F$28,"")</f>
        <v/>
      </c>
      <c r="G47" s="18">
        <f>IFERROR(G26/G$28,"")</f>
        <v/>
      </c>
      <c r="H47" s="18">
        <f>IFERROR(H26/H$28,"")</f>
        <v/>
      </c>
      <c r="I47" s="18">
        <f>IFERROR(I26/I$28,"")</f>
        <v/>
      </c>
      <c r="J47" s="18">
        <f>IFERROR(J26/J$28,"")</f>
        <v/>
      </c>
      <c r="K47" s="18">
        <f>IFERROR(K26/K$28,"")</f>
        <v/>
      </c>
      <c r="L47" s="18">
        <f>IFERROR(L26/L$28,"")</f>
        <v/>
      </c>
      <c r="M47" s="18">
        <f>IFERROR(M26/M$28,"")</f>
        <v/>
      </c>
      <c r="N47" s="18">
        <f>IFERROR(N26/N$28,"")</f>
        <v/>
      </c>
      <c r="O47" s="18">
        <f>IFERROR(O26/O$28,"")</f>
        <v/>
      </c>
      <c r="P47" s="18">
        <f>IFERROR(P26/P$28,"")</f>
        <v/>
      </c>
      <c r="Q47" s="18">
        <f>IFERROR(Q26/Q$28,"")</f>
        <v/>
      </c>
      <c r="R47" s="18">
        <f>IFERROR(R26/R$28,"")</f>
        <v/>
      </c>
      <c r="S47" s="18">
        <f>IFERROR(S26/S$28,"")</f>
        <v/>
      </c>
      <c r="T47" s="18">
        <f>IFERROR(T26/T$28,"")</f>
        <v/>
      </c>
      <c r="U47" s="18">
        <f>IFERROR(U26/U$28,"")</f>
        <v/>
      </c>
      <c r="V47" s="18">
        <f>IFERROR(V26/V$28,"")</f>
        <v/>
      </c>
      <c r="W47" s="18">
        <f>IFERROR(W26/W$28,"")</f>
        <v/>
      </c>
      <c r="X47" s="18">
        <f>IFERROR(X26/X$28,"")</f>
        <v/>
      </c>
      <c r="Y47" s="18">
        <f>IFERROR(Y26/Y$28,"")</f>
        <v/>
      </c>
      <c r="Z47" s="18">
        <f>IFERROR(Z26/Z$28,"")</f>
        <v/>
      </c>
      <c r="AA47" s="18">
        <f>IFERROR(AA26/AA$28,"")</f>
        <v/>
      </c>
      <c r="AB47" s="18">
        <f>IFERROR(AB26/AB$28,"")</f>
        <v/>
      </c>
      <c r="AC47" s="18">
        <f>IFERROR(AC26/AC$28,"")</f>
        <v/>
      </c>
      <c r="AD47" s="18">
        <f>IFERROR(AD26/AD$28,"")</f>
        <v/>
      </c>
      <c r="AE47" s="18">
        <f>IFERROR(AE26/AE$28,"")</f>
        <v/>
      </c>
      <c r="AF47" s="18">
        <f>IFERROR(AF26/AF$28,"")</f>
        <v/>
      </c>
      <c r="AG47" s="18">
        <f>IFERROR(AG26/AG$28,"")</f>
        <v/>
      </c>
      <c r="AH47" s="18">
        <f>IFERROR(AH26/AH$28,"")</f>
        <v/>
      </c>
      <c r="AI47" s="18">
        <f>IFERROR(AI26/AI$28,"")</f>
        <v/>
      </c>
      <c r="AJ47" s="18">
        <f>IFERROR(AJ26/AJ$28,"")</f>
        <v/>
      </c>
      <c r="AK47" s="18">
        <f>IFERROR(AK26/AK$28,"")</f>
        <v/>
      </c>
      <c r="AL47" s="18">
        <f>IFERROR(AL26/AL$28,"")</f>
        <v/>
      </c>
      <c r="AM47" s="18">
        <f>IFERROR(AM26/AM$28,"")</f>
        <v/>
      </c>
      <c r="AN47" s="18">
        <f>IFERROR(AN26/AN$28,"")</f>
        <v/>
      </c>
      <c r="AO47" s="18">
        <f>IFERROR(AO26/AO$28,"")</f>
        <v/>
      </c>
      <c r="AP47" s="18">
        <f>IFERROR(AP26/AP$28,"")</f>
        <v/>
      </c>
      <c r="AQ47" s="18">
        <f>IFERROR(AQ26/AQ$28,"")</f>
        <v/>
      </c>
      <c r="AR47" s="18">
        <f>IFERROR(AR26/AR$28,"")</f>
        <v/>
      </c>
      <c r="AS47" s="18">
        <f>IFERROR(AS26/AS$28,"")</f>
        <v/>
      </c>
      <c r="AT47" s="18">
        <f>IFERROR(AT26/AT$28,"")</f>
        <v/>
      </c>
      <c r="AU47" s="18">
        <f>IFERROR(AU26/AU$28,"")</f>
        <v/>
      </c>
      <c r="AV47" s="18">
        <f>IFERROR(AV26/AV$28,"")</f>
        <v/>
      </c>
      <c r="AW47" s="18">
        <f>IFERROR(AW26/AW$28,"")</f>
        <v/>
      </c>
      <c r="AX47" s="18">
        <f>IFERROR(AX26/AX$28,"")</f>
        <v/>
      </c>
      <c r="AY47" s="18">
        <f>IFERROR(AY26/AY$28,"")</f>
        <v/>
      </c>
      <c r="AZ47" s="18">
        <f>IFERROR(AZ26/AZ$28,"")</f>
        <v/>
      </c>
      <c r="BA47" s="18">
        <f>IFERROR(BA26/BA$28,"")</f>
        <v/>
      </c>
      <c r="BB47" s="18">
        <f>IFERROR(BB26/BB$28,"")</f>
        <v/>
      </c>
      <c r="BC47" s="18">
        <f>IFERROR(BC26/BC$28,"")</f>
        <v/>
      </c>
      <c r="BD47" s="18">
        <f>IFERROR(BD26/BD$28,"")</f>
        <v/>
      </c>
      <c r="BE47" s="18">
        <f>IFERROR(BE26/BE$28,"")</f>
        <v/>
      </c>
      <c r="BF47" s="18">
        <f>IFERROR(BF26/BF$28,"")</f>
        <v/>
      </c>
    </row>
    <row r="48" ht="15.75" customHeight="1" s="252">
      <c r="A48" s="11" t="inlineStr">
        <is>
          <t>ALOK PAVAN BATRA</t>
        </is>
      </c>
      <c r="B48" s="12" t="n">
        <v>0.2</v>
      </c>
      <c r="D48" s="18" t="n"/>
      <c r="E48" s="18">
        <f>IFERROR(E27/E$28,"")</f>
        <v/>
      </c>
      <c r="F48" s="18">
        <f>IFERROR(F27/F$28,"")</f>
        <v/>
      </c>
      <c r="G48" s="18">
        <f>IFERROR(G27/G$28,"")</f>
        <v/>
      </c>
      <c r="H48" s="18">
        <f>IFERROR(H27/H$28,"")</f>
        <v/>
      </c>
      <c r="I48" s="18">
        <f>IFERROR(I27/I$28,"")</f>
        <v/>
      </c>
      <c r="J48" s="18">
        <f>IFERROR(J27/J$28,"")</f>
        <v/>
      </c>
      <c r="K48" s="18">
        <f>IFERROR(K27/K$28,"")</f>
        <v/>
      </c>
      <c r="L48" s="18">
        <f>IFERROR(L27/L$28,"")</f>
        <v/>
      </c>
      <c r="M48" s="18">
        <f>IFERROR(M27/M$28,"")</f>
        <v/>
      </c>
      <c r="N48" s="18">
        <f>IFERROR(N27/N$28,"")</f>
        <v/>
      </c>
      <c r="O48" s="18">
        <f>IFERROR(O27/O$28,"")</f>
        <v/>
      </c>
      <c r="P48" s="18">
        <f>IFERROR(P27/P$28,"")</f>
        <v/>
      </c>
      <c r="Q48" s="18">
        <f>IFERROR(Q27/Q$28,"")</f>
        <v/>
      </c>
      <c r="R48" s="18">
        <f>IFERROR(R27/R$28,"")</f>
        <v/>
      </c>
      <c r="S48" s="18">
        <f>IFERROR(S27/S$28,"")</f>
        <v/>
      </c>
      <c r="T48" s="18">
        <f>IFERROR(T27/T$28,"")</f>
        <v/>
      </c>
      <c r="U48" s="18">
        <f>IFERROR(U27/U$28,"")</f>
        <v/>
      </c>
      <c r="V48" s="18">
        <f>IFERROR(V27/V$28,"")</f>
        <v/>
      </c>
      <c r="W48" s="18">
        <f>IFERROR(W27/W$28,"")</f>
        <v/>
      </c>
      <c r="X48" s="18">
        <f>IFERROR(X27/X$28,"")</f>
        <v/>
      </c>
      <c r="Y48" s="18">
        <f>IFERROR(Y27/Y$28,"")</f>
        <v/>
      </c>
      <c r="Z48" s="18">
        <f>IFERROR(Z27/Z$28,"")</f>
        <v/>
      </c>
      <c r="AA48" s="18">
        <f>IFERROR(AA27/AA$28,"")</f>
        <v/>
      </c>
      <c r="AB48" s="18">
        <f>IFERROR(AB27/AB$28,"")</f>
        <v/>
      </c>
      <c r="AC48" s="18">
        <f>IFERROR(AC27/AC$28,"")</f>
        <v/>
      </c>
      <c r="AD48" s="18">
        <f>IFERROR(AD27/AD$28,"")</f>
        <v/>
      </c>
      <c r="AE48" s="18">
        <f>IFERROR(AE27/AE$28,"")</f>
        <v/>
      </c>
      <c r="AF48" s="18">
        <f>IFERROR(AF27/AF$28,"")</f>
        <v/>
      </c>
      <c r="AG48" s="18">
        <f>IFERROR(AG27/AG$28,"")</f>
        <v/>
      </c>
      <c r="AH48" s="18">
        <f>IFERROR(AH27/AH$28,"")</f>
        <v/>
      </c>
      <c r="AI48" s="18">
        <f>IFERROR(AI27/AI$28,"")</f>
        <v/>
      </c>
      <c r="AJ48" s="18">
        <f>IFERROR(AJ27/AJ$28,"")</f>
        <v/>
      </c>
      <c r="AK48" s="18">
        <f>IFERROR(AK27/AK$28,"")</f>
        <v/>
      </c>
      <c r="AL48" s="18">
        <f>IFERROR(AL27/AL$28,"")</f>
        <v/>
      </c>
      <c r="AM48" s="18">
        <f>IFERROR(AM27/AM$28,"")</f>
        <v/>
      </c>
      <c r="AN48" s="18">
        <f>IFERROR(AN27/AN$28,"")</f>
        <v/>
      </c>
      <c r="AO48" s="18">
        <f>IFERROR(AO27/AO$28,"")</f>
        <v/>
      </c>
      <c r="AP48" s="18">
        <f>IFERROR(AP27/AP$28,"")</f>
        <v/>
      </c>
      <c r="AQ48" s="18">
        <f>IFERROR(AQ27/AQ$28,"")</f>
        <v/>
      </c>
      <c r="AR48" s="18">
        <f>IFERROR(AR27/AR$28,"")</f>
        <v/>
      </c>
      <c r="AS48" s="18">
        <f>IFERROR(AS27/AS$28,"")</f>
        <v/>
      </c>
      <c r="AT48" s="18">
        <f>IFERROR(AT27/AT$28,"")</f>
        <v/>
      </c>
      <c r="AU48" s="18">
        <f>IFERROR(AU27/AU$28,"")</f>
        <v/>
      </c>
      <c r="AV48" s="18">
        <f>IFERROR(AV27/AV$28,"")</f>
        <v/>
      </c>
      <c r="AW48" s="18">
        <f>IFERROR(AW27/AW$28,"")</f>
        <v/>
      </c>
      <c r="AX48" s="18">
        <f>IFERROR(AX27/AX$28,"")</f>
        <v/>
      </c>
      <c r="AY48" s="18">
        <f>IFERROR(AY27/AY$28,"")</f>
        <v/>
      </c>
      <c r="AZ48" s="18">
        <f>IFERROR(AZ27/AZ$28,"")</f>
        <v/>
      </c>
      <c r="BA48" s="18">
        <f>IFERROR(BA27/BA$28,"")</f>
        <v/>
      </c>
      <c r="BB48" s="18">
        <f>IFERROR(BB27/BB$28,"")</f>
        <v/>
      </c>
      <c r="BC48" s="18">
        <f>IFERROR(BC27/BC$28,"")</f>
        <v/>
      </c>
      <c r="BD48" s="18">
        <f>IFERROR(BD27/BD$28,"")</f>
        <v/>
      </c>
      <c r="BE48" s="18">
        <f>IFERROR(BE27/BE$28,"")</f>
        <v/>
      </c>
      <c r="BF48" s="18">
        <f>IFERROR(BF27/BF$28,"")</f>
        <v/>
      </c>
    </row>
    <row r="49" ht="15.75" customHeight="1" s="252">
      <c r="A49" s="76" t="inlineStr">
        <is>
          <t>Total AUM</t>
        </is>
      </c>
      <c r="B49" s="77" t="n"/>
      <c r="C49" s="78" t="n"/>
      <c r="D49" s="78" t="n"/>
      <c r="E49" s="78">
        <f>SUM(E30:E48)</f>
        <v/>
      </c>
      <c r="F49" s="78">
        <f>SUM(F30:F48)</f>
        <v/>
      </c>
      <c r="G49" s="78">
        <f>SUM(G30:G48)</f>
        <v/>
      </c>
      <c r="H49" s="78">
        <f>SUM(H30:H48)</f>
        <v/>
      </c>
      <c r="I49" s="78">
        <f>SUM(I30:I48)</f>
        <v/>
      </c>
      <c r="J49" s="78">
        <f>SUM(J30:J48)</f>
        <v/>
      </c>
      <c r="K49" s="78">
        <f>SUM(K30:K48)</f>
        <v/>
      </c>
      <c r="L49" s="78">
        <f>SUM(L30:L48)</f>
        <v/>
      </c>
      <c r="M49" s="78">
        <f>SUM(M30:M48)</f>
        <v/>
      </c>
      <c r="N49" s="78">
        <f>SUM(N30:N48)</f>
        <v/>
      </c>
      <c r="O49" s="78">
        <f>SUM(O30:O48)</f>
        <v/>
      </c>
      <c r="P49" s="78">
        <f>SUM(P30:P48)</f>
        <v/>
      </c>
      <c r="Q49" s="78">
        <f>SUM(Q30:Q48)</f>
        <v/>
      </c>
      <c r="R49" s="78">
        <f>SUM(R30:R48)</f>
        <v/>
      </c>
      <c r="S49" s="78">
        <f>SUM(S30:S48)</f>
        <v/>
      </c>
      <c r="T49" s="78">
        <f>SUM(T30:T48)</f>
        <v/>
      </c>
      <c r="U49" s="78">
        <f>SUM(U30:U48)</f>
        <v/>
      </c>
      <c r="V49" s="78">
        <f>SUM(V30:V48)</f>
        <v/>
      </c>
      <c r="W49" s="78">
        <f>SUM(W30:W48)</f>
        <v/>
      </c>
      <c r="X49" s="78">
        <f>SUM(X30:X48)</f>
        <v/>
      </c>
      <c r="Y49" s="78">
        <f>SUM(Y30:Y48)</f>
        <v/>
      </c>
      <c r="Z49" s="78">
        <f>SUM(Z30:Z48)</f>
        <v/>
      </c>
      <c r="AA49" s="78">
        <f>SUM(AA30:AA48)</f>
        <v/>
      </c>
      <c r="AB49" s="78">
        <f>SUM(AB30:AB48)</f>
        <v/>
      </c>
      <c r="AC49" s="78">
        <f>SUM(AC30:AC48)</f>
        <v/>
      </c>
      <c r="AD49" s="78">
        <f>SUM(AD30:AD48)</f>
        <v/>
      </c>
      <c r="AE49" s="78">
        <f>SUM(AE30:AE48)</f>
        <v/>
      </c>
      <c r="AF49" s="78">
        <f>SUM(AF30:AF48)</f>
        <v/>
      </c>
      <c r="AG49" s="78">
        <f>SUM(AG30:AG48)</f>
        <v/>
      </c>
      <c r="AH49" s="78">
        <f>SUM(AH30:AH48)</f>
        <v/>
      </c>
      <c r="AI49" s="78">
        <f>SUM(AI30:AI48)</f>
        <v/>
      </c>
      <c r="AJ49" s="78">
        <f>SUM(AJ30:AJ48)</f>
        <v/>
      </c>
      <c r="AK49" s="78">
        <f>SUM(AK30:AK48)</f>
        <v/>
      </c>
      <c r="AL49" s="78">
        <f>SUM(AL30:AL48)</f>
        <v/>
      </c>
      <c r="AM49" s="78">
        <f>SUM(AM30:AM48)</f>
        <v/>
      </c>
      <c r="AN49" s="78">
        <f>SUM(AN30:AN48)</f>
        <v/>
      </c>
      <c r="AO49" s="78">
        <f>SUM(AO30:AO48)</f>
        <v/>
      </c>
      <c r="AP49" s="78">
        <f>SUM(AP30:AP48)</f>
        <v/>
      </c>
      <c r="AQ49" s="78">
        <f>SUM(AQ30:AQ48)</f>
        <v/>
      </c>
      <c r="AR49" s="78">
        <f>SUM(AR30:AR48)</f>
        <v/>
      </c>
      <c r="AS49" s="78">
        <f>SUM(AS30:AS48)</f>
        <v/>
      </c>
      <c r="AT49" s="78">
        <f>SUM(AT30:AT48)</f>
        <v/>
      </c>
      <c r="AU49" s="78">
        <f>SUM(AU30:AU48)</f>
        <v/>
      </c>
      <c r="AV49" s="78">
        <f>SUM(AV30:AV48)</f>
        <v/>
      </c>
      <c r="AW49" s="78">
        <f>SUM(AW30:AW48)</f>
        <v/>
      </c>
      <c r="AX49" s="78">
        <f>SUM(AX30:AX48)</f>
        <v/>
      </c>
      <c r="AY49" s="78">
        <f>SUM(AY30:AY48)</f>
        <v/>
      </c>
      <c r="AZ49" s="78">
        <f>SUM(AZ30:AZ48)</f>
        <v/>
      </c>
      <c r="BA49" s="78">
        <f>SUM(BA30:BA48)</f>
        <v/>
      </c>
      <c r="BB49" s="78">
        <f>SUM(BB30:BB48)</f>
        <v/>
      </c>
      <c r="BC49" s="78">
        <f>SUM(BC30:BC48)</f>
        <v/>
      </c>
      <c r="BD49" s="78">
        <f>SUM(BD30:BD48)</f>
        <v/>
      </c>
      <c r="BE49" s="78">
        <f>SUM(BE30:BE48)</f>
        <v/>
      </c>
      <c r="BF49" s="78">
        <f>SUM(BF30:BF48)</f>
        <v/>
      </c>
    </row>
    <row r="50" ht="15.75" customHeight="1" s="252">
      <c r="A50" s="14" t="n"/>
    </row>
    <row r="51" ht="15.75" customHeight="1" s="252">
      <c r="A51" s="14" t="n"/>
    </row>
    <row r="52" ht="15.75" customHeight="1" s="252">
      <c r="A52" s="14" t="n"/>
    </row>
    <row r="53" ht="15.75" customHeight="1" s="252">
      <c r="A53" s="14" t="n"/>
    </row>
    <row r="54" ht="15.75" customHeight="1" s="252">
      <c r="A54" s="14" t="n"/>
    </row>
    <row r="55" ht="15.75" customHeight="1" s="252">
      <c r="A55" s="14" t="n"/>
    </row>
    <row r="56" ht="15.75" customHeight="1" s="252">
      <c r="A56" s="14" t="n"/>
      <c r="Q56" s="79" t="n"/>
    </row>
    <row r="57" ht="15.75" customHeight="1" s="252">
      <c r="A57" s="14" t="n"/>
    </row>
    <row r="58" ht="15.75" customHeight="1" s="252">
      <c r="A58" s="14" t="n"/>
    </row>
    <row r="59" ht="15.75" customHeight="1" s="252">
      <c r="A59" s="14" t="n"/>
    </row>
    <row r="60" ht="15.75" customHeight="1" s="252">
      <c r="A60" s="14" t="n"/>
    </row>
    <row r="61" ht="15.75" customHeight="1" s="252">
      <c r="A61" s="14" t="n"/>
    </row>
    <row r="62" ht="15.75" customHeight="1" s="252">
      <c r="A62" s="14" t="n"/>
    </row>
    <row r="63" ht="15.75" customHeight="1" s="252">
      <c r="A63" s="14" t="n"/>
    </row>
    <row r="64" ht="15.75" customHeight="1" s="252">
      <c r="A64" s="14" t="n"/>
    </row>
    <row r="65" ht="15.75" customHeight="1" s="252">
      <c r="A65" s="14" t="n"/>
    </row>
    <row r="66" ht="15.75" customHeight="1" s="252">
      <c r="A66" s="14" t="n"/>
    </row>
    <row r="67" ht="15.75" customHeight="1" s="252">
      <c r="A67" s="14" t="n"/>
    </row>
    <row r="68" ht="15.75" customHeight="1" s="252">
      <c r="A68" s="14" t="n"/>
    </row>
    <row r="69" ht="15.75" customHeight="1" s="252">
      <c r="A69" s="14" t="n"/>
    </row>
    <row r="70" ht="15.75" customHeight="1" s="252">
      <c r="A70" s="14" t="n"/>
    </row>
    <row r="71" ht="15.75" customHeight="1" s="252">
      <c r="A71" s="14" t="n"/>
    </row>
    <row r="72" ht="15.75" customHeight="1" s="252">
      <c r="A72" s="14" t="n"/>
    </row>
    <row r="73" ht="15.75" customHeight="1" s="252">
      <c r="A73" s="14" t="n"/>
    </row>
    <row r="74" ht="15.75" customHeight="1" s="252">
      <c r="A74" s="14" t="n"/>
    </row>
    <row r="75" ht="15.75" customHeight="1" s="252">
      <c r="A75" s="14" t="n"/>
    </row>
    <row r="76" ht="15.75" customHeight="1" s="252">
      <c r="A76" s="14" t="n"/>
    </row>
    <row r="77" ht="15.75" customHeight="1" s="252">
      <c r="A77" s="14" t="n"/>
    </row>
    <row r="78" ht="15.75" customHeight="1" s="252">
      <c r="A78" s="14" t="n"/>
    </row>
    <row r="79" ht="15.75" customHeight="1" s="252">
      <c r="A79" s="14" t="n"/>
    </row>
    <row r="80" ht="15.75" customHeight="1" s="252">
      <c r="A80" s="14" t="n"/>
    </row>
    <row r="81" ht="15.75" customHeight="1" s="252">
      <c r="A81" s="14" t="n"/>
    </row>
    <row r="82" ht="15.75" customHeight="1" s="252">
      <c r="A82" s="14" t="n"/>
    </row>
    <row r="83" ht="15.75" customHeight="1" s="252">
      <c r="A83" s="14" t="n"/>
    </row>
    <row r="84" ht="15.75" customHeight="1" s="252">
      <c r="A84" s="14" t="n"/>
    </row>
    <row r="85" ht="15.75" customHeight="1" s="252">
      <c r="A85" s="14" t="n"/>
    </row>
    <row r="86" ht="15.75" customHeight="1" s="252">
      <c r="A86" s="14" t="n"/>
    </row>
    <row r="87" ht="15.75" customHeight="1" s="252">
      <c r="A87" s="14" t="n"/>
    </row>
    <row r="88" ht="15.75" customHeight="1" s="252">
      <c r="A88" s="14" t="n"/>
    </row>
    <row r="89" ht="15.75" customHeight="1" s="252">
      <c r="A89" s="14" t="n"/>
    </row>
    <row r="90" ht="15.75" customHeight="1" s="252">
      <c r="A90" s="14" t="n"/>
    </row>
    <row r="91" ht="15.75" customHeight="1" s="252">
      <c r="A91" s="14" t="n"/>
    </row>
    <row r="92" ht="15.75" customHeight="1" s="252">
      <c r="A92" s="14" t="n"/>
    </row>
    <row r="93" ht="15.75" customHeight="1" s="252">
      <c r="A93" s="14" t="n"/>
    </row>
    <row r="94" ht="15.75" customHeight="1" s="252">
      <c r="A94" s="14" t="n"/>
    </row>
    <row r="95" ht="15.75" customHeight="1" s="252">
      <c r="A95" s="14" t="n"/>
    </row>
    <row r="96" ht="15.75" customHeight="1" s="252">
      <c r="A96" s="14" t="n"/>
    </row>
    <row r="97" ht="15.75" customHeight="1" s="252">
      <c r="A97" s="14" t="n"/>
    </row>
    <row r="98" ht="15.75" customHeight="1" s="252">
      <c r="A98" s="14" t="n"/>
    </row>
    <row r="99" ht="15.75" customHeight="1" s="252">
      <c r="A99" s="14" t="n"/>
    </row>
    <row r="100" ht="15.75" customHeight="1" s="252">
      <c r="A100" s="14" t="n"/>
    </row>
    <row r="101" ht="15.75" customHeight="1" s="252">
      <c r="A101" s="14" t="n"/>
    </row>
    <row r="102" ht="15.75" customHeight="1" s="252">
      <c r="A102" s="14" t="n"/>
    </row>
    <row r="103" ht="15.75" customHeight="1" s="252">
      <c r="A103" s="14" t="n"/>
    </row>
    <row r="104" ht="15.75" customHeight="1" s="252">
      <c r="A104" s="14" t="n"/>
    </row>
    <row r="105" ht="15.75" customHeight="1" s="252">
      <c r="A105" s="14" t="n"/>
    </row>
    <row r="106" ht="15.75" customHeight="1" s="252">
      <c r="A106" s="14" t="n"/>
    </row>
    <row r="107" ht="15.75" customHeight="1" s="252">
      <c r="A107" s="14" t="n"/>
    </row>
    <row r="108" ht="15.75" customHeight="1" s="252">
      <c r="A108" s="14" t="n"/>
    </row>
    <row r="109" ht="15.75" customHeight="1" s="252">
      <c r="A109" s="14" t="n"/>
    </row>
    <row r="110" ht="15.75" customHeight="1" s="252">
      <c r="A110" s="14" t="n"/>
    </row>
    <row r="111" ht="15.75" customHeight="1" s="252">
      <c r="A111" s="14" t="n"/>
    </row>
    <row r="112" ht="15.75" customHeight="1" s="252">
      <c r="A112" s="14" t="n"/>
    </row>
    <row r="113" ht="15.75" customHeight="1" s="252">
      <c r="A113" s="14" t="n"/>
    </row>
    <row r="114" ht="15.75" customHeight="1" s="252">
      <c r="A114" s="14" t="n"/>
    </row>
    <row r="115" ht="15.75" customHeight="1" s="252">
      <c r="A115" s="14" t="n"/>
    </row>
    <row r="116" ht="15.75" customHeight="1" s="252">
      <c r="A116" s="14" t="n"/>
    </row>
    <row r="117" ht="15.75" customHeight="1" s="252">
      <c r="A117" s="14" t="n"/>
    </row>
    <row r="118" ht="15.75" customHeight="1" s="252">
      <c r="A118" s="14" t="n"/>
    </row>
    <row r="119" ht="15.75" customHeight="1" s="252">
      <c r="A119" s="14" t="n"/>
    </row>
    <row r="120" ht="15.75" customHeight="1" s="252">
      <c r="A120" s="14" t="n"/>
    </row>
    <row r="121" ht="15.75" customHeight="1" s="252">
      <c r="A121" s="14" t="n"/>
    </row>
    <row r="122" ht="15.75" customHeight="1" s="252">
      <c r="A122" s="14" t="n"/>
    </row>
    <row r="123" ht="15.75" customHeight="1" s="252">
      <c r="A123" s="14" t="n"/>
    </row>
    <row r="124" ht="15.75" customHeight="1" s="252">
      <c r="A124" s="14" t="n"/>
    </row>
    <row r="125" ht="15.75" customHeight="1" s="252">
      <c r="A125" s="14" t="n"/>
    </row>
    <row r="126" ht="15.75" customHeight="1" s="252">
      <c r="A126" s="14" t="n"/>
    </row>
    <row r="127" ht="15.75" customHeight="1" s="252">
      <c r="A127" s="14" t="n"/>
    </row>
    <row r="128" ht="15.75" customHeight="1" s="252">
      <c r="A128" s="14" t="n"/>
    </row>
    <row r="129" ht="15.75" customHeight="1" s="252">
      <c r="A129" s="14" t="n"/>
    </row>
    <row r="130" ht="15.75" customHeight="1" s="252">
      <c r="A130" s="14" t="n"/>
    </row>
    <row r="131" ht="15.75" customHeight="1" s="252">
      <c r="A131" s="14" t="n"/>
    </row>
    <row r="132" ht="15.75" customHeight="1" s="252">
      <c r="A132" s="14" t="n"/>
    </row>
    <row r="133" ht="15.75" customHeight="1" s="252">
      <c r="A133" s="14" t="n"/>
    </row>
    <row r="134" ht="15.75" customHeight="1" s="252">
      <c r="A134" s="14" t="n"/>
    </row>
    <row r="135" ht="15.75" customHeight="1" s="252">
      <c r="A135" s="14" t="n"/>
    </row>
    <row r="136" ht="15.75" customHeight="1" s="252">
      <c r="A136" s="14" t="n"/>
    </row>
    <row r="137" ht="15.75" customHeight="1" s="252">
      <c r="A137" s="14" t="n"/>
    </row>
    <row r="138" ht="15.75" customHeight="1" s="252">
      <c r="A138" s="14" t="n"/>
    </row>
    <row r="139" ht="15.75" customHeight="1" s="252">
      <c r="A139" s="14" t="n"/>
    </row>
    <row r="140" ht="15.75" customHeight="1" s="252">
      <c r="A140" s="14" t="n"/>
    </row>
    <row r="141" ht="15.75" customHeight="1" s="252">
      <c r="A141" s="14" t="n"/>
    </row>
    <row r="142" ht="15.75" customHeight="1" s="252">
      <c r="A142" s="14" t="n"/>
    </row>
    <row r="143" ht="15.75" customHeight="1" s="252">
      <c r="A143" s="14" t="n"/>
    </row>
    <row r="144" ht="15.75" customHeight="1" s="252">
      <c r="A144" s="14" t="n"/>
    </row>
    <row r="145" ht="15.75" customHeight="1" s="252">
      <c r="A145" s="14" t="n"/>
    </row>
    <row r="146" ht="15.75" customHeight="1" s="252">
      <c r="A146" s="14" t="n"/>
    </row>
    <row r="147" ht="15.75" customHeight="1" s="252">
      <c r="A147" s="14" t="n"/>
    </row>
    <row r="148" ht="15.75" customHeight="1" s="252">
      <c r="A148" s="14" t="n"/>
    </row>
    <row r="149" ht="15.75" customHeight="1" s="252">
      <c r="A149" s="14" t="n"/>
    </row>
    <row r="150" ht="15.75" customHeight="1" s="252">
      <c r="A150" s="14" t="n"/>
    </row>
    <row r="151" ht="15.75" customHeight="1" s="252">
      <c r="A151" s="14" t="n"/>
    </row>
    <row r="152" ht="15.75" customHeight="1" s="252">
      <c r="A152" s="14" t="n"/>
    </row>
    <row r="153" ht="15.75" customHeight="1" s="252">
      <c r="A153" s="14" t="n"/>
    </row>
    <row r="154" ht="15.75" customHeight="1" s="252">
      <c r="A154" s="14" t="n"/>
    </row>
    <row r="155" ht="15.75" customHeight="1" s="252">
      <c r="A155" s="14" t="n"/>
    </row>
    <row r="156" ht="15.75" customHeight="1" s="252">
      <c r="A156" s="14" t="n"/>
    </row>
    <row r="157" ht="15.75" customHeight="1" s="252">
      <c r="A157" s="14" t="n"/>
    </row>
    <row r="158" ht="15.75" customHeight="1" s="252">
      <c r="A158" s="14" t="n"/>
    </row>
    <row r="159" ht="15.75" customHeight="1" s="252">
      <c r="A159" s="14" t="n"/>
    </row>
    <row r="160" ht="15.75" customHeight="1" s="252">
      <c r="A160" s="14" t="n"/>
    </row>
    <row r="161" ht="15.75" customHeight="1" s="252">
      <c r="A161" s="14" t="n"/>
    </row>
    <row r="162" ht="15.75" customHeight="1" s="252">
      <c r="A162" s="14" t="n"/>
    </row>
    <row r="163" ht="15.75" customHeight="1" s="252">
      <c r="A163" s="14" t="n"/>
    </row>
    <row r="164" ht="15.75" customHeight="1" s="252">
      <c r="A164" s="14" t="n"/>
    </row>
    <row r="165" ht="15.75" customHeight="1" s="252">
      <c r="A165" s="14" t="n"/>
    </row>
    <row r="166" ht="15.75" customHeight="1" s="252">
      <c r="A166" s="14" t="n"/>
    </row>
    <row r="167" ht="15.75" customHeight="1" s="252">
      <c r="A167" s="14" t="n"/>
    </row>
    <row r="168" ht="15.75" customHeight="1" s="252">
      <c r="A168" s="14" t="n"/>
    </row>
    <row r="169" ht="15.75" customHeight="1" s="252">
      <c r="A169" s="14" t="n"/>
    </row>
    <row r="170" ht="15.75" customHeight="1" s="252">
      <c r="A170" s="14" t="n"/>
    </row>
    <row r="171" ht="15.75" customHeight="1" s="252">
      <c r="A171" s="14" t="n"/>
    </row>
    <row r="172" ht="15.75" customHeight="1" s="252">
      <c r="A172" s="14" t="n"/>
    </row>
    <row r="173" ht="15.75" customHeight="1" s="252">
      <c r="A173" s="14" t="n"/>
    </row>
    <row r="174" ht="15.75" customHeight="1" s="252">
      <c r="A174" s="14" t="n"/>
    </row>
    <row r="175" ht="15.75" customHeight="1" s="252">
      <c r="A175" s="14" t="n"/>
    </row>
    <row r="176" ht="15.75" customHeight="1" s="252">
      <c r="A176" s="14" t="n"/>
    </row>
    <row r="177" ht="15.75" customHeight="1" s="252">
      <c r="A177" s="14" t="n"/>
    </row>
    <row r="178" ht="15.75" customHeight="1" s="252">
      <c r="A178" s="14" t="n"/>
    </row>
    <row r="179" ht="15.75" customHeight="1" s="252">
      <c r="A179" s="14" t="n"/>
    </row>
    <row r="180" ht="15.75" customHeight="1" s="252">
      <c r="A180" s="14" t="n"/>
    </row>
    <row r="181" ht="15.75" customHeight="1" s="252">
      <c r="A181" s="14" t="n"/>
    </row>
    <row r="182" ht="15.75" customHeight="1" s="252">
      <c r="A182" s="14" t="n"/>
    </row>
    <row r="183" ht="15.75" customHeight="1" s="252">
      <c r="A183" s="14" t="n"/>
    </row>
    <row r="184" ht="15.75" customHeight="1" s="252">
      <c r="A184" s="14" t="n"/>
    </row>
    <row r="185" ht="15.75" customHeight="1" s="252">
      <c r="A185" s="14" t="n"/>
    </row>
    <row r="186" ht="15.75" customHeight="1" s="252">
      <c r="A186" s="14" t="n"/>
    </row>
    <row r="187" ht="15.75" customHeight="1" s="252">
      <c r="A187" s="14" t="n"/>
    </row>
    <row r="188" ht="15.75" customHeight="1" s="252">
      <c r="A188" s="14" t="n"/>
    </row>
    <row r="189" ht="15.75" customHeight="1" s="252">
      <c r="A189" s="14" t="n"/>
    </row>
    <row r="190" ht="15.75" customHeight="1" s="252">
      <c r="A190" s="14" t="n"/>
    </row>
    <row r="191" ht="15.75" customHeight="1" s="252">
      <c r="A191" s="14" t="n"/>
    </row>
    <row r="192" ht="15.75" customHeight="1" s="252">
      <c r="A192" s="14" t="n"/>
    </row>
    <row r="193" ht="15.75" customHeight="1" s="252">
      <c r="A193" s="14" t="n"/>
    </row>
    <row r="194" ht="15.75" customHeight="1" s="252">
      <c r="A194" s="14" t="n"/>
    </row>
    <row r="195" ht="15.75" customHeight="1" s="252">
      <c r="A195" s="14" t="n"/>
    </row>
    <row r="196" ht="15.75" customHeight="1" s="252">
      <c r="A196" s="14" t="n"/>
    </row>
    <row r="197" ht="15.75" customHeight="1" s="252">
      <c r="A197" s="14" t="n"/>
    </row>
    <row r="198" ht="15.75" customHeight="1" s="252">
      <c r="A198" s="14" t="n"/>
    </row>
    <row r="199" ht="15.75" customHeight="1" s="252">
      <c r="A199" s="14" t="n"/>
    </row>
    <row r="200" ht="15.75" customHeight="1" s="252">
      <c r="A200" s="14" t="n"/>
    </row>
    <row r="201" ht="15.75" customHeight="1" s="252">
      <c r="A201" s="14" t="n"/>
    </row>
    <row r="202" ht="15.75" customHeight="1" s="252">
      <c r="A202" s="14" t="n"/>
    </row>
    <row r="203" ht="15.75" customHeight="1" s="252">
      <c r="A203" s="14" t="n"/>
    </row>
    <row r="204" ht="15.75" customHeight="1" s="252">
      <c r="A204" s="14" t="n"/>
    </row>
    <row r="205" ht="15.75" customHeight="1" s="252">
      <c r="A205" s="14" t="n"/>
    </row>
    <row r="206" ht="15.75" customHeight="1" s="252">
      <c r="A206" s="14" t="n"/>
    </row>
    <row r="207" ht="15.75" customHeight="1" s="252">
      <c r="A207" s="14" t="n"/>
    </row>
    <row r="208" ht="15.75" customHeight="1" s="252">
      <c r="A208" s="14" t="n"/>
    </row>
    <row r="209" ht="15.75" customHeight="1" s="252">
      <c r="A209" s="14" t="n"/>
    </row>
    <row r="210" ht="15.75" customHeight="1" s="252">
      <c r="A210" s="14" t="n"/>
    </row>
    <row r="211" ht="15.75" customHeight="1" s="252">
      <c r="A211" s="14" t="n"/>
    </row>
    <row r="212" ht="15.75" customHeight="1" s="252">
      <c r="A212" s="14" t="n"/>
    </row>
    <row r="213" ht="15.75" customHeight="1" s="252">
      <c r="A213" s="14" t="n"/>
    </row>
    <row r="214" ht="15.75" customHeight="1" s="252">
      <c r="A214" s="14" t="n"/>
    </row>
    <row r="215" ht="15.75" customHeight="1" s="252">
      <c r="A215" s="14" t="n"/>
    </row>
    <row r="216" ht="15.75" customHeight="1" s="252">
      <c r="A216" s="14" t="n"/>
    </row>
    <row r="217" ht="15.75" customHeight="1" s="252">
      <c r="A217" s="14" t="n"/>
    </row>
    <row r="218" ht="15.75" customHeight="1" s="252">
      <c r="A218" s="14" t="n"/>
    </row>
    <row r="219" ht="15.75" customHeight="1" s="252">
      <c r="A219" s="14" t="n"/>
    </row>
    <row r="220" ht="15.75" customHeight="1" s="252">
      <c r="A220" s="14" t="n"/>
    </row>
    <row r="221" ht="15.75" customHeight="1" s="252">
      <c r="A221" s="14" t="n"/>
    </row>
    <row r="222" ht="15.75" customHeight="1" s="252">
      <c r="A222" s="14" t="n"/>
    </row>
    <row r="223" ht="15.75" customHeight="1" s="252">
      <c r="A223" s="14" t="n"/>
    </row>
    <row r="224" ht="15.75" customHeight="1" s="252">
      <c r="A224" s="14" t="n"/>
    </row>
    <row r="225" ht="15.75" customHeight="1" s="252">
      <c r="A225" s="14" t="n"/>
    </row>
    <row r="226" ht="15.75" customHeight="1" s="252">
      <c r="A226" s="14" t="n"/>
    </row>
    <row r="227" ht="15.75" customHeight="1" s="252">
      <c r="A227" s="14" t="n"/>
    </row>
    <row r="228" ht="15.75" customHeight="1" s="252">
      <c r="A228" s="14" t="n"/>
    </row>
    <row r="229" ht="15.75" customHeight="1" s="252">
      <c r="A229" s="14" t="n"/>
    </row>
    <row r="230" ht="15.75" customHeight="1" s="252">
      <c r="A230" s="14" t="n"/>
    </row>
    <row r="231" ht="15.75" customHeight="1" s="252">
      <c r="A231" s="14" t="n"/>
    </row>
    <row r="232" ht="15.75" customHeight="1" s="252">
      <c r="A232" s="14" t="n"/>
    </row>
    <row r="233" ht="15.75" customHeight="1" s="252">
      <c r="A233" s="14" t="n"/>
    </row>
    <row r="234" ht="15.75" customHeight="1" s="252">
      <c r="A234" s="14" t="n"/>
    </row>
    <row r="235" ht="15.75" customHeight="1" s="252">
      <c r="A235" s="14" t="n"/>
    </row>
    <row r="236" ht="15.75" customHeight="1" s="252">
      <c r="A236" s="14" t="n"/>
    </row>
    <row r="237" ht="15.75" customHeight="1" s="252">
      <c r="A237" s="14" t="n"/>
    </row>
    <row r="238" ht="15.75" customHeight="1" s="252">
      <c r="A238" s="14" t="n"/>
    </row>
    <row r="239" ht="15.75" customHeight="1" s="252">
      <c r="A239" s="14" t="n"/>
    </row>
    <row r="240" ht="15.75" customHeight="1" s="252">
      <c r="A240" s="14" t="n"/>
    </row>
    <row r="241" ht="15.75" customHeight="1" s="252">
      <c r="A241" s="14" t="n"/>
    </row>
    <row r="242" ht="15.75" customHeight="1" s="252">
      <c r="A242" s="14" t="n"/>
    </row>
    <row r="243" ht="15.75" customHeight="1" s="252">
      <c r="A243" s="14" t="n"/>
    </row>
    <row r="244" ht="15.75" customHeight="1" s="252">
      <c r="A244" s="14" t="n"/>
    </row>
    <row r="245" ht="15.75" customHeight="1" s="252">
      <c r="A245" s="14" t="n"/>
    </row>
    <row r="246" ht="15.75" customHeight="1" s="252">
      <c r="A246" s="14" t="n"/>
    </row>
    <row r="247" ht="15.75" customHeight="1" s="252">
      <c r="A247" s="14" t="n"/>
    </row>
    <row r="248" ht="15.75" customHeight="1" s="252">
      <c r="A248" s="14" t="n"/>
    </row>
    <row r="249" ht="15.75" customHeight="1" s="252">
      <c r="A249" s="14" t="n"/>
    </row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BI245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baseColWidth="8" defaultColWidth="12.63" defaultRowHeight="15" customHeight="1" outlineLevelRow="1"/>
  <cols>
    <col width="25.13" customWidth="1" style="252" min="1" max="1"/>
    <col width="12.63" customWidth="1" style="252" min="2" max="3"/>
    <col width="11.63" customWidth="1" style="252" min="4" max="4"/>
    <col width="12.63" customWidth="1" style="252" min="5" max="6"/>
    <col width="25.13" customWidth="1" style="252" min="7" max="7"/>
    <col width="17.88" customWidth="1" style="252" min="23" max="23"/>
  </cols>
  <sheetData>
    <row r="1" outlineLevel="1" ht="15.75" customHeight="1" s="252">
      <c r="A1" s="80" t="inlineStr">
        <is>
          <t>AUM Before</t>
        </is>
      </c>
      <c r="B1" s="81" t="n"/>
      <c r="C1" s="81" t="n"/>
      <c r="D1" s="82" t="n">
        <v>0</v>
      </c>
      <c r="E1" s="83" t="n">
        <v>202.23</v>
      </c>
      <c r="F1" s="83" t="n">
        <v>239.44</v>
      </c>
      <c r="G1" s="83">
        <f>242.88-0.14</f>
        <v/>
      </c>
      <c r="H1" s="83" t="n">
        <v>454.82</v>
      </c>
      <c r="I1" s="83">
        <f>I3-I2</f>
        <v/>
      </c>
      <c r="J1" s="83" t="n">
        <v>311.09</v>
      </c>
      <c r="K1" s="83" t="n">
        <v>311.59</v>
      </c>
      <c r="L1" s="83" t="n">
        <v>322.45</v>
      </c>
      <c r="M1" s="83" t="n">
        <v>327.13</v>
      </c>
      <c r="N1" s="83" t="n">
        <v>340.32</v>
      </c>
      <c r="O1" s="83" t="n">
        <v>404.05</v>
      </c>
      <c r="P1" s="83" t="n">
        <v>404.25</v>
      </c>
      <c r="Q1" s="83" t="n">
        <v>392.9</v>
      </c>
      <c r="R1" s="83" t="n">
        <v>403.4</v>
      </c>
      <c r="S1" s="83" t="n">
        <v>471.52</v>
      </c>
      <c r="T1" s="83" t="n">
        <v>474.62</v>
      </c>
      <c r="U1" s="83" t="n">
        <v>481.89</v>
      </c>
      <c r="V1" s="83" t="n">
        <v>490.71</v>
      </c>
      <c r="W1" s="83" t="n">
        <v>490.73</v>
      </c>
      <c r="X1" s="83" t="n">
        <v>499.296</v>
      </c>
      <c r="Y1" s="83" t="n">
        <v>506.41</v>
      </c>
      <c r="Z1" s="83" t="n">
        <v>502.11</v>
      </c>
      <c r="AA1" s="83" t="n">
        <v>512.9</v>
      </c>
      <c r="AB1" s="83" t="n">
        <v>597.88</v>
      </c>
      <c r="AC1" s="83" t="n">
        <v>634.2</v>
      </c>
      <c r="AD1" s="83" t="n">
        <v>667.5599999999999</v>
      </c>
      <c r="AE1" s="83" t="n">
        <v>676.95</v>
      </c>
      <c r="AF1" s="83" t="n">
        <v>708.83</v>
      </c>
      <c r="AG1" s="83" t="n">
        <v>743.66</v>
      </c>
      <c r="AH1" s="83" t="n">
        <v>778.9299999999999</v>
      </c>
      <c r="AI1" s="83" t="n">
        <v>778.9299999999999</v>
      </c>
      <c r="AJ1" s="83" t="n">
        <v>583.34</v>
      </c>
      <c r="AK1" s="83" t="n">
        <v>596.03</v>
      </c>
      <c r="AL1" s="83" t="n">
        <v>623.12</v>
      </c>
      <c r="AM1" s="83" t="n">
        <v>624.1799999999999</v>
      </c>
      <c r="AN1" s="83" t="n">
        <v>775.01</v>
      </c>
      <c r="AO1" s="83" t="n">
        <v>772.37</v>
      </c>
      <c r="AP1" s="84" t="n"/>
      <c r="AQ1" s="84" t="n"/>
      <c r="AR1" s="84" t="n"/>
      <c r="AS1" s="84" t="n"/>
      <c r="AT1" s="84" t="n"/>
      <c r="AU1" s="84" t="n"/>
      <c r="AV1" s="84" t="n"/>
      <c r="AW1" s="84" t="n"/>
      <c r="AX1" s="84" t="n"/>
      <c r="AY1" s="84" t="n"/>
      <c r="AZ1" s="84" t="n"/>
      <c r="BA1" s="84" t="n"/>
      <c r="BB1" s="84" t="n"/>
      <c r="BC1" s="84" t="n"/>
    </row>
    <row r="2" outlineLevel="1" ht="15.75" customHeight="1" s="252">
      <c r="A2" s="80" t="inlineStr">
        <is>
          <t>Top Up / Withdrawals</t>
        </is>
      </c>
      <c r="B2" s="81" t="n"/>
      <c r="C2" s="81" t="n"/>
      <c r="D2" s="85" t="n">
        <v>202.01</v>
      </c>
      <c r="E2" s="82" t="n">
        <v>35.29660000000001</v>
      </c>
      <c r="F2" s="82" t="n">
        <v>2</v>
      </c>
      <c r="G2" s="82">
        <f>62.6261+26.6797+0.898+119.7862</f>
        <v/>
      </c>
      <c r="H2" s="82" t="n">
        <v>32</v>
      </c>
      <c r="I2" s="82" t="n">
        <v>-178.37</v>
      </c>
      <c r="J2" s="82" t="n">
        <v>0</v>
      </c>
      <c r="K2" s="82" t="n">
        <v>10.44</v>
      </c>
      <c r="L2" s="82" t="n">
        <v>4.6327</v>
      </c>
      <c r="M2" s="82">
        <f>8.96+3.35</f>
        <v/>
      </c>
      <c r="N2" s="82" t="n">
        <v>63.1</v>
      </c>
      <c r="O2" s="82" t="n">
        <v>0</v>
      </c>
      <c r="P2" s="82" t="n">
        <v>-12</v>
      </c>
      <c r="Q2" s="82" t="n">
        <v>10.051</v>
      </c>
      <c r="R2" s="82">
        <f>64.27+3.75</f>
        <v/>
      </c>
      <c r="S2" s="82" t="n">
        <v>3.1</v>
      </c>
      <c r="T2" s="82" t="n">
        <v>6.5417</v>
      </c>
      <c r="U2" s="82">
        <f>1.2+6.4</f>
        <v/>
      </c>
      <c r="V2" s="82" t="n">
        <v>0</v>
      </c>
      <c r="W2" s="82" t="n">
        <v>8.404</v>
      </c>
      <c r="X2" s="82" t="n">
        <v>6.9519</v>
      </c>
      <c r="Y2" s="82">
        <f>7.6215-12.22</f>
        <v/>
      </c>
      <c r="Z2" s="82" t="n">
        <v>10.224</v>
      </c>
      <c r="AA2" s="82">
        <f>6.234+78</f>
        <v/>
      </c>
      <c r="AB2" s="82" t="n">
        <v>35</v>
      </c>
      <c r="AC2" s="82" t="n">
        <v>33</v>
      </c>
      <c r="AD2" s="82" t="n">
        <v>9.143000000000001</v>
      </c>
      <c r="AE2" s="82" t="n">
        <v>31.37</v>
      </c>
      <c r="AF2" s="82" t="n">
        <v>34</v>
      </c>
      <c r="AG2" s="82" t="n">
        <v>32.5</v>
      </c>
      <c r="AH2" s="82" t="n">
        <v>0</v>
      </c>
      <c r="AI2" s="82">
        <f>-213.73+18</f>
        <v/>
      </c>
      <c r="AJ2" s="82">
        <f>SUMIFS(Investments!$D:$D,Investments!$C:$C,"eth",Investments!$A:$A,AJ$8)</f>
        <v/>
      </c>
      <c r="AK2" s="82">
        <f>SUMIFS(Investments!$D:$D,Investments!$C:$C,"eth",Investments!$A:$A,AK$8)</f>
        <v/>
      </c>
      <c r="AL2" s="82">
        <f>SUMIFS(Investments!$D:$D,Investments!$C:$C,"eth",Investments!$A:$A,AL$8)</f>
        <v/>
      </c>
      <c r="AM2" s="82">
        <f>SUMIFS(Investments!$D:$D,Investments!$C:$C,"eth",Investments!$A:$A,AM$8)</f>
        <v/>
      </c>
      <c r="AN2" s="82">
        <f>SUMIFS(Investments!$D:$D,Investments!$C:$C,"eth",Investments!$A:$A,AN$8)</f>
        <v/>
      </c>
      <c r="AO2" s="82">
        <f>SUMIFS(Investments!$D:$D,Investments!$C:$C,"eth",Investments!$A:$A,AO$8)</f>
        <v/>
      </c>
      <c r="AP2" s="86" t="n"/>
      <c r="AQ2" s="86" t="n"/>
      <c r="AR2" s="86" t="n"/>
      <c r="AS2" s="86" t="n"/>
      <c r="AT2" s="86" t="n"/>
      <c r="AU2" s="86" t="n"/>
      <c r="AV2" s="86" t="n"/>
      <c r="AW2" s="86" t="n"/>
      <c r="AX2" s="86" t="n"/>
      <c r="AY2" s="86" t="n"/>
      <c r="AZ2" s="86" t="n"/>
      <c r="BA2" s="86" t="n"/>
      <c r="BB2" s="86" t="n"/>
      <c r="BC2" s="86" t="n"/>
    </row>
    <row r="3" outlineLevel="1" ht="15.75" customHeight="1" s="252">
      <c r="A3" s="80" t="inlineStr">
        <is>
          <t>AUM After</t>
        </is>
      </c>
      <c r="B3" s="81" t="n"/>
      <c r="C3" s="81" t="n"/>
      <c r="D3" s="85">
        <f>SUM(D1:D2)</f>
        <v/>
      </c>
      <c r="E3" s="85">
        <f>SUM(E1:E2)</f>
        <v/>
      </c>
      <c r="F3" s="85">
        <f>F1+F2</f>
        <v/>
      </c>
      <c r="G3" s="85">
        <f>G1+G2</f>
        <v/>
      </c>
      <c r="H3" s="85">
        <f>H1+H2</f>
        <v/>
      </c>
      <c r="I3" s="85">
        <f>H3-(G12*$H$4*(1-$B12)+G12)                                                                                                                                                                   </f>
        <v/>
      </c>
      <c r="J3" s="85">
        <f>J1+J2</f>
        <v/>
      </c>
      <c r="K3" s="85">
        <f>K1+K2</f>
        <v/>
      </c>
      <c r="L3" s="85">
        <f>L1+L2</f>
        <v/>
      </c>
      <c r="M3" s="85">
        <f>M1+M2</f>
        <v/>
      </c>
      <c r="N3" s="85">
        <f>N1+N2</f>
        <v/>
      </c>
      <c r="O3" s="85">
        <f>O1+O2</f>
        <v/>
      </c>
      <c r="P3" s="85">
        <f>P1+P2</f>
        <v/>
      </c>
      <c r="Q3" s="85">
        <f>Q1+Q2</f>
        <v/>
      </c>
      <c r="R3" s="85">
        <f>R1+R2</f>
        <v/>
      </c>
      <c r="S3" s="85">
        <f>S1+S2</f>
        <v/>
      </c>
      <c r="T3" s="85">
        <f>T1+T2</f>
        <v/>
      </c>
      <c r="U3" s="85">
        <f>U1+U2</f>
        <v/>
      </c>
      <c r="V3" s="85">
        <f>V1+V2</f>
        <v/>
      </c>
      <c r="W3" s="85">
        <f>W1+W2</f>
        <v/>
      </c>
      <c r="X3" s="85">
        <f>X1+X2</f>
        <v/>
      </c>
      <c r="Y3" s="85">
        <f>Y1+Y2</f>
        <v/>
      </c>
      <c r="Z3" s="85">
        <f>Z1+Z2</f>
        <v/>
      </c>
      <c r="AA3" s="85">
        <f>AA1+AA2</f>
        <v/>
      </c>
      <c r="AB3" s="85">
        <f>AB1+AB2</f>
        <v/>
      </c>
      <c r="AC3" s="85">
        <f>AC1+AC2</f>
        <v/>
      </c>
      <c r="AD3" s="85">
        <f>AD1+AD2</f>
        <v/>
      </c>
      <c r="AE3" s="85">
        <f>AE1+AE2</f>
        <v/>
      </c>
      <c r="AF3" s="85">
        <f>AF1+AF2</f>
        <v/>
      </c>
      <c r="AG3" s="85">
        <f>AG1+AG2</f>
        <v/>
      </c>
      <c r="AH3" s="85">
        <f>AH1+AH2</f>
        <v/>
      </c>
      <c r="AI3" s="85">
        <f>AI1+AI2</f>
        <v/>
      </c>
      <c r="AJ3" s="85">
        <f>AJ1+AJ2</f>
        <v/>
      </c>
      <c r="AK3" s="85">
        <f>AK1+AK2</f>
        <v/>
      </c>
      <c r="AL3" s="85">
        <f>AL1+AL2</f>
        <v/>
      </c>
      <c r="AM3" s="85">
        <f>AM1+AM2</f>
        <v/>
      </c>
      <c r="AN3" s="85">
        <f>AN1+AN2</f>
        <v/>
      </c>
      <c r="AO3" s="85">
        <f>AO1+AO2</f>
        <v/>
      </c>
      <c r="AP3" s="87" t="n"/>
      <c r="AQ3" s="87" t="n"/>
      <c r="AR3" s="87" t="n"/>
      <c r="AS3" s="87" t="n"/>
      <c r="AT3" s="87" t="n"/>
      <c r="AU3" s="87" t="n"/>
      <c r="AV3" s="87" t="n"/>
      <c r="AW3" s="87" t="n"/>
      <c r="AX3" s="87" t="n"/>
      <c r="AY3" s="87" t="n"/>
      <c r="AZ3" s="87" t="n"/>
      <c r="BA3" s="87" t="n"/>
      <c r="BB3" s="87" t="n"/>
      <c r="BC3" s="87" t="n"/>
    </row>
    <row r="4" outlineLevel="1" ht="15.75" customHeight="1" s="252">
      <c r="A4" s="80" t="inlineStr">
        <is>
          <t>Gross Performance</t>
        </is>
      </c>
      <c r="B4" s="81" t="n"/>
      <c r="C4" s="81" t="n"/>
      <c r="D4" s="88" t="n">
        <v>1</v>
      </c>
      <c r="E4" s="82">
        <f>(E1*$D$4/D3)-100%</f>
        <v/>
      </c>
      <c r="F4" s="82">
        <f>(F1*$D$4/E3)-100%</f>
        <v/>
      </c>
      <c r="G4" s="82">
        <f>(G1*$D$4/F3)-100%</f>
        <v/>
      </c>
      <c r="H4" s="82">
        <f>(H1*$D$4/G3)-100%</f>
        <v/>
      </c>
      <c r="I4" s="82" t="n">
        <v>0</v>
      </c>
      <c r="J4" s="82">
        <f>(J1*$D$4/I3)-100%</f>
        <v/>
      </c>
      <c r="K4" s="82">
        <f>(K1*$D$4/J1)-100%</f>
        <v/>
      </c>
      <c r="L4" s="82">
        <f>(L1*$D$4/K3)-100%</f>
        <v/>
      </c>
      <c r="M4" s="82">
        <f>(M1*$D$4/L3)-100%</f>
        <v/>
      </c>
      <c r="N4" s="82">
        <f>(N1*$D$4/M3)-100%</f>
        <v/>
      </c>
      <c r="O4" s="82">
        <f>(O1*$D$4/N3)-100%</f>
        <v/>
      </c>
      <c r="P4" s="82">
        <f>(P1*$D$4/O1)-100%</f>
        <v/>
      </c>
      <c r="Q4" s="82">
        <f>(Q1*$D$4/P3)-100%</f>
        <v/>
      </c>
      <c r="R4" s="82">
        <f>(R1*$D$4/Q3)-100%</f>
        <v/>
      </c>
      <c r="S4" s="82">
        <f>(S1*$D$4/R3)-100%</f>
        <v/>
      </c>
      <c r="T4" s="82">
        <f>(T1*$D$4/S3)-100%</f>
        <v/>
      </c>
      <c r="U4" s="82">
        <f>(U1*$D$4/T3)-100%</f>
        <v/>
      </c>
      <c r="V4" s="82">
        <f>(V1*$D$4/U3)-100%</f>
        <v/>
      </c>
      <c r="W4" s="82">
        <f>(W1*$D$4/V1)-100%</f>
        <v/>
      </c>
      <c r="X4" s="82">
        <f>(X1*$D$4/W3)-100%</f>
        <v/>
      </c>
      <c r="Y4" s="82">
        <f>(Y1*$D$4/X3)-100%</f>
        <v/>
      </c>
      <c r="Z4" s="82">
        <f>(Z1*$D$4/Y3)-100%</f>
        <v/>
      </c>
      <c r="AA4" s="82">
        <f>(AA1*$D$4/Z3)-100%</f>
        <v/>
      </c>
      <c r="AB4" s="82">
        <f>(AB1*$D$4/AA3)-100%</f>
        <v/>
      </c>
      <c r="AC4" s="82">
        <f>(AC1*$D$4/AB3)-100%</f>
        <v/>
      </c>
      <c r="AD4" s="82">
        <f>(AD1*$D$4/AC3)-100%</f>
        <v/>
      </c>
      <c r="AE4" s="82">
        <f>(AE1*$D$4/AD3)-100%</f>
        <v/>
      </c>
      <c r="AF4" s="82">
        <f>(AF1*$D$4/AE3)-100%</f>
        <v/>
      </c>
      <c r="AG4" s="82">
        <f>(AG1*$D$4/AF3)-100%</f>
        <v/>
      </c>
      <c r="AH4" s="82">
        <f>(AH1*$D$4/AG3)-100%</f>
        <v/>
      </c>
      <c r="AI4" s="82">
        <f>(AI1*$D$4/AH1)-100%</f>
        <v/>
      </c>
      <c r="AJ4" s="82">
        <f>(AJ1-AI3)/AI3</f>
        <v/>
      </c>
      <c r="AK4" s="82">
        <f>(AK1-AJ3)/AJ3</f>
        <v/>
      </c>
      <c r="AL4" s="82">
        <f>(AL1-AK3)/AK3</f>
        <v/>
      </c>
      <c r="AM4" s="82">
        <f>(AM1-AL3)/AL3</f>
        <v/>
      </c>
      <c r="AN4" s="82">
        <f>(AN1-AM3)/AM3</f>
        <v/>
      </c>
      <c r="AO4" s="82">
        <f>(AO1-AN3)/AN3</f>
        <v/>
      </c>
      <c r="AP4" s="89" t="n"/>
      <c r="AQ4" s="89" t="n"/>
      <c r="AR4" s="89" t="n"/>
      <c r="AS4" s="89" t="n"/>
      <c r="AT4" s="89" t="n"/>
      <c r="AU4" s="89" t="n"/>
      <c r="AV4" s="89" t="n"/>
      <c r="AW4" s="89" t="n"/>
      <c r="AX4" s="89" t="n"/>
      <c r="AY4" s="89" t="n"/>
      <c r="AZ4" s="89" t="n"/>
      <c r="BA4" s="89" t="n"/>
      <c r="BB4" s="89" t="n"/>
      <c r="BC4" s="89" t="n"/>
    </row>
    <row r="5" outlineLevel="1" ht="15.75" customHeight="1" s="252">
      <c r="A5" s="80" t="inlineStr">
        <is>
          <t>Net Performance</t>
        </is>
      </c>
      <c r="B5" s="81" t="n"/>
      <c r="C5" s="81" t="n"/>
      <c r="D5" s="88" t="n"/>
      <c r="E5" s="82">
        <f>E4*0.8</f>
        <v/>
      </c>
      <c r="F5" s="82">
        <f>F4*0.8</f>
        <v/>
      </c>
      <c r="G5" s="82">
        <f>G4*0.8</f>
        <v/>
      </c>
      <c r="H5" s="82">
        <f>H4*0.8</f>
        <v/>
      </c>
      <c r="I5" s="82">
        <f>I4*0.8</f>
        <v/>
      </c>
      <c r="J5" s="82">
        <f>J4*0.8</f>
        <v/>
      </c>
      <c r="K5" s="82">
        <f>K4*0.8</f>
        <v/>
      </c>
      <c r="L5" s="82">
        <f>L4*0.8</f>
        <v/>
      </c>
      <c r="M5" s="82">
        <f>M4*0.8</f>
        <v/>
      </c>
      <c r="N5" s="82">
        <f>N4*0.8</f>
        <v/>
      </c>
      <c r="O5" s="82">
        <f>O4*0.8</f>
        <v/>
      </c>
      <c r="P5" s="82">
        <f>P4*0.8</f>
        <v/>
      </c>
      <c r="Q5" s="82">
        <f>Q4*0.8</f>
        <v/>
      </c>
      <c r="R5" s="82">
        <f>R4*0.8</f>
        <v/>
      </c>
      <c r="S5" s="82">
        <f>S4*0.8</f>
        <v/>
      </c>
      <c r="T5" s="82">
        <f>T4*0.8</f>
        <v/>
      </c>
      <c r="U5" s="82">
        <f>U4*0.8</f>
        <v/>
      </c>
      <c r="V5" s="82">
        <f>V4*0.8</f>
        <v/>
      </c>
      <c r="W5" s="82">
        <f>W4*0.8</f>
        <v/>
      </c>
      <c r="X5" s="82">
        <f>X4*0.8</f>
        <v/>
      </c>
      <c r="Y5" s="82">
        <f>Y4*0.8</f>
        <v/>
      </c>
      <c r="Z5" s="82">
        <f>Z4*0.8</f>
        <v/>
      </c>
      <c r="AA5" s="82">
        <f>AA4*0.8</f>
        <v/>
      </c>
      <c r="AB5" s="82">
        <f>AB4*0.8</f>
        <v/>
      </c>
      <c r="AC5" s="82">
        <f>AC4*0.8</f>
        <v/>
      </c>
      <c r="AD5" s="82">
        <f>AD4*0.8</f>
        <v/>
      </c>
      <c r="AE5" s="82">
        <f>AE4*0.8</f>
        <v/>
      </c>
      <c r="AF5" s="82">
        <f>AF4*0.8</f>
        <v/>
      </c>
      <c r="AG5" s="82">
        <f>AG4*0.8</f>
        <v/>
      </c>
      <c r="AH5" s="82">
        <f>AH4*0.8</f>
        <v/>
      </c>
      <c r="AI5" s="82">
        <f>AI4*0.8</f>
        <v/>
      </c>
      <c r="AJ5" s="82">
        <f>AJ4*0.8</f>
        <v/>
      </c>
      <c r="AK5" s="82">
        <f>AK4*0.8</f>
        <v/>
      </c>
      <c r="AL5" s="82">
        <f>AL4*0.8</f>
        <v/>
      </c>
      <c r="AM5" s="82">
        <f>AM4*0.8</f>
        <v/>
      </c>
      <c r="AN5" s="82">
        <f>AN4*0.8</f>
        <v/>
      </c>
      <c r="AO5" s="82">
        <f>AO4*0.8</f>
        <v/>
      </c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</row>
    <row r="6" outlineLevel="1" ht="15.75" customHeight="1" s="252">
      <c r="A6" s="80" t="inlineStr">
        <is>
          <t>Yearly APY</t>
        </is>
      </c>
      <c r="B6" s="81" t="n"/>
      <c r="C6" s="81" t="n"/>
      <c r="D6" s="88" t="n"/>
      <c r="E6" s="82">
        <f>E4*12</f>
        <v/>
      </c>
      <c r="F6" s="82">
        <f>F4*12</f>
        <v/>
      </c>
      <c r="G6" s="82">
        <f>G4*12</f>
        <v/>
      </c>
      <c r="H6" s="82">
        <f>H4*12</f>
        <v/>
      </c>
      <c r="I6" s="82">
        <f>I4*12</f>
        <v/>
      </c>
      <c r="J6" s="82">
        <f>J4*12</f>
        <v/>
      </c>
      <c r="K6" s="82">
        <f>K4*12</f>
        <v/>
      </c>
      <c r="L6" s="82">
        <f>L4*12</f>
        <v/>
      </c>
      <c r="M6" s="82">
        <f>M4*12</f>
        <v/>
      </c>
      <c r="N6" s="82">
        <f>N4*12</f>
        <v/>
      </c>
      <c r="O6" s="82">
        <f>O4*12</f>
        <v/>
      </c>
      <c r="P6" s="82">
        <f>P4*12</f>
        <v/>
      </c>
      <c r="Q6" s="82">
        <f>Q4*12</f>
        <v/>
      </c>
      <c r="R6" s="82">
        <f>R4*12</f>
        <v/>
      </c>
      <c r="S6" s="82">
        <f>S4*12</f>
        <v/>
      </c>
      <c r="T6" s="82">
        <f>T4*12</f>
        <v/>
      </c>
      <c r="U6" s="82">
        <f>U4*12</f>
        <v/>
      </c>
      <c r="V6" s="82">
        <f>V4*12</f>
        <v/>
      </c>
      <c r="W6" s="82">
        <f>W4*12</f>
        <v/>
      </c>
      <c r="X6" s="82">
        <f>X4*12</f>
        <v/>
      </c>
      <c r="Y6" s="82">
        <f>Y4*12</f>
        <v/>
      </c>
      <c r="Z6" s="82">
        <f>Z4*12</f>
        <v/>
      </c>
      <c r="AA6" s="82">
        <f>AA4*12</f>
        <v/>
      </c>
      <c r="AB6" s="82">
        <f>AB4*12</f>
        <v/>
      </c>
      <c r="AC6" s="82">
        <f>AC4*12</f>
        <v/>
      </c>
      <c r="AD6" s="82">
        <f>AD4*12</f>
        <v/>
      </c>
      <c r="AE6" s="82">
        <f>AE4*12</f>
        <v/>
      </c>
      <c r="AF6" s="82">
        <f>AF4*12</f>
        <v/>
      </c>
      <c r="AG6" s="82">
        <f>AG4*12</f>
        <v/>
      </c>
      <c r="AH6" s="82">
        <f>AH4*12</f>
        <v/>
      </c>
      <c r="AI6" s="82">
        <f>AI4*12</f>
        <v/>
      </c>
      <c r="AJ6" s="82">
        <f>AJ4*12</f>
        <v/>
      </c>
      <c r="AK6" s="82">
        <f>AK4*12</f>
        <v/>
      </c>
      <c r="AL6" s="82">
        <f>AL4*12</f>
        <v/>
      </c>
      <c r="AM6" s="82">
        <f>AM4*12</f>
        <v/>
      </c>
      <c r="AN6" s="82">
        <f>AN4*12</f>
        <v/>
      </c>
      <c r="AO6" s="82">
        <f>AO4*12</f>
        <v/>
      </c>
      <c r="AP6" s="89" t="n"/>
      <c r="AQ6" s="89" t="n"/>
      <c r="AR6" s="89" t="n"/>
      <c r="AS6" s="89" t="n"/>
      <c r="AT6" s="89" t="n"/>
      <c r="AU6" s="89" t="n"/>
      <c r="AV6" s="89" t="n"/>
      <c r="AW6" s="89" t="n"/>
      <c r="AX6" s="89" t="n"/>
      <c r="AY6" s="89" t="n"/>
      <c r="AZ6" s="89" t="n"/>
      <c r="BA6" s="89" t="n"/>
      <c r="BB6" s="89" t="n"/>
      <c r="BC6" s="89" t="n"/>
    </row>
    <row r="7" outlineLevel="1" ht="15.75" customHeight="1" s="252">
      <c r="A7" s="90" t="inlineStr">
        <is>
          <t>Comments</t>
        </is>
      </c>
      <c r="B7" s="81" t="n"/>
      <c r="C7" s="81" t="n"/>
      <c r="D7" s="91" t="inlineStr">
        <is>
          <t>Set up the fund - Invest : 
Babak : 27.01
Indigo Main Fund : 175</t>
        </is>
      </c>
      <c r="E7" s="91" t="inlineStr">
        <is>
          <t>Top up from Babak: 32.25 ETH
Top up from Nathanaël : 3.0466 ETH</t>
        </is>
      </c>
      <c r="F7" s="91" t="inlineStr">
        <is>
          <t>Top up from Nathanaël : 2 ETH</t>
        </is>
      </c>
      <c r="G7" s="91" t="inlineStr">
        <is>
          <t>Transfert from ETH TAC Program
Jose Molla :62.6261 ETH
Nathanael Cohen : 26.6797 ETH
Indigo Fees : 0.8980 ETH
Blondish : 119.7862 ETH</t>
        </is>
      </c>
      <c r="H7" s="91" t="inlineStr">
        <is>
          <t>Invest from Advantage Blockchain : 32 ETH</t>
        </is>
      </c>
      <c r="I7" s="91" t="inlineStr">
        <is>
          <t>Withdrawal from INDIGO LP : -178.37 ETH</t>
        </is>
      </c>
      <c r="J7" s="91" t="n"/>
      <c r="K7" s="91" t="inlineStr">
        <is>
          <t>Paul Johnson invests 10.44 ETH</t>
        </is>
      </c>
      <c r="L7" s="91" t="inlineStr">
        <is>
          <t>Paul Johnson top up 4.6327 ETH</t>
        </is>
      </c>
      <c r="M7" s="91" t="inlineStr">
        <is>
          <t>Top up from :
Paul Jaunson : 8.96 ETH
Nathanaël Cohen : 3.35 ETH</t>
        </is>
      </c>
      <c r="N7" s="91" t="inlineStr">
        <is>
          <t>Tomer Zur Invest 63.1 ETH</t>
        </is>
      </c>
      <c r="O7" s="91" t="n"/>
      <c r="P7" s="91" t="inlineStr">
        <is>
          <t>Withdrawal from :
Paul Johnson: 12 ETH</t>
        </is>
      </c>
      <c r="Q7" s="91" t="inlineStr">
        <is>
          <t>Tomer Zur top up 10.051 ETH</t>
        </is>
      </c>
      <c r="R7" s="91" t="inlineStr">
        <is>
          <t>Tomer Zur top up 64.27 ETH
Babak top up 3.75 ETH</t>
        </is>
      </c>
      <c r="S7" s="91" t="inlineStr">
        <is>
          <t>Babak top up 3.10 ETH</t>
        </is>
      </c>
      <c r="T7" s="91" t="inlineStr">
        <is>
          <t>Tomer Zur top up 6.5417 ETH</t>
        </is>
      </c>
      <c r="U7" s="91" t="inlineStr">
        <is>
          <t>Jose Molla ETH 1.20
Tomer Zur ETH 6.40</t>
        </is>
      </c>
      <c r="V7" s="91" t="n"/>
      <c r="W7" s="91" t="inlineStr">
        <is>
          <t>Refund Tea-Fi hack for 8.404 ETH
Indigo : 0.0359
Jose : 2.5064
Nathanael : 1.0677
Blondish : 4.7940</t>
        </is>
      </c>
      <c r="X7" s="91" t="inlineStr">
        <is>
          <t>Tomer Zur ETH 6.9519</t>
        </is>
      </c>
      <c r="Y7" s="91" t="inlineStr">
        <is>
          <t>Tomer Zur ETH 7.6215
Paul Johnson ETH -12.22 (OUT)</t>
        </is>
      </c>
      <c r="Z7" s="91" t="inlineStr">
        <is>
          <t>Tomer Zur ETH 10.224</t>
        </is>
      </c>
      <c r="AA7" s="91" t="inlineStr">
        <is>
          <t>Tomer Zur ETH 6.234
Sam Johnson ETH 78.00</t>
        </is>
      </c>
      <c r="AB7" s="91" t="inlineStr">
        <is>
          <t>Sam Johnson ETH 35</t>
        </is>
      </c>
      <c r="AC7" s="91" t="inlineStr">
        <is>
          <t>Sam Johnson ETH 33</t>
        </is>
      </c>
      <c r="AD7" s="91" t="inlineStr">
        <is>
          <t>Tomer Zur ETH 9.143</t>
        </is>
      </c>
      <c r="AE7" s="91" t="inlineStr">
        <is>
          <t>Brandon Hood ETH 31.37</t>
        </is>
      </c>
      <c r="AF7" s="91" t="inlineStr">
        <is>
          <t>Sam Johnson ETH 34</t>
        </is>
      </c>
      <c r="AG7" s="91" t="inlineStr">
        <is>
          <t>Sam Johnson ETH 32.5</t>
        </is>
      </c>
      <c r="AH7" s="91" t="n"/>
      <c r="AI7" s="91" t="inlineStr">
        <is>
          <t>Advantage +18
Sam Johnson -213.73</t>
        </is>
      </c>
      <c r="AJ7" s="91" t="inlineStr">
        <is>
          <t>Nathanaël Cohen	ETH	11.84556</t>
        </is>
      </c>
      <c r="AK7" s="91" t="inlineStr">
        <is>
          <t>Nick Smits van Oyen        ETH        25.03</t>
        </is>
      </c>
      <c r="AL7" s="91" t="n"/>
      <c r="AM7" s="91" t="inlineStr">
        <is>
          <t>Jose Molla        ETH        47.32
ALOK PAVAN BATRA        ETH        103.38</t>
        </is>
      </c>
      <c r="AN7" s="91" t="inlineStr">
        <is>
          <t>Nathanaël Cohen        ETH        -3.47</t>
        </is>
      </c>
      <c r="AO7" s="91" t="n"/>
      <c r="AP7" s="92" t="n"/>
      <c r="AQ7" s="92" t="n"/>
      <c r="AR7" s="92" t="n"/>
      <c r="AS7" s="92" t="n"/>
      <c r="AT7" s="92" t="n"/>
      <c r="AU7" s="92" t="n"/>
      <c r="AV7" s="92" t="n"/>
      <c r="AW7" s="92" t="n"/>
      <c r="AX7" s="92" t="n"/>
      <c r="AY7" s="92" t="n"/>
      <c r="AZ7" s="92" t="n"/>
      <c r="BA7" s="92" t="n"/>
      <c r="BB7" s="92" t="n"/>
      <c r="BC7" s="92" t="n"/>
    </row>
    <row r="8" ht="15.75" customHeight="1" s="252">
      <c r="A8" s="93" t="inlineStr">
        <is>
          <t>Investors</t>
        </is>
      </c>
      <c r="B8" s="90" t="inlineStr">
        <is>
          <t>Fees</t>
        </is>
      </c>
      <c r="C8" s="94" t="inlineStr">
        <is>
          <t>IB</t>
        </is>
      </c>
      <c r="D8" s="95" t="n">
        <v>45803</v>
      </c>
      <c r="E8" s="96" t="n">
        <v>45809</v>
      </c>
      <c r="F8" s="96" t="n">
        <v>45839</v>
      </c>
      <c r="G8" s="95" t="n">
        <v>45849</v>
      </c>
      <c r="H8" s="95" t="n">
        <v>45868</v>
      </c>
      <c r="I8" s="96" t="n">
        <v>45869</v>
      </c>
      <c r="J8" s="96" t="n">
        <v>45901</v>
      </c>
      <c r="K8" s="95" t="n">
        <v>45904</v>
      </c>
      <c r="L8" s="95" t="n">
        <v>45910</v>
      </c>
      <c r="M8" s="95" t="n">
        <v>45912</v>
      </c>
      <c r="N8" s="95" t="n">
        <v>45927</v>
      </c>
      <c r="O8" s="96" t="n">
        <v>45930</v>
      </c>
      <c r="P8" s="95" t="n">
        <v>45933</v>
      </c>
      <c r="Q8" s="95" t="n">
        <v>45938</v>
      </c>
      <c r="R8" s="95" t="n">
        <v>45944</v>
      </c>
      <c r="S8" s="95" t="n">
        <v>45947</v>
      </c>
      <c r="T8" s="95" t="n">
        <v>45950</v>
      </c>
      <c r="U8" s="95" t="n">
        <v>45953</v>
      </c>
      <c r="V8" s="96" t="n">
        <v>45961</v>
      </c>
      <c r="W8" s="95" t="n">
        <v>45964</v>
      </c>
      <c r="X8" s="95" t="n">
        <v>45965</v>
      </c>
      <c r="Y8" s="95" t="n">
        <v>45966</v>
      </c>
      <c r="Z8" s="95" t="n">
        <v>45968</v>
      </c>
      <c r="AA8" s="95" t="n">
        <v>45978</v>
      </c>
      <c r="AB8" s="95" t="n">
        <v>45986</v>
      </c>
      <c r="AC8" s="96" t="n">
        <v>45991</v>
      </c>
      <c r="AD8" s="95" t="n">
        <v>45993</v>
      </c>
      <c r="AE8" s="95" t="n">
        <v>45995</v>
      </c>
      <c r="AF8" s="95" t="n">
        <v>45999</v>
      </c>
      <c r="AG8" s="95" t="n">
        <v>46006</v>
      </c>
      <c r="AH8" s="96" t="n">
        <v>46023</v>
      </c>
      <c r="AI8" s="95" t="n">
        <v>46024</v>
      </c>
      <c r="AJ8" s="95" t="n">
        <v>46027</v>
      </c>
      <c r="AK8" s="95" t="n">
        <v>46035</v>
      </c>
      <c r="AL8" s="96" t="n">
        <v>46054</v>
      </c>
      <c r="AM8" s="95" t="n">
        <v>46065</v>
      </c>
      <c r="AN8" s="95" t="n">
        <v>46072</v>
      </c>
      <c r="AO8" s="96" t="n">
        <v>46081</v>
      </c>
      <c r="AP8" s="32" t="n"/>
      <c r="AQ8" s="32" t="n"/>
      <c r="AR8" s="32" t="n"/>
      <c r="AS8" s="32" t="n"/>
      <c r="AT8" s="32" t="n"/>
      <c r="AU8" s="32" t="n"/>
      <c r="AV8" s="32" t="n"/>
      <c r="AW8" s="32" t="n"/>
      <c r="AX8" s="32" t="n"/>
      <c r="AY8" s="32" t="n"/>
      <c r="AZ8" s="32" t="n"/>
      <c r="BA8" s="32" t="n"/>
      <c r="BB8" s="32" t="n"/>
      <c r="BC8" s="32" t="n"/>
      <c r="BD8" s="32" t="n"/>
      <c r="BE8" s="32" t="n"/>
      <c r="BF8" s="32" t="n"/>
      <c r="BG8" s="32" t="n"/>
      <c r="BH8" s="32" t="n"/>
      <c r="BI8" s="32" t="n"/>
    </row>
    <row r="9" ht="15.75" customHeight="1" s="252">
      <c r="A9" s="97" t="inlineStr">
        <is>
          <t>Indigo Fees</t>
        </is>
      </c>
      <c r="B9" s="98" t="n">
        <v>0</v>
      </c>
      <c r="C9" s="98" t="n"/>
      <c r="D9" s="99" t="n">
        <v>0</v>
      </c>
      <c r="E9" s="99">
        <f>D9*$E$4*1+D9+(D10*$E$4*20%)+(D12*$E$4*$B$12)+(D13*$E$4*$B$13)+(D14*$E$4*$B$14)</f>
        <v/>
      </c>
      <c r="F9" s="99">
        <f>E9*$F$4*1+E9+(E10*$F$4*20%)+(E12*$F$4*$B$12)+(E13*$F$4*$B$13)+(E14*$F$4*$B$14)</f>
        <v/>
      </c>
      <c r="G9" s="99">
        <f>F9*$G$4*1+F9+(F10*$G$4*20%)+(F12*$G$4*$B$12)+(F13*$G$4*$B$13)+(F14*$G$4*$B$14)+0.898</f>
        <v/>
      </c>
      <c r="H9" s="99">
        <f>G9*$H$4*1+G9+(G10*$H$4*20%)+(G12*$H$4*$B$12)+(G13*$H$4*$B$13)+(G14*$H$4*$B$14)+(G15*$H$4*$B$15)+(G16*$H$4*$B$16)+(G17*$H$4*$B$17)</f>
        <v/>
      </c>
      <c r="I9" s="99">
        <f>H9*$I$4*1+H9+(H10*$I$4*20%)+(H12*$I$4*$B$12)+(H13*$I$4*$B$13)+(H14*$I$4*$B$14)+(H15*$I$4*$B$15)+(H16*$I$4*$B$16)+(H17*$I$4*$B$17)</f>
        <v/>
      </c>
      <c r="J9" s="99">
        <f>I9*$J$4*1+I9+(I10*$J$4*$B$10)+(I12*$J$4*$B$12)+(I13*$J$4*$B$13)+(I14*$J$4*$B$14)+(I15*$J$4*$B$15)+(I16*$J$4*$B$16)+(I17*$J$4*$B$17)+(I11*$J$4*$B$11)</f>
        <v/>
      </c>
      <c r="K9" s="99">
        <f>J9*$K$4*1+J9+(J10*$K$4*$B$10)+(J12*$K$4*$B$12)+(J13*$K$4*$B$13)+(J14*$K$4*$B$14)+(J15*$K$4*$B$15)+(J16*$K$4*$B$16)+(J17*$K$4*$B$17)+(J11*$K$4*$B$11)+(J18*$K$4*$B$18)+(J19*$K$4*$B$19)</f>
        <v/>
      </c>
      <c r="L9" s="99">
        <f>K9*$L$4*1+K9+(K10*$L$4*$B$10)+(K12*$L$4*$B$12)+(K13*$L$4*$B$13)+(K14*$L$4*$B$14)+(K15*$L$4*$B$15)+(K16*$L$4*$B$16)+(K17*$L$4*$B$17)+(K11*$L$4*$B$11)+(K18*$L$4*$B$18)+(K19*$L$4*$B$19)</f>
        <v/>
      </c>
      <c r="M9" s="99">
        <f>L9*$M$4*1+L9+(L10*$M$4*$B$10)+(L12*$M$4*$B$12)+(L13*$M$4*$B$13)+(L14*$M$4*$B$14)+(L15*$M$4*$B$15)+(L16*$M$4*$B$16)+(L17*$M$4*$B$17)+(L11*$M$4*$B$11)+(L18*$M$4*$B$18)+(L19*$M$4*$B$19)</f>
        <v/>
      </c>
      <c r="N9" s="99">
        <f>M9*$N$4*1+M9+(M10*$N$4*$B$10)+(M12*$N$4*$B$12)+(M13*$N$4*$B$13)+(M14*$N$4*$B$14)+(M15*$N$4*$B$15)+(M16*$N$4*$B$16)+(M17*$N$4*$B$17)+(M11*$N$4*$B$11)+(M18*$N$4*$B$18)+(M19*$N$4*$B$19)+(M20*$N$4*$B$20)</f>
        <v/>
      </c>
      <c r="O9" s="99">
        <f>N9*$O$4*1+N9+(N10*$O$4*$B$10)+(N12*$O$4*$B$12)+(N13*$O$4*$B$13)+(N14*$O$4*$B$14)+(N15*$O$4*$B$15)+(N16*$O$4*$B$16)+(N17*$O$4*$B$17)+(N11*$O$4*$B$11)+(N18*$O$4*$B$18)+(N19*$O$4*$B$19)+(N20*$O$4*$B$20)</f>
        <v/>
      </c>
      <c r="P9" s="99">
        <f>O9*$P$4*1+O9+(O10*$P$4*$B$10)+(O12*$P$4*$B$12)+(O13*$P$4*$B$13)+(O14*$P$4*$B$14)+(O15*$P$4*$B$15)+(O16*$P$4*$B$16)+(O17*$P$4*$B$17)+(O11*$P$4*$B$11)+(O18*$P$4*$B$18)+(O19*$P$4*$B$19)+(O20*$P$4*$B$20)</f>
        <v/>
      </c>
      <c r="Q9" s="99">
        <f>P9*$Q$4*1+P9+(P10*$Q$4*$B$10)+(P12*$Q$4*$B$12)+(P13*$Q$4*$B$13)+(P14*$Q$4*$B$14)+(P15*$Q$4*$B$15)+(P16*$Q$4*$B$16)+(P17*$Q$4*$B$17)+(P11*$Q$4*$B$11)+(P18*$Q$4*$B$18)+(P19*$Q$4*$B$19)+(P20*$Q$4*$B$20)</f>
        <v/>
      </c>
      <c r="R9" s="99">
        <f>Q9*$R$4*1+Q9+(Q10*$R$4*$B$10)+(Q12*$R$4*$B$12)+(Q13*$R$4*$B$13)+(Q14*$R$4*$B$14)+(Q15*$R$4*$B$15)+(Q16*$R$4*$B$16)+(Q17*$R$4*$B$17)+(Q11*$R$4*$B$11)+(Q18*$R$4*$B$18)+(Q19*$R$4*$B$19)+(Q20*$R$4*$B$20)</f>
        <v/>
      </c>
      <c r="S9" s="99">
        <f>R9*$S$4*1+R9+(R10*$S$4*$B$10)+(R12*$S$4*$B$12)+(R13*$S$4*$B$13)+(R14*$S$4*$B$14)+(R15*$S$4*$B$15)+(R16*$S$4*$B$16)+(R17*$S$4*$B$17)+(R11*$S$4*$B$11)+(R18*$S$4*$B$18)+(R19*$S$4*$B$19)+(R20*$S$4*$B$20)</f>
        <v/>
      </c>
      <c r="T9" s="99">
        <f>S9*$T$4*1+S9+(S10*$T$4*$B$10)+(S12*$T$4*$B$12)+(S13*$T$4*$B$13)+(S14*$T$4*$B$14)+(S15*$T$4*$B$15)+(S16*$T$4*$B$16)+(S17*$T$4*$B$17)+(S11*$T$4*$B$11)+(S18*$T$4*$B$18)+(S19*$T$4*$B$19)+(S20*$T$4*$B$20)</f>
        <v/>
      </c>
      <c r="U9" s="99">
        <f>T9*$U$4*1+T9+(T10*$U$4*$B$10)+(T12*$U$4*$B$12)+(T13*$U$4*$B$13)+(T14*$U$4*$B$14)+(T15*$U$4*$B$15)+(T16*$U$4*$B$16)+(T17*$U$4*$B$17)+(T11*$U$4*$B$11)+(T18*$U$4*$B$18)+(T19*$U$4*$B$19)+(T20*$U$4*$B$20)</f>
        <v/>
      </c>
      <c r="V9" s="99">
        <f>U9*$V$4*1+U9+(U10*$V$4*$B$10)+(U12*$V$4*$B$12)+(U13*$V$4*$B$13)+(U14*$V$4*$B$14)+(U15*$V$4*$B$15)+(U16*$V$4*$B$16)+(U17*$V$4*$B$17)+(U11*$V$4*$B$11)+(U18*$V$4*$B$18)+(U19*$V$4*$B$19)+(U20*$V$4*$B$20)</f>
        <v/>
      </c>
      <c r="W9" s="99">
        <f>V9*$W$4*1+V9+(V10*$W$4*$B$10)+(V12*$W$4*$B$12)+(V13*$W$4*$B$13)+(V14*$W$4*$B$14)+(V15*$W$4*$B$15)+(V16*$W$4*$B$16)+(V17*$W$4*$B$17)+(V11*$W$4*$B$11)+(V18*$W$4*$B$18)+(V19*$W$4*$B$19)+(V20*$W$4*$B$20)+0.0359</f>
        <v/>
      </c>
      <c r="X9" s="99">
        <f>W9*$X$4*1+W9+(W10*$X$4*$B$10)+(W12*$X$4*$B$12)+(W13*$X$4*$B$13)+(W14*$X$4*$B$14)+(W15*$X$4*$B$15)+(W16*$X$4*$B$16)+(W17*$X$4*$B$17)+(W11*$X$4*$B$11)+(W18*$X$4*$B$18)+(W19*$X$4*$B$19)+(W20*$X$4*$B$20)</f>
        <v/>
      </c>
      <c r="Y9" s="99">
        <f>X9*$Y$4*1+X9+(X10*$Y$4*$B$10)+(X12*$Y$4*$B$12)+(X13*$Y$4*$B$13)+(X14*$Y$4*$B$14)+(X15*$Y$4*$B$15)+(X16*$Y$4*$B$16)+(X17*$Y$4*$B$17)+(X11*$Y$4*$B$11)+(X18*$Y$4*$B$18)+(X19*$Y$4*$B$19)+(X20*$Y$4*$B$20)+(X18*$Y$4*(1-$B18-$C18)+X18)-12.22</f>
        <v/>
      </c>
      <c r="Z9" s="99">
        <f>Y9*$Z$4*1+Y9+(Y10*$Z$4*$B$10)+(Y12*$Z$4*$B$12)+(Y13*$Z$4*$B$13)+(Y14*$Z$4*$B$14)+(Y15*$Z$4*$B$15)+(Y16*$Z$4*$B$16)+(Y17*$Z$4*$B$17)+(Y11*$Z$4*$B$11)+(Y18*$Z$4*$B$18)+(Y19*$Z$4*$B$19)+(Y20*$Z$4*$B$20)+(Y21*$Z$4*$B$21)</f>
        <v/>
      </c>
      <c r="AA9" s="99">
        <f>Z9*$AA$4*1+Z9+(Z10*$AA$4*$B$10)+(Z12*$AA$4*$B$12)+(Z13*$AA$4*$B$13)+(Z14*$AA$4*$B$14)+(Z15*$AA$4*$B$15)+(Z16*$AA$4*$B$16)+(Z17*$AA$4*$B$17)+(Z11*$AA$4*$B$11)+(Z18*$AA$4*$B$18)+(Z19*$AA$4*$B$19)+(Z20*$AA$4*$B$20)+(Z21*$AA$4*$B$21)</f>
        <v/>
      </c>
      <c r="AB9" s="99">
        <f>AA9*$AB$4*1+AA9+(AA10*$AB$4*$B$10)+(AA12*$AB$4*$B$12)+(AA13*$AB$4*$B$13)+(AA14*$AB$4*$B$14)+(AA15*$AB$4*$B$15)+(AA16*$AB$4*$B$16)+(AA17*$AB$4*$B$17)+(AA11*$AB$4*$B$11)+(AA18*$AB$4*$B$18)+(AA19*$AB$4*$B$19)+(AA20*$AB$4*$B$20)+(AA21*$AB$4*$B$21)+(AA22*$AB$4*$B$22)</f>
        <v/>
      </c>
      <c r="AC9" s="99">
        <f>AB9*$AC$4*1+AB9+(AB10*$AC$4*$B$10)+(AB12*$AC$4*$B$12)+(AB13*$AC$4*$B$13)+(AB14*$AC$4*$B$14)+(AB15*$AC$4*$B$15)+(AB16*$AC$4*$B$16)+(AB17*$AC$4*$B$17)+(AB11*$AC$4*$B$11)+(AB18*$AC$4*$B$18)+(AB19*$AC$4*$B$19)+(AB20*$AC$4*$B$20)+(AB21*$AC$4*$B$21)+(AB22*$AC$4*$B$22)</f>
        <v/>
      </c>
      <c r="AD9" s="99">
        <f>AC9*$AD$4*1+AC9+(AC10*$AD$4*$B$10)+(AC12*$AD$4*$B$12)+(AC13*$AD$4*$B$13)+(AC14*$AD$4*$B$14)+(AC15*$AD$4*$B$15)+(AC16*$AD$4*$B$16)+(AC17*$AD$4*$B$17)+(AC11*$AD$4*$B$11)+(AC18*$AD$4*$B$18)+(AC19*$AD$4*$B$19)+(AC20*$AD$4*$B$20)+(AC21*$AD$4*$B$21)+(AC22*$AD$4*$B$22)+(AC23*$AD$4*$B$23)</f>
        <v/>
      </c>
      <c r="AE9" s="99">
        <f>AD9*$AE$4*1+AD9+(AD10*$AE$4*$B$10)+(AD12*$AE$4*$B$12)+(AD13*$AE$4*$B$13)+(AD14*$AE$4*$B$14)+(AD15*$AE$4*$B$15)+(AD16*$AE$4*$B$16)+(AD17*$AE$4*$B$17)+(AD11*$AE$4*$B$11)+(AD18*$AE$4*$B$18)+(AD19*$AE$4*$B$19)+(AD20*$AE$4*$B$20)+(AD21*$AE$4*$B$21)+(AD22*$AE$4*$B$22)+(AD23*$AE$4*$B$23)</f>
        <v/>
      </c>
      <c r="AF9" s="99">
        <f>AE9*$AF$4*1+AE9+(AE10*$AF$4*$B$10)+(AE12*$AF$4*$B$12)+(AE13*$AF$4*$B$13)+(AE14*$AF$4*$B$14)+(AE15*$AF$4*$B$15)+(AE16*$AF$4*$B$16)+(AE17*$AF$4*$B$17)+(AE11*$AF$4*$B$11)+(AE18*$AF$4*$B$18)+(AE19*$AF$4*$B$19)+(AE20*$AF$4*$B$20)+(AE21*$AF$4*$B$21)+(AE22*$AF$4*$B$22)+(AE23*$AF$4*$B$23)</f>
        <v/>
      </c>
      <c r="AG9" s="99">
        <f>AF9*$AG$4*1+AF9+(AF10*$AG$4*$B$10)+(AF12*$AG$4*$B$12)+(AF13*$AG$4*$B$13)+(AF14*$AG$4*$B$14)+(AF15*$AG$4*$B$15)+(AF16*$AG$4*$B$16)+(AF17*$AG$4*$B$17)+(AF11*$AG$4*$B$11)+(AF18*$AG$4*$B$18)+(AF19*$AG$4*$B$19)+(AF20*$AG$4*$B$20)+(AF21*$AG$4*$B$21)+(AF22*$AG$4*$B$22)+(AF23*$AG$4*$B$23)</f>
        <v/>
      </c>
      <c r="AH9" s="99">
        <f>AG9*$AH$4*1+AG9+(AG10*$AH$4*$B$10)+(AG12*$AH$4*$B$12)+(AG13*$AH$4*$B$13)+(AG14*$AH$4*$B$14)+(AG15*$AH$4*$B$15)+(AG16*$AH$4*$B$16)+(AG17*$AH$4*$B$17)+(AG11*$AH$4*$B$11)+(AG18*$AH$4*$B$18)+(AG19*$AH$4*$B$19)+(AG20*$AH$4*$B$20)+(AG21*$AH$4*$B$21)+(AG22*$AH$4*$B$22)+(AG23*$AH$4*$B$23)</f>
        <v/>
      </c>
      <c r="AI9" s="99">
        <f>AH9*$AI$4*1+AH9+(AH10*$AI$4*$B$10)+(AH12*$AI$4*$B$12)+(AH13*$AI$4*$B$13)+(AH14*$AI$4*$B$14)+(AH15*$AI$4*$B$15)+(AH16*$AI$4*$B$16)+(AH17*$AI$4*$B$17)+(AH11*$AI$4*$B$11)+(AH18*$AI$4*$B$18)+(AH19*$AI$4*$B$19)+(AH20*$AI$4*$B$20)+(AH21*$AI$4*$B$21)+(AH22*$AI$4*$B$22)+(AH23*$AI$4*$B$23)-213.73+(AH21*$AI$4*(1-$B21-$C21)+AH21)</f>
        <v/>
      </c>
      <c r="AJ9" s="99">
        <f>AI9*AJ$4*1+AI9+(AI10*AJ$4*$B$10)+(AI12*AJ$4*$B$12)+(AI13*AJ$4*$B$13)+(AI14*AJ$4*$B$14)+(AI15*AJ$4*$B$15)+(AI16*AJ$4*$B$16)+(AI17*AJ$4*$B$17)+(AI11*AJ$4*$B$11)+(AI18*AJ$4*$B$18)+(AI19*AJ$4*$B$19)+(AI20*AJ$4*$B$20)+(AI21*AJ$4*$B$21)+(AI22*AJ$4*$B$22)+(AI23*AJ$4*$B$23)+SUMIFS(Investments!$D:$D,Investments!$B:$B,$A9,Investments!$C:$C,"ETH",Investments!$A:$A,AJ$8)</f>
        <v/>
      </c>
      <c r="AK9" s="99">
        <f>AJ9*AK$4*1+AJ9+(AJ10*AK$4*$B$10)+(AJ12*AK$4*$B$12)+(AJ13*AK$4*$B$13)+(AJ14*AK$4*$B$14)+(AJ15*AK$4*$B$15)+(AJ16*AK$4*$B$16)+(AJ17*AK$4*$B$17)+(AJ11*AK$4*$B$11)+(AJ18*AK$4*$B$18)+(AJ19*AK$4*$B$19)+(AJ20*AK$4*$B$20)+(AJ21*AK$4*$B$21)+(AJ22*AK$4*$B$22)+(AJ23*AK$4*$B$23)+SUMIFS(Investments!$D:$D,Investments!$B:$B,$A9,Investments!$C:$C,"ETH",Investments!$A:$A,AK$8)</f>
        <v/>
      </c>
      <c r="AL9" s="99">
        <f>AK9*AL$4*1+AK9+(AK10*AL$4*$B$10)+(AK12*AL$4*$B$12)+(AK13*AL$4*$B$13)+(AK14*AL$4*$B$14)+(AK15*AL$4*$B$15)+(AK16*AL$4*$B$16)+(AK17*AL$4*$B$17)+(AK11*AL$4*$B$11)+(AK18*AL$4*$B$18)+(AK19*AL$4*$B$19)+(AK20*AL$4*$B$20)+(AK21*AL$4*$B$21)+(AK22*AL$4*$B$22)+(AK23*AL$4*$B$23)+(AK24*AL$4*$B$24)+SUMIFS(Investments!$D:$D,Investments!$B:$B,$A9,Investments!$C:$C,"ETH",Investments!$A:$A,AL$8)</f>
        <v/>
      </c>
      <c r="AM9" s="99">
        <f>AL9*AM$4*1+AL9+(AL10*AM$4*$B$10)+(AL12*AM$4*$B$12)+(AL13*AM$4*$B$13)+(AL14*AM$4*$B$14)+(AL15*AM$4*$B$15)+(AL16*AM$4*$B$16)+(AL17*AM$4*$B$17)+(AL11*AM$4*$B$11)+(AL18*AM$4*$B$18)+(AL19*AM$4*$B$19)+(AL20*AM$4*$B$20)+(AL21*AM$4*$B$21)+(AL22*AM$4*$B$22)+(AL23*AM$4*$B$23)+(AL24*AM$4*$B$24)+SUMIFS(Investments!$D:$D,Investments!$B:$B,$A9,Investments!$C:$C,"ETH",Investments!$A:$A,AM$8)</f>
        <v/>
      </c>
      <c r="AN9" s="99">
        <f>AM9*AN$4*1+AM9+(AM10*AN$4*$B$10)+(AM12*AN$4*$B$12)+(AM13*AN$4*$B$13)+(AM14*AN$4*$B$14)+(AM15*AN$4*$B$15)+(AM16*AN$4*$B$16)+(AM17*AN$4*$B$17)+(AM11*AN$4*$B$11)+(AM18*AN$4*$B$18)+(AM19*AN$4*$B$19)+(AM20*AN$4*$B$20)+(AM21*AN$4*$B$21)+(AM22*AN$4*$B$22)+(AM23*AN$4*$B$23)+(AM24*AN$4*$B$24)+(AM25*AN$4*$B$25)+SUMIFS(Investments!$D:$D,Investments!$B:$B,$A9,Investments!$C:$C,"ETH",Investments!$A:$A,AN$8)</f>
        <v/>
      </c>
      <c r="AO9" s="99">
        <f>AN9*AO$4*1+AN9+(AN10*AO$4*$B$10)+(AN12*AO$4*$B$12)+(AN13*AO$4*$B$13)+(AN14*AO$4*$B$14)+(AN15*AO$4*$B$15)+(AN16*AO$4*$B$16)+(AN17*AO$4*$B$17)+(AN11*AO$4*$B$11)+(AN18*AO$4*$B$18)+(AN19*AO$4*$B$19)+(AN20*AO$4*$B$20)+(AN21*AO$4*$B$21)+(AN22*AO$4*$B$22)+(AN23*AO$4*$B$23)+(AN24*AO$4*$B$24)+(AN25*AO$4*$B$25)+SUMIFS(Investments!$D:$D,Investments!$B:$B,$A9,Investments!$C:$C,"ETH",Investments!$A:$A,AO$8)</f>
        <v/>
      </c>
      <c r="AP9" s="32" t="n"/>
      <c r="AQ9" s="32" t="n"/>
      <c r="AR9" s="32" t="n"/>
      <c r="AS9" s="32" t="n"/>
      <c r="AT9" s="32" t="n"/>
      <c r="AU9" s="32" t="n"/>
      <c r="AV9" s="32" t="n"/>
      <c r="AW9" s="32" t="n"/>
      <c r="AX9" s="32" t="n"/>
      <c r="AY9" s="32" t="n"/>
      <c r="AZ9" s="32" t="n"/>
      <c r="BA9" s="32" t="n"/>
      <c r="BB9" s="32" t="n"/>
      <c r="BC9" s="32" t="n"/>
      <c r="BD9" s="32" t="n"/>
      <c r="BE9" s="32" t="n"/>
      <c r="BF9" s="32" t="n"/>
      <c r="BG9" s="32" t="n"/>
      <c r="BH9" s="32" t="n"/>
      <c r="BI9" s="32" t="n"/>
    </row>
    <row r="10" ht="15.75" customHeight="1" s="252">
      <c r="A10" s="97" t="inlineStr">
        <is>
          <t>Babak Eftekhari</t>
        </is>
      </c>
      <c r="B10" s="98" t="n">
        <v>0.18</v>
      </c>
      <c r="C10" s="98" t="n">
        <v>0.02</v>
      </c>
      <c r="D10" s="99" t="n">
        <v>27.01</v>
      </c>
      <c r="E10" s="99">
        <f>59.2835323003812</f>
        <v/>
      </c>
      <c r="F10" s="99" t="n">
        <v>59.66557998919934</v>
      </c>
      <c r="G10" s="99" t="n">
        <v>59.92258878305606</v>
      </c>
      <c r="H10" s="99" t="n">
        <v>60.14389191835805</v>
      </c>
      <c r="I10" s="99" t="n">
        <v>60.14389191835805</v>
      </c>
      <c r="J10" s="99">
        <f>I10*$J$4*(1-$B10-$C10)+I10</f>
        <v/>
      </c>
      <c r="K10" s="99">
        <f>J10*$K$4*(1-$B10-$C10)+J10</f>
        <v/>
      </c>
      <c r="L10" s="99">
        <f>K10*$L$4*(1-$B10-$C10)+K10</f>
        <v/>
      </c>
      <c r="M10" s="99">
        <f>L10*$M$4*(1-$B10-$C10)+L10</f>
        <v/>
      </c>
      <c r="N10" s="99">
        <f>M10*$N$4*(1-$B10-$C10)+M10</f>
        <v/>
      </c>
      <c r="O10" s="99">
        <f>N10*$O$4*(1-$B10-$C10)+N10</f>
        <v/>
      </c>
      <c r="P10" s="99">
        <f>O10*$P$4*(1-$B10-$C10)+O10</f>
        <v/>
      </c>
      <c r="Q10" s="99">
        <f>P10*$Q$4*(1-$B10-$C10)+P10</f>
        <v/>
      </c>
      <c r="R10" s="99">
        <f>Q10*$R$4*(1-$B10-$C10)+Q10+3.75</f>
        <v/>
      </c>
      <c r="S10" s="99">
        <f>R10*$S$4*(1-$B10-$C10)+R10+3.1</f>
        <v/>
      </c>
      <c r="T10" s="99">
        <f>S10*$T$4*(1-$B10-$C10)+S10</f>
        <v/>
      </c>
      <c r="U10" s="99">
        <f>T10*$U$4*(1-$B10-$C10)+T10</f>
        <v/>
      </c>
      <c r="V10" s="99">
        <f>U10*$V$4*(1-$B10-$C10)+U10</f>
        <v/>
      </c>
      <c r="W10" s="99">
        <f>V10*$W$4*(1-$B10-$C10)+V10</f>
        <v/>
      </c>
      <c r="X10" s="99">
        <f>W10*$X$4*(1-$B10-$C10)+W10</f>
        <v/>
      </c>
      <c r="Y10" s="99">
        <f>X10*$Y$4*(1-$B10-$C10)+X10</f>
        <v/>
      </c>
      <c r="Z10" s="99">
        <f>Y10*$Z$4*(1-$B10-$C10)+Y10</f>
        <v/>
      </c>
      <c r="AA10" s="99">
        <f>Z10*$AA$4*(1-$B10-$C10)+Z10</f>
        <v/>
      </c>
      <c r="AB10" s="99">
        <f>AA10*$AB$4*(1-$B10-$C10)+AA10</f>
        <v/>
      </c>
      <c r="AC10" s="99">
        <f>AB10*$AC$4*(1-$B10-$C10)+AB10</f>
        <v/>
      </c>
      <c r="AD10" s="99">
        <f>AC10*$AD$4*(1-$B10-$C10)+AC10</f>
        <v/>
      </c>
      <c r="AE10" s="99">
        <f>AD10*$AE$4*(1-$B10-$C10)+AD10</f>
        <v/>
      </c>
      <c r="AF10" s="99">
        <f>AE10*$AF$4*(1-$B10-$C10)+AE10</f>
        <v/>
      </c>
      <c r="AG10" s="99">
        <f>AF10*$AG$4*(1-$B10-$C10)+AF10</f>
        <v/>
      </c>
      <c r="AH10" s="99">
        <f>AG10*$AH$4*(1-$B10-$C10)+AG10</f>
        <v/>
      </c>
      <c r="AI10" s="99">
        <f>AH10*$AI$4*(1-$B10-$C10)+AH10</f>
        <v/>
      </c>
      <c r="AJ10" s="99">
        <f>AI10*AJ$4*(1-$B10-$C10)+AI10+SUMIFS(Investments!$D:$D,Investments!$B:$B,$A10,Investments!$C:$C,"ETH",Investments!$A:$A,AJ$8)</f>
        <v/>
      </c>
      <c r="AK10" s="99">
        <f>AJ10*AK$4*(1-$B10-$C10)+AJ10+SUMIFS(Investments!$D:$D,Investments!$B:$B,$A10,Investments!$C:$C,"ETH",Investments!$A:$A,AK$8)</f>
        <v/>
      </c>
      <c r="AL10" s="99">
        <f>AK10*AL$4*(1-$B10-$C10)+AK10+SUMIFS(Investments!$D:$D,Investments!$B:$B,$A10,Investments!$C:$C,"ETH",Investments!$A:$A,AL$8)</f>
        <v/>
      </c>
      <c r="AM10" s="99">
        <f>AL10*AM$4*(1-$B10-$C10)+AL10+SUMIFS(Investments!$D:$D,Investments!$B:$B,$A10,Investments!$C:$C,"ETH",Investments!$A:$A,AM$8)</f>
        <v/>
      </c>
      <c r="AN10" s="99">
        <f>AM10*AN$4*(1-$B10-$C10)+AM10+SUMIFS(Investments!$D:$D,Investments!$B:$B,$A10,Investments!$C:$C,"ETH",Investments!$A:$A,AN$8)</f>
        <v/>
      </c>
      <c r="AO10" s="99">
        <f>AN10*AO$4*(1-$B10-$C10)+AN10+SUMIFS(Investments!$D:$D,Investments!$B:$B,$A10,Investments!$C:$C,"ETH",Investments!$A:$A,AO$8)</f>
        <v/>
      </c>
      <c r="AP10" s="32" t="n"/>
      <c r="AQ10" s="32" t="n"/>
      <c r="AR10" s="32" t="n"/>
      <c r="AS10" s="32" t="n"/>
      <c r="AT10" s="32" t="n"/>
      <c r="AU10" s="32" t="n"/>
      <c r="AV10" s="32" t="n"/>
      <c r="AW10" s="32" t="n"/>
      <c r="AX10" s="32" t="n"/>
      <c r="AY10" s="32" t="n"/>
      <c r="AZ10" s="32" t="n"/>
      <c r="BA10" s="32" t="n"/>
      <c r="BB10" s="32" t="n"/>
      <c r="BC10" s="32" t="n"/>
      <c r="BD10" s="32" t="n"/>
      <c r="BE10" s="32" t="n"/>
      <c r="BF10" s="32" t="n"/>
      <c r="BG10" s="32" t="n"/>
      <c r="BH10" s="32" t="n"/>
      <c r="BI10" s="32" t="n"/>
    </row>
    <row r="11" ht="15.75" customHeight="1" s="252">
      <c r="A11" s="97" t="inlineStr">
        <is>
          <t>Lars Ahlgreen</t>
        </is>
      </c>
      <c r="B11" s="98" t="n">
        <v>0.2</v>
      </c>
      <c r="C11" s="99" t="n"/>
      <c r="D11" s="99" t="n">
        <v>0</v>
      </c>
      <c r="E11" s="99">
        <f>D11*$E$4*(1-$B11)+D11</f>
        <v/>
      </c>
      <c r="F11" s="99">
        <f>E11*$F$4*(1-$B11)+E11</f>
        <v/>
      </c>
      <c r="G11" s="99">
        <f>F11*$G$4*(1-$B11)+F11</f>
        <v/>
      </c>
      <c r="H11" s="99">
        <f>(G11*$H$4*(1-$B11)+G11)+(G17*$H$4*$C$16)</f>
        <v/>
      </c>
      <c r="I11" s="99">
        <f>(H11*$I$4*(1-$B11)+H11)+(H17*$I$4*$C$16)</f>
        <v/>
      </c>
      <c r="J11" s="99">
        <f>(I11*$J$4*(1-$B11)+I11)+(I10*$J$4*$C$10)</f>
        <v/>
      </c>
      <c r="K11" s="99">
        <f>(J11*$K$4*(1-$B11)+J11)+(J10*$K$4*$C$10)</f>
        <v/>
      </c>
      <c r="L11" s="99">
        <f>(K11*$L$4*(1-$B11)+K11)+(K10*$L$4*$C$10)</f>
        <v/>
      </c>
      <c r="M11" s="99">
        <f>(L11*$M$4*(1-$B11)+L11)+(L10*$M$4*$C$10)</f>
        <v/>
      </c>
      <c r="N11" s="99">
        <f>(M11*$N$4*(1-$B11)+M11)+(M10*$N$4*$C$10)</f>
        <v/>
      </c>
      <c r="O11" s="99">
        <f>(N11*$O$4*(1-$B11)+N11)+(N10*$O$4*$C$10)</f>
        <v/>
      </c>
      <c r="P11" s="99">
        <f>(O11*$P$4*(1-$B11)+O11)+(O10*$P$4*$C$10)</f>
        <v/>
      </c>
      <c r="Q11" s="99">
        <f>(P11*$Q$4*(1-$B11)+P11)+(P10*$Q$4*$C$10)</f>
        <v/>
      </c>
      <c r="R11" s="99">
        <f>(Q11*$R$4*(1-$B11)+Q11)+(Q10*$R$4*$C$10)</f>
        <v/>
      </c>
      <c r="S11" s="99">
        <f>(R11*$S$4*(1-$B11)+R11)+(R10*$S$4*$C$10)</f>
        <v/>
      </c>
      <c r="T11" s="99">
        <f>(S11*$T$4*(1-$B11)+S11)+(S10*$T$4*$C$10)</f>
        <v/>
      </c>
      <c r="U11" s="99">
        <f>(T11*$U$4*(1-$B11)+T11)+(T10*$U$4*$C$10)</f>
        <v/>
      </c>
      <c r="V11" s="99">
        <f>(U11*$V$4*(1-$B11)+U11)+(U10*$V$4*$C$10)</f>
        <v/>
      </c>
      <c r="W11" s="99">
        <f>(V11*$W$4*(1-$B11)+V11)+(V10*$W$4*$C$10)</f>
        <v/>
      </c>
      <c r="X11" s="99">
        <f>(W11*$X$4*(1-$B11)+W11)+(W10*$X$4*$C$10)</f>
        <v/>
      </c>
      <c r="Y11" s="99">
        <f>(X11*$Y$4*(1-$B11)+X11)+(X10*$Y$4*$C$10)</f>
        <v/>
      </c>
      <c r="Z11" s="99">
        <f>(Y11*$Z$4*(1-$B11)+Y11)+(Y10*$Z$4*$C$10)</f>
        <v/>
      </c>
      <c r="AA11" s="99">
        <f>(Z11*$AA$4*(1-$B11)+Z11)+(Z10*$AA$4*$C$10)</f>
        <v/>
      </c>
      <c r="AB11" s="99">
        <f>(AA11*$AB$4*(1-$B11)+AA11)+(AA10*$AB$4*$C$10)</f>
        <v/>
      </c>
      <c r="AC11" s="99">
        <f>(AB11*$AC$4*(1-$B11)+AB11)+(AB10*$AC$4*$C$10)</f>
        <v/>
      </c>
      <c r="AD11" s="99">
        <f>(AC11*$AD$4*(1-$B11)+AC11)+(AC10*$AD$4*$C$10)</f>
        <v/>
      </c>
      <c r="AE11" s="99">
        <f>(AD11*$AE$4*(1-$B11)+AD11)+(AD10*$AE$4*$C$10)</f>
        <v/>
      </c>
      <c r="AF11" s="99">
        <f>(AE11*$AF$4*(1-$B11)+AE11)+(AE10*$AF$4*$C$10)</f>
        <v/>
      </c>
      <c r="AG11" s="99">
        <f>(AF11*$AG$4*(1-$B11)+AF11)+(AF10*$AG$4*$C$10)</f>
        <v/>
      </c>
      <c r="AH11" s="99">
        <f>(AG11*$AH$4*(1-$B11)+AG11)+(AG10*$AH$4*$C$10)</f>
        <v/>
      </c>
      <c r="AI11" s="99">
        <f>(AH11*$AI$4*(1-$B11)+AH11)+(AH10*$AI$4*$C$10)</f>
        <v/>
      </c>
      <c r="AJ11" s="99">
        <f>(AI11*AJ$4*(1-$B11)+AI11)+(AI10*AJ$4*$C$10)+SUMIFS(Investments!$D:$D,Investments!$B:$B,$A11,Investments!$C:$C,"ETH",Investments!$A:$A,AJ$8)</f>
        <v/>
      </c>
      <c r="AK11" s="99">
        <f>(AJ11*AK$4*(1-$B11)+AJ11)+(AJ10*AK$4*$C$10)+SUMIFS(Investments!$D:$D,Investments!$B:$B,$A11,Investments!$C:$C,"ETH",Investments!$A:$A,AK$8)</f>
        <v/>
      </c>
      <c r="AL11" s="99">
        <f>(AK11*AL$4*(1-$B11)+AK11)+(AK10*AL$4*$C$10)+SUMIFS(Investments!$D:$D,Investments!$B:$B,$A11,Investments!$C:$C,"ETH",Investments!$A:$A,AL$8)</f>
        <v/>
      </c>
      <c r="AM11" s="99">
        <f>(AL11*AM$4*(1-$B11)+AL11)+(AL10*AM$4*$C$10)+SUMIFS(Investments!$D:$D,Investments!$B:$B,$A11,Investments!$C:$C,"ETH",Investments!$A:$A,AM$8)</f>
        <v/>
      </c>
      <c r="AN11" s="99">
        <f>(AM11*AN$4*(1-$B11)+AM11)+(AM10*AN$4*$C$10)+SUMIFS(Investments!$D:$D,Investments!$B:$B,$A11,Investments!$C:$C,"ETH",Investments!$A:$A,AN$8)</f>
        <v/>
      </c>
      <c r="AO11" s="99">
        <f>(AN11*AO$4*(1-$B11)+AN11)+(AN10*AO$4*$C$10)+SUMIFS(Investments!$D:$D,Investments!$B:$B,$A11,Investments!$C:$C,"ETH",Investments!$A:$A,AO$8)</f>
        <v/>
      </c>
      <c r="AP11" s="32" t="n"/>
      <c r="AQ11" s="32" t="n"/>
      <c r="AR11" s="32" t="n"/>
      <c r="AS11" s="32" t="n"/>
      <c r="AT11" s="32" t="n"/>
      <c r="AU11" s="32" t="n"/>
      <c r="AV11" s="32" t="n"/>
      <c r="AW11" s="32" t="n"/>
      <c r="AX11" s="32" t="n"/>
      <c r="AY11" s="32" t="n"/>
      <c r="AZ11" s="32" t="n"/>
      <c r="BA11" s="32" t="n"/>
      <c r="BB11" s="32" t="n"/>
      <c r="BC11" s="32" t="n"/>
      <c r="BD11" s="32" t="n"/>
      <c r="BE11" s="32" t="n"/>
      <c r="BF11" s="32" t="n"/>
      <c r="BG11" s="32" t="n"/>
      <c r="BH11" s="32" t="n"/>
      <c r="BI11" s="32" t="n"/>
    </row>
    <row r="12" ht="15.75" customHeight="1" s="252">
      <c r="A12" s="97" t="inlineStr">
        <is>
          <t>INDIGO DIGITAL ASSET FUND LP</t>
        </is>
      </c>
      <c r="B12" s="98" t="n">
        <v>0</v>
      </c>
      <c r="C12" s="98" t="n"/>
      <c r="D12" s="99" t="n">
        <v>175</v>
      </c>
      <c r="E12" s="99">
        <f>D12*$E$4*(1-$B12)+D12</f>
        <v/>
      </c>
      <c r="F12" s="99">
        <f>E12*$F$4*(1-$B12)+E12</f>
        <v/>
      </c>
      <c r="G12" s="99">
        <f>F12*$G$4*(1-$B12)+F12</f>
        <v/>
      </c>
      <c r="H12" s="99">
        <f>(G12*$H$4*(1-$B12)+G12)</f>
        <v/>
      </c>
      <c r="I12" s="99">
        <f>(H12*$I$4*(1-$B12)+H12)-(H12*$I$4*(1-$B12)+H12)</f>
        <v/>
      </c>
      <c r="J12" s="99">
        <f>(I12*$J$4*(1-$B12)+I12)-(I12*$J$4*(1-$B12)+I12)</f>
        <v/>
      </c>
      <c r="K12" s="99">
        <f>(J12*$K$4*(1-$B12)+J12)-(J12*$K$4*(1-$B12)+J12)</f>
        <v/>
      </c>
      <c r="L12" s="99">
        <f>(K12*$L$4*(1-$B12)+K12)-(K12*$L$4*(1-$B12)+K12)</f>
        <v/>
      </c>
      <c r="M12" s="99">
        <f>(L12*$M$4*(1-$B12)+L12)-(L12*$M$4*(1-$B12)+L12)</f>
        <v/>
      </c>
      <c r="N12" s="99">
        <f>(M12*$N$4*(1-$B12)+M12)-(M12*$N$4*(1-$B12)+M12)</f>
        <v/>
      </c>
      <c r="O12" s="99">
        <f>(N12*$O$4*(1-$B12)+N12)-(N12*$O$4*(1-$B12)+N12)</f>
        <v/>
      </c>
      <c r="P12" s="99">
        <f>(O12*$P$4*(1-$B12)+O12)-(O12*$P$4*(1-$B12)+O12)</f>
        <v/>
      </c>
      <c r="Q12" s="99">
        <f>(P12*$Q$4*(1-$B12)+P12)-(P12*$Q$4*(1-$B12)+P12)</f>
        <v/>
      </c>
      <c r="R12" s="99">
        <f>(Q12*$R$4*(1-$B12)+Q12)-(Q12*$R$4*(1-$B12)+Q12)</f>
        <v/>
      </c>
      <c r="S12" s="99">
        <f>(R12*$S$4*(1-$B12)+R12)-(R12*$S$4*(1-$B12)+R12)</f>
        <v/>
      </c>
      <c r="T12" s="99">
        <f>(S12*$T$4*(1-$B12)+S12)-(S12*$T$4*(1-$B12)+S12)</f>
        <v/>
      </c>
      <c r="U12" s="99">
        <f>(T12*$U$4*(1-$B12)+T12)-(T12*$U$4*(1-$B12)+T12)</f>
        <v/>
      </c>
      <c r="V12" s="99">
        <f>(U12*$V$4*(1-$B12)+U12)-(U12*$V$4*(1-$B12)+U12)</f>
        <v/>
      </c>
      <c r="W12" s="99">
        <f>(V12*$W$4*(1-$B12)+V12)-(V12*$W$4*(1-$B12)+V12)</f>
        <v/>
      </c>
      <c r="X12" s="99">
        <f>(W12*$X$4*(1-$B12)+W12)-(W12*$X$4*(1-$B12)+W12)</f>
        <v/>
      </c>
      <c r="Y12" s="99">
        <f>(X12*$Y$4*(1-$B12)+X12)-(X12*$Y$4*(1-$B12)+X12)</f>
        <v/>
      </c>
      <c r="Z12" s="99">
        <f>(Y12*$Z$4*(1-$B12)+Y12)</f>
        <v/>
      </c>
      <c r="AA12" s="99">
        <f>(Z12*$AA$4*(1-$B12)+Z12)</f>
        <v/>
      </c>
      <c r="AB12" s="99">
        <f>(AA12*$AB$4*(1-$B12)+AA12)</f>
        <v/>
      </c>
      <c r="AC12" s="99">
        <f>(AB12*$AC$4*(1-$B12)+AB12)</f>
        <v/>
      </c>
      <c r="AD12" s="99">
        <f>(AC12*$AD$4*(1-$B12)+AC12)</f>
        <v/>
      </c>
      <c r="AE12" s="99">
        <f>(AD12*$AE$4*(1-$B12)+AD12)</f>
        <v/>
      </c>
      <c r="AF12" s="99">
        <f>(AE12*$AF$4*(1-$B12)+AE12)</f>
        <v/>
      </c>
      <c r="AG12" s="99">
        <f>(AF12*$AG$4*(1-$B12)+AF12)</f>
        <v/>
      </c>
      <c r="AH12" s="99">
        <f>(AG12*$AH$4*(1-$B12)+AG12)</f>
        <v/>
      </c>
      <c r="AI12" s="99">
        <f>(AH12*$AI$4*(1-$B12)+AH12)</f>
        <v/>
      </c>
      <c r="AJ12" s="99">
        <f>(AI12*AJ$4*(1-$B12)+AI12)+SUMIFS(Investments!$D:$D,Investments!$B:$B,$A12,Investments!$C:$C,"ETH",Investments!$A:$A,AJ$8)</f>
        <v/>
      </c>
      <c r="AK12" s="99">
        <f>(AJ12*AK$4*(1-$B12)+AJ12)+SUMIFS(Investments!$D:$D,Investments!$B:$B,$A12,Investments!$C:$C,"ETH",Investments!$A:$A,AK$8)</f>
        <v/>
      </c>
      <c r="AL12" s="99">
        <f>(AK12*AL$4*(1-$B12)+AK12)+SUMIFS(Investments!$D:$D,Investments!$B:$B,$A12,Investments!$C:$C,"ETH",Investments!$A:$A,AL$8)</f>
        <v/>
      </c>
      <c r="AM12" s="99">
        <f>(AL12*AM$4*(1-$B12)+AL12)+SUMIFS(Investments!$D:$D,Investments!$B:$B,$A12,Investments!$C:$C,"ETH",Investments!$A:$A,AM$8)</f>
        <v/>
      </c>
      <c r="AN12" s="99">
        <f>(AM12*AN$4*(1-$B12)+AM12)+SUMIFS(Investments!$D:$D,Investments!$B:$B,$A12,Investments!$C:$C,"ETH",Investments!$A:$A,AN$8)</f>
        <v/>
      </c>
      <c r="AO12" s="99">
        <f>(AN12*AO$4*(1-$B12)+AN12)+SUMIFS(Investments!$D:$D,Investments!$B:$B,$A12,Investments!$C:$C,"ETH",Investments!$A:$A,AO$8)</f>
        <v/>
      </c>
      <c r="AP12" s="32" t="n"/>
      <c r="AQ12" s="32" t="n"/>
      <c r="AR12" s="32" t="n"/>
      <c r="AS12" s="32" t="n"/>
      <c r="AT12" s="32" t="n"/>
      <c r="AU12" s="32" t="n"/>
      <c r="AV12" s="32" t="n"/>
      <c r="AW12" s="32" t="n"/>
      <c r="AX12" s="32" t="n"/>
      <c r="AY12" s="32" t="n"/>
      <c r="AZ12" s="32" t="n"/>
      <c r="BA12" s="32" t="n"/>
      <c r="BB12" s="32" t="n"/>
      <c r="BC12" s="32" t="n"/>
      <c r="BD12" s="32" t="n"/>
      <c r="BE12" s="32" t="n"/>
      <c r="BF12" s="32" t="n"/>
      <c r="BG12" s="32" t="n"/>
      <c r="BH12" s="32" t="n"/>
      <c r="BI12" s="32" t="n"/>
    </row>
    <row r="13" ht="15.75" customHeight="1" s="252">
      <c r="A13" s="97" t="inlineStr">
        <is>
          <t>Nathanaël Cohen</t>
        </is>
      </c>
      <c r="B13" s="98" t="n">
        <v>0</v>
      </c>
      <c r="C13" s="98" t="n"/>
      <c r="D13" s="99" t="n">
        <v>0</v>
      </c>
      <c r="E13" s="99">
        <f>D13*$E$4*(1-$B13)+D13+3.0466</f>
        <v/>
      </c>
      <c r="F13" s="99">
        <f>E13*$F$4*(1-$B13)+E13+2</f>
        <v/>
      </c>
      <c r="G13" s="99">
        <f>F13*$G$4*(1-$B13)+F13+26.6797</f>
        <v/>
      </c>
      <c r="H13" s="99">
        <f>G13*$H$4*(1-$B13)+G13</f>
        <v/>
      </c>
      <c r="I13" s="99">
        <f>H13*$I$4*(1-$B13)+H13</f>
        <v/>
      </c>
      <c r="J13" s="99">
        <f>I13*$J$4*(1-$B13)+I13</f>
        <v/>
      </c>
      <c r="K13" s="99">
        <f>J13*$K$4*(1-$B13)+J13</f>
        <v/>
      </c>
      <c r="L13" s="99">
        <f>K13*$L$4*(1-$B13)+K13</f>
        <v/>
      </c>
      <c r="M13" s="99">
        <f>L13*$M$4*(1-$B13)+L13+3.35</f>
        <v/>
      </c>
      <c r="N13" s="99">
        <f>M13*$N$4*(1-$B13)+M13</f>
        <v/>
      </c>
      <c r="O13" s="99">
        <f>N13*$O$4*(1-$B13)+N13</f>
        <v/>
      </c>
      <c r="P13" s="99">
        <f>O13*$P$4*(1-$B13)+O13</f>
        <v/>
      </c>
      <c r="Q13" s="99">
        <f>P13*$Q$4*(1-$B13)+P13</f>
        <v/>
      </c>
      <c r="R13" s="99">
        <f>Q13*$R$4*(1-$B13)+Q13</f>
        <v/>
      </c>
      <c r="S13" s="99">
        <f>R13*$S$4*(1-$B13)+R13</f>
        <v/>
      </c>
      <c r="T13" s="99">
        <f>S13*$T$4*(1-$B13)+S13</f>
        <v/>
      </c>
      <c r="U13" s="99">
        <f>T13*$U$4*(1-$B13)+T13</f>
        <v/>
      </c>
      <c r="V13" s="99">
        <f>U13*$V$4*(1-$B13)+U13</f>
        <v/>
      </c>
      <c r="W13" s="99">
        <f>V13*$W$4*(1-$B13)+V13+1.0677</f>
        <v/>
      </c>
      <c r="X13" s="99">
        <f>W13*$X$4*(1-$B13)+W13</f>
        <v/>
      </c>
      <c r="Y13" s="99">
        <f>X13*$Y$4*(1-$B13)+X13</f>
        <v/>
      </c>
      <c r="Z13" s="99">
        <f>Y13*$Z$4*(1-$B13)+Y13</f>
        <v/>
      </c>
      <c r="AA13" s="99">
        <f>Z13*$AA$4*(1-$B13)+Z13</f>
        <v/>
      </c>
      <c r="AB13" s="99">
        <f>AA13*$AB$4*(1-$B13)+AA13</f>
        <v/>
      </c>
      <c r="AC13" s="99">
        <f>AB13*$AC$4*(1-$B13)+AB13</f>
        <v/>
      </c>
      <c r="AD13" s="99">
        <f>AC13*$AD$4*(1-$B13)+AC13</f>
        <v/>
      </c>
      <c r="AE13" s="99">
        <f>AD13*$AE$4*(1-$B13)+AD13</f>
        <v/>
      </c>
      <c r="AF13" s="99">
        <f>AE13*$AF$4*(1-$B13)+AE13</f>
        <v/>
      </c>
      <c r="AG13" s="99">
        <f>AF13*$AG$4*(1-$B13)+AF13</f>
        <v/>
      </c>
      <c r="AH13" s="99">
        <f>AG13*$AH$4*(1-$B13)+AG13</f>
        <v/>
      </c>
      <c r="AI13" s="99">
        <f>AH13*$AI$4*(1-$B13)+AH13</f>
        <v/>
      </c>
      <c r="AJ13" s="99">
        <f>AI13*AJ$4*(1-$B13)+AI13+SUMIFS(Investments!$D:$D,Investments!$B:$B,$A13,Investments!$C:$C,"ETH",Investments!$A:$A,AJ$8)</f>
        <v/>
      </c>
      <c r="AK13" s="99">
        <f>AJ13*AK$4*(1-$B13)+AJ13+SUMIFS(Investments!$D:$D,Investments!$B:$B,$A13,Investments!$C:$C,"ETH",Investments!$A:$A,AK$8)</f>
        <v/>
      </c>
      <c r="AL13" s="99">
        <f>AK13*AL$4*(1-$B13)+AK13+SUMIFS(Investments!$D:$D,Investments!$B:$B,$A13,Investments!$C:$C,"ETH",Investments!$A:$A,AL$8)</f>
        <v/>
      </c>
      <c r="AM13" s="99">
        <f>AL13*AM$4*(1-$B13)+AL13+SUMIFS(Investments!$D:$D,Investments!$B:$B,$A13,Investments!$C:$C,"ETH",Investments!$A:$A,AM$8)</f>
        <v/>
      </c>
      <c r="AN13" s="99">
        <f>AM13*AN$4*(1-$B13)+AM13+SUMIFS(Investments!$D:$D,Investments!$B:$B,$A13,Investments!$C:$C,"ETH",Investments!$A:$A,AN$8)</f>
        <v/>
      </c>
      <c r="AO13" s="99">
        <f>AN13*AO$4*(1-$B13)+AN13+SUMIFS(Investments!$D:$D,Investments!$B:$B,$A13,Investments!$C:$C,"ETH",Investments!$A:$A,AO$8)</f>
        <v/>
      </c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2" t="n"/>
      <c r="BA13" s="32" t="n"/>
      <c r="BB13" s="32" t="n"/>
      <c r="BC13" s="32" t="n"/>
      <c r="BD13" s="32" t="n"/>
      <c r="BE13" s="32" t="n"/>
      <c r="BF13" s="32" t="n"/>
      <c r="BG13" s="32" t="n"/>
      <c r="BH13" s="32" t="n"/>
      <c r="BI13" s="32" t="n"/>
    </row>
    <row r="14" ht="15.75" customHeight="1" s="252">
      <c r="A14" s="97" t="inlineStr">
        <is>
          <t>Jose Molla</t>
        </is>
      </c>
      <c r="B14" s="98" t="n">
        <v>0.15</v>
      </c>
      <c r="C14" s="98" t="n"/>
      <c r="D14" s="99" t="n">
        <v>0</v>
      </c>
      <c r="E14" s="99">
        <f>D14*$E$4*(1-$B14)+D14</f>
        <v/>
      </c>
      <c r="F14" s="99">
        <f>E14*$F$4*(1-$B14)+E14</f>
        <v/>
      </c>
      <c r="G14" s="99">
        <f>F14*$G$4*(1-$B14)+F14+62.6261</f>
        <v/>
      </c>
      <c r="H14" s="99">
        <f>G14*$H$4*(1-$B14)+G14</f>
        <v/>
      </c>
      <c r="I14" s="99">
        <f>H14*$I$4*(1-$B14)+H14</f>
        <v/>
      </c>
      <c r="J14" s="99">
        <f>I14*$J$4*(1-$B14)+I14</f>
        <v/>
      </c>
      <c r="K14" s="99">
        <f>J14*$K$4*(1-$B14)+J14</f>
        <v/>
      </c>
      <c r="L14" s="99">
        <f>K14*$L$4*(1-$B14)+K14</f>
        <v/>
      </c>
      <c r="M14" s="99">
        <f>L14*$M$4*(1-$B14)+L14</f>
        <v/>
      </c>
      <c r="N14" s="99">
        <f>M14*$N$4*(1-$B14)+M14</f>
        <v/>
      </c>
      <c r="O14" s="99">
        <f>N14*$O$4*(1-$B14)+N14</f>
        <v/>
      </c>
      <c r="P14" s="99">
        <f>O14*$P$4*(1-$B14)+O14</f>
        <v/>
      </c>
      <c r="Q14" s="99">
        <f>P14*$Q$4*(1-$B14)+P14</f>
        <v/>
      </c>
      <c r="R14" s="99">
        <f>Q14*$R$4*(1-$B14)+Q14</f>
        <v/>
      </c>
      <c r="S14" s="99">
        <f>R14*$S$4*(1-$B14)+R14</f>
        <v/>
      </c>
      <c r="T14" s="99">
        <f>S14*$T$4*(1-$B14)+S14</f>
        <v/>
      </c>
      <c r="U14" s="99">
        <f>T14*$U$4*(1-$B14)+T14+1.2</f>
        <v/>
      </c>
      <c r="V14" s="99">
        <f>U14*$V$4*(1-$B14)+U14</f>
        <v/>
      </c>
      <c r="W14" s="99">
        <f>V14*$W$4*(1-$B14)+V14+2.5064</f>
        <v/>
      </c>
      <c r="X14" s="99">
        <f>W14*$X$4*(1-$B14)+W14</f>
        <v/>
      </c>
      <c r="Y14" s="99">
        <f>X14*$Y$4*(1-$B14)+X14</f>
        <v/>
      </c>
      <c r="Z14" s="99">
        <f>Y14*$Z$4*(1-$B14)+Y14</f>
        <v/>
      </c>
      <c r="AA14" s="99">
        <f>Z14*$AA$4*(1-$B14)+Z14</f>
        <v/>
      </c>
      <c r="AB14" s="99">
        <f>AA14*$AB$4*(1-$B14)+AA14</f>
        <v/>
      </c>
      <c r="AC14" s="99">
        <f>AB14*$AC$4*(1-$B14)+AB14</f>
        <v/>
      </c>
      <c r="AD14" s="99">
        <f>AC14*$AD$4*(1-$B14)+AC14</f>
        <v/>
      </c>
      <c r="AE14" s="99">
        <f>AD14*$AE$4*(1-$B14)+AD14</f>
        <v/>
      </c>
      <c r="AF14" s="99">
        <f>AE14*$AF$4*(1-$B14)+AE14</f>
        <v/>
      </c>
      <c r="AG14" s="99">
        <f>AF14*$AG$4*(1-$B14)+AF14</f>
        <v/>
      </c>
      <c r="AH14" s="99">
        <f>AG14*$AH$4*(1-$B14)+AG14</f>
        <v/>
      </c>
      <c r="AI14" s="99">
        <f>AH14*$AI$4*(1-$B14)+AH14</f>
        <v/>
      </c>
      <c r="AJ14" s="99">
        <f>AI14*AJ$4*(1-$B14)+AI14+SUMIFS(Investments!$D:$D,Investments!$B:$B,$A14,Investments!$C:$C,"ETH",Investments!$A:$A,AJ$8)</f>
        <v/>
      </c>
      <c r="AK14" s="99">
        <f>AJ14*AK$4*(1-$B14)+AJ14+SUMIFS(Investments!$D:$D,Investments!$B:$B,$A14,Investments!$C:$C,"ETH",Investments!$A:$A,AK$8)</f>
        <v/>
      </c>
      <c r="AL14" s="99">
        <f>AK14*AL$4*(1-$B14)+AK14+SUMIFS(Investments!$D:$D,Investments!$B:$B,$A14,Investments!$C:$C,"ETH",Investments!$A:$A,AL$8)</f>
        <v/>
      </c>
      <c r="AM14" s="99">
        <f>AL14*AM$4*(1-$B14)+AL14+SUMIFS(Investments!$D:$D,Investments!$B:$B,$A14,Investments!$C:$C,"ETH",Investments!$A:$A,AM$8)</f>
        <v/>
      </c>
      <c r="AN14" s="99">
        <f>AM14*AN$4*(1-$B14)+AM14+SUMIFS(Investments!$D:$D,Investments!$B:$B,$A14,Investments!$C:$C,"ETH",Investments!$A:$A,AN$8)</f>
        <v/>
      </c>
      <c r="AO14" s="99">
        <f>AN14*AO$4*(1-$B14)+AN14+SUMIFS(Investments!$D:$D,Investments!$B:$B,$A14,Investments!$C:$C,"ETH",Investments!$A:$A,AO$8)</f>
        <v/>
      </c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2" t="n"/>
      <c r="BA14" s="32" t="n"/>
      <c r="BB14" s="32" t="n"/>
      <c r="BC14" s="32" t="n"/>
      <c r="BD14" s="32" t="n"/>
      <c r="BE14" s="32" t="n"/>
      <c r="BF14" s="32" t="n"/>
      <c r="BG14" s="32" t="n"/>
      <c r="BH14" s="32" t="n"/>
      <c r="BI14" s="32" t="n"/>
    </row>
    <row r="15" ht="15.75" customHeight="1" s="252">
      <c r="A15" s="97" t="inlineStr">
        <is>
          <t>Blondish</t>
        </is>
      </c>
      <c r="B15" s="98" t="n">
        <v>0</v>
      </c>
      <c r="C15" s="98" t="n"/>
      <c r="D15" s="99" t="n">
        <v>0</v>
      </c>
      <c r="E15" s="99">
        <f>D15*$E$4*(1-$B15)+D15</f>
        <v/>
      </c>
      <c r="F15" s="99">
        <f>E15*$F$4*(1-$B15)+E15</f>
        <v/>
      </c>
      <c r="G15" s="99">
        <f>F15*$G$4*(1-$B15)+F15+119.7862</f>
        <v/>
      </c>
      <c r="H15" s="99">
        <f>G15*$H$4*(1-$B15)+G15</f>
        <v/>
      </c>
      <c r="I15" s="99">
        <f>H15*$I$4*(1-$B15)+H15</f>
        <v/>
      </c>
      <c r="J15" s="99">
        <f>I15*$J$4*(1-$B15)+I15</f>
        <v/>
      </c>
      <c r="K15" s="99">
        <f>J15*$K$4*(1-$B15)+J15</f>
        <v/>
      </c>
      <c r="L15" s="99">
        <f>K15*$L$4*(1-$B15)+K15</f>
        <v/>
      </c>
      <c r="M15" s="99">
        <f>L15*$M$4*(1-$B15)+L15</f>
        <v/>
      </c>
      <c r="N15" s="99">
        <f>M15*$N$4*(1-$B15)+M15</f>
        <v/>
      </c>
      <c r="O15" s="99">
        <f>N15*$O$4*(1-$B15)+N15</f>
        <v/>
      </c>
      <c r="P15" s="99">
        <f>O15*$P$4*(1-$B15)+O15</f>
        <v/>
      </c>
      <c r="Q15" s="99">
        <f>P15*$Q$4*(1-$B15)+P15</f>
        <v/>
      </c>
      <c r="R15" s="99">
        <f>Q15*$R$4*(1-$B15)+Q15</f>
        <v/>
      </c>
      <c r="S15" s="99">
        <f>R15*$S$4*(1-$B15)+R15</f>
        <v/>
      </c>
      <c r="T15" s="99">
        <f>S15*$T$4*(1-$B15)+S15</f>
        <v/>
      </c>
      <c r="U15" s="99">
        <f>T15*$U$4*(1-$B15)+T15</f>
        <v/>
      </c>
      <c r="V15" s="99">
        <f>U15*$V$4*(1-$B15)+U15</f>
        <v/>
      </c>
      <c r="W15" s="99">
        <f>V15*$W$4*(1-$B15)+V15+4.794</f>
        <v/>
      </c>
      <c r="X15" s="99">
        <f>W15*$X$4*(1-$B15)+W15</f>
        <v/>
      </c>
      <c r="Y15" s="99">
        <f>X15*$Y$4*(1-$B15)+X15</f>
        <v/>
      </c>
      <c r="Z15" s="99">
        <f>Y15*$Z$4*(1-$B15)+Y15</f>
        <v/>
      </c>
      <c r="AA15" s="99">
        <f>Z15*$AA$4*(1-$B15)+Z15</f>
        <v/>
      </c>
      <c r="AB15" s="99">
        <f>AA15*$AB$4*(1-$B15)+AA15</f>
        <v/>
      </c>
      <c r="AC15" s="99">
        <f>AB15*$AC$4*(1-$B15)+AB15</f>
        <v/>
      </c>
      <c r="AD15" s="99">
        <f>AC15*$AD$4*(1-$B15)+AC15</f>
        <v/>
      </c>
      <c r="AE15" s="99">
        <f>AD15*$AE$4*(1-$B15)+AD15</f>
        <v/>
      </c>
      <c r="AF15" s="99">
        <f>AE15*$AF$4*(1-$B15)+AE15</f>
        <v/>
      </c>
      <c r="AG15" s="99">
        <f>AF15*$AG$4*(1-$B15)+AF15</f>
        <v/>
      </c>
      <c r="AH15" s="99">
        <f>AG15*$AH$4*(1-$B15)+AG15</f>
        <v/>
      </c>
      <c r="AI15" s="99">
        <f>AH15*$AI$4*(1-$B15)+AH15</f>
        <v/>
      </c>
      <c r="AJ15" s="99">
        <f>AI15*AJ$4*(1-$B15)+AI15+SUMIFS(Investments!$D:$D,Investments!$B:$B,$A15,Investments!$C:$C,"ETH",Investments!$A:$A,AJ$8)</f>
        <v/>
      </c>
      <c r="AK15" s="99">
        <f>AJ15*AK$4*(1-$B15)+AJ15+SUMIFS(Investments!$D:$D,Investments!$B:$B,$A15,Investments!$C:$C,"ETH",Investments!$A:$A,AK$8)</f>
        <v/>
      </c>
      <c r="AL15" s="99">
        <f>AK15*AL$4*(1-$B15)+AK15+SUMIFS(Investments!$D:$D,Investments!$B:$B,$A15,Investments!$C:$C,"ETH",Investments!$A:$A,AL$8)</f>
        <v/>
      </c>
      <c r="AM15" s="99">
        <f>AL15*AM$4*(1-$B15)+AL15+SUMIFS(Investments!$D:$D,Investments!$B:$B,$A15,Investments!$C:$C,"ETH",Investments!$A:$A,AM$8)</f>
        <v/>
      </c>
      <c r="AN15" s="99">
        <f>AM15*AN$4*(1-$B15)+AM15+SUMIFS(Investments!$D:$D,Investments!$B:$B,$A15,Investments!$C:$C,"ETH",Investments!$A:$A,AN$8)</f>
        <v/>
      </c>
      <c r="AO15" s="99">
        <f>AN15*AO$4*(1-$B15)+AN15+SUMIFS(Investments!$D:$D,Investments!$B:$B,$A15,Investments!$C:$C,"ETH",Investments!$A:$A,AO$8)</f>
        <v/>
      </c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2" t="n"/>
      <c r="BE15" s="32" t="n"/>
      <c r="BF15" s="32" t="n"/>
      <c r="BG15" s="32" t="n"/>
      <c r="BH15" s="32" t="n"/>
      <c r="BI15" s="32" t="n"/>
    </row>
    <row r="16" ht="15.75" customHeight="1" s="252">
      <c r="A16" s="97" t="inlineStr">
        <is>
          <t>Advantage Blockchain</t>
        </is>
      </c>
      <c r="B16" s="98" t="n">
        <v>0.18</v>
      </c>
      <c r="C16" s="98" t="n">
        <v>0.02</v>
      </c>
      <c r="D16" s="99" t="n">
        <v>0</v>
      </c>
      <c r="E16" s="99">
        <f>D16*$E$4*(1-$B16)+D16</f>
        <v/>
      </c>
      <c r="F16" s="99">
        <f>E16*$F$4*(1-$B16)+E16</f>
        <v/>
      </c>
      <c r="G16" s="99">
        <f>F16*$G$4*(1-$B16)+F16</f>
        <v/>
      </c>
      <c r="H16" s="99">
        <f>G16*$H$4*(1-($B16+$C16))+G16+32</f>
        <v/>
      </c>
      <c r="I16" s="99">
        <f>H16*$I$4*(1-($B16+$C16))+H16</f>
        <v/>
      </c>
      <c r="J16" s="99">
        <f>I16*$J$4*(1-($B16+$C16))+I16</f>
        <v/>
      </c>
      <c r="K16" s="99">
        <f>J16*$K$4*(1-($B16+$C16))+J16</f>
        <v/>
      </c>
      <c r="L16" s="99">
        <f>K16*$L$4*(1-($B16+$C16))+K16</f>
        <v/>
      </c>
      <c r="M16" s="99">
        <f>L16*$M$4*(1-($B16+$C16))+L16</f>
        <v/>
      </c>
      <c r="N16" s="99">
        <f>M16*$N$4*(1-($B16+$C16))+M16</f>
        <v/>
      </c>
      <c r="O16" s="99">
        <f>N16*$O$4*(1-($B16+$C16))+N16</f>
        <v/>
      </c>
      <c r="P16" s="99">
        <f>O16*$P$4*(1-($B16+$C16))+O16</f>
        <v/>
      </c>
      <c r="Q16" s="99">
        <f>P16*$Q$4*(1-($B16+$C16))+P16</f>
        <v/>
      </c>
      <c r="R16" s="99">
        <f>Q16*$R$4*(1-($B16+$C16))+Q16</f>
        <v/>
      </c>
      <c r="S16" s="99">
        <f>R16*$S$4*(1-($B16+$C16))+R16</f>
        <v/>
      </c>
      <c r="T16" s="99">
        <f>S16*$T$4*(1-($B16+$C16))+S16</f>
        <v/>
      </c>
      <c r="U16" s="99">
        <f>T16*$U$4*(1-($B16+$C16))+T16</f>
        <v/>
      </c>
      <c r="V16" s="99">
        <f>U16*$V$4*(1-($B16+$C16))+U16</f>
        <v/>
      </c>
      <c r="W16" s="99">
        <f>V16*$W$4*(1-($B16+$C16))+V16</f>
        <v/>
      </c>
      <c r="X16" s="99">
        <f>W16*$X$4*(1-($B16+$C16))+W16</f>
        <v/>
      </c>
      <c r="Y16" s="99">
        <f>X16*$Y$4*(1-($B16+$C16))+X16</f>
        <v/>
      </c>
      <c r="Z16" s="99">
        <f>Y16*$Z$4*(1-($B16+$C16))+Y16</f>
        <v/>
      </c>
      <c r="AA16" s="99">
        <f>Z16*$AA$4*(1-($B16+$C16))+Z16</f>
        <v/>
      </c>
      <c r="AB16" s="99">
        <f>AA16*$AB$4*(1-($B16+$C16))+AA16</f>
        <v/>
      </c>
      <c r="AC16" s="99">
        <f>AB16*$AC$4*(1-($B16+$C16))+AB16</f>
        <v/>
      </c>
      <c r="AD16" s="99">
        <f>AC16*$AD$4*(1-($B16+$C16))+AC16</f>
        <v/>
      </c>
      <c r="AE16" s="99">
        <f>AD16*$AE$4*(1-($B16+$C16))+AD16</f>
        <v/>
      </c>
      <c r="AF16" s="99">
        <f>AE16*$AF$4*(1-($B16+$C16))+AE16</f>
        <v/>
      </c>
      <c r="AG16" s="99">
        <f>AF16*$AG$4*(1-($B16+$C16))+AF16</f>
        <v/>
      </c>
      <c r="AH16" s="99">
        <f>AG16*$AH$4*(1-($B16+$C16))+AG16</f>
        <v/>
      </c>
      <c r="AI16" s="99">
        <f>AH16*$AI$4*(1-($B16+$C16))+AH16+18</f>
        <v/>
      </c>
      <c r="AJ16" s="99">
        <f>AI16*AJ$4*(1-($B16+$C16))+AI16+SUMIFS(Investments!$D:$D,Investments!$B:$B,$A16,Investments!$C:$C,"ETH",Investments!$A:$A,AJ$8)</f>
        <v/>
      </c>
      <c r="AK16" s="99">
        <f>AJ16*AK$4*(1-($B16+$C16))+AJ16+SUMIFS(Investments!$D:$D,Investments!$B:$B,$A16,Investments!$C:$C,"ETH",Investments!$A:$A,AK$8)</f>
        <v/>
      </c>
      <c r="AL16" s="99">
        <f>AK16*AL$4*(1-($B16+$C16))+AK16+SUMIFS(Investments!$D:$D,Investments!$B:$B,$A16,Investments!$C:$C,"ETH",Investments!$A:$A,AL$8)</f>
        <v/>
      </c>
      <c r="AM16" s="99">
        <f>AL16*AM$4*(1-($B16+$C16))+AL16+SUMIFS(Investments!$D:$D,Investments!$B:$B,$A16,Investments!$C:$C,"ETH",Investments!$A:$A,AM$8)</f>
        <v/>
      </c>
      <c r="AN16" s="99">
        <f>AM16*AN$4*(1-($B16+$C16))+AM16+SUMIFS(Investments!$D:$D,Investments!$B:$B,$A16,Investments!$C:$C,"ETH",Investments!$A:$A,AN$8)</f>
        <v/>
      </c>
      <c r="AO16" s="99">
        <f>AN16*AO$4*(1-($B16+$C16))+AN16+SUMIFS(Investments!$D:$D,Investments!$B:$B,$A16,Investments!$C:$C,"ETH",Investments!$A:$A,AO$8)</f>
        <v/>
      </c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2" t="n"/>
      <c r="BE16" s="32" t="n"/>
      <c r="BF16" s="32" t="n"/>
      <c r="BG16" s="32" t="n"/>
      <c r="BH16" s="32" t="n"/>
      <c r="BI16" s="32" t="n"/>
    </row>
    <row r="17" ht="15.75" customHeight="1" s="252">
      <c r="A17" s="97" t="inlineStr">
        <is>
          <t>Alec Beckman</t>
        </is>
      </c>
      <c r="B17" s="98" t="n">
        <v>0.2</v>
      </c>
      <c r="C17" s="99" t="n"/>
      <c r="D17" s="99" t="n">
        <v>0</v>
      </c>
      <c r="E17" s="99">
        <f>D17*$E$4*(1-$B17)+D17</f>
        <v/>
      </c>
      <c r="F17" s="99">
        <f>E17*$F$4*(1-$B17)+E17</f>
        <v/>
      </c>
      <c r="G17" s="99">
        <f>F17*$G$4*(1-$B17)+F17</f>
        <v/>
      </c>
      <c r="H17" s="99">
        <f>(G17*$H$4*(1-$B17)+G17)+(G16*$H$4*$C$16)</f>
        <v/>
      </c>
      <c r="I17" s="99">
        <f>(H17*$I$4*(1-$B17)+H17)+(H16*$I$4*$C$16)</f>
        <v/>
      </c>
      <c r="J17" s="99">
        <f>(I17*$J$4*(1-$B17)+I17)+(I16*$J$4*$C$16)</f>
        <v/>
      </c>
      <c r="K17" s="99">
        <f>(J17*$K$4*(1-$B17)+J17)+(J16*$K$4*$C$16)</f>
        <v/>
      </c>
      <c r="L17" s="99">
        <f>(K17*$L$4*(1-$B17)+K17)+(K16*$L$4*$C$16)</f>
        <v/>
      </c>
      <c r="M17" s="99">
        <f>(L17*$M$4*(1-$B17)+L17)+(L16*$M$4*$C$16)</f>
        <v/>
      </c>
      <c r="N17" s="99">
        <f>(M17*$N$4*(1-$B17)+M17)+(M16*$N$4*$C$16)</f>
        <v/>
      </c>
      <c r="O17" s="99">
        <f>(N17*$O$4*(1-$B17)+N17)+(N16*$O$4*$C$16)</f>
        <v/>
      </c>
      <c r="P17" s="99">
        <f>(O17*$P$4*(1-$B17)+O17)+(O16*$P$4*$C$16)</f>
        <v/>
      </c>
      <c r="Q17" s="99">
        <f>(P17*$Q$4*(1-$B17)+P17)+(P16*$Q$4*$C$16)</f>
        <v/>
      </c>
      <c r="R17" s="99">
        <f>(Q17*$R$4*(1-$B17)+Q17)+(Q16*$R$4*$C$16)</f>
        <v/>
      </c>
      <c r="S17" s="99">
        <f>(R17*$S$4*(1-$B17)+R17)+(R16*$S$4*$C$16)</f>
        <v/>
      </c>
      <c r="T17" s="99">
        <f>(S17*$T$4*(1-$B17)+S17)+(S16*$T$4*$C$16)</f>
        <v/>
      </c>
      <c r="U17" s="99">
        <f>(T17*$U$4*(1-$B17)+T17)+(T16*$U$4*$C$16)</f>
        <v/>
      </c>
      <c r="V17" s="99">
        <f>(U17*$V$4*(1-$B17)+U17)+(U16*$V$4*$C$16)</f>
        <v/>
      </c>
      <c r="W17" s="99">
        <f>(V17*$W$4*(1-$B17)+V17)+(V16*$W$4*$C$16)</f>
        <v/>
      </c>
      <c r="X17" s="99">
        <f>(W17*$X$4*(1-$B17)+W17)+(W16*$X$4*$C$16)</f>
        <v/>
      </c>
      <c r="Y17" s="99">
        <f>(X17*$Y$4*(1-$B17)+X17)+(X16*$Y$4*$C$16)</f>
        <v/>
      </c>
      <c r="Z17" s="99">
        <f>(Y17*$Z$4*(1-$B17)+Y17)+(Y16*$Z$4*$C$16)</f>
        <v/>
      </c>
      <c r="AA17" s="99">
        <f>(Z17*$AA$4*(1-$B17)+Z17)+(Z16*$AA$4*$C$16)</f>
        <v/>
      </c>
      <c r="AB17" s="99">
        <f>(AA17*$AB$4*(1-$B17)+AA17)+(AA16*$AB$4*$C$16)</f>
        <v/>
      </c>
      <c r="AC17" s="99">
        <f>(AB17*$AC$4*(1-$B17)+AB17)+(AB16*$AC$4*$C$16)</f>
        <v/>
      </c>
      <c r="AD17" s="99">
        <f>(AC17*$AD$4*(1-$B17)+AC17)+(AC16*$AD$4*$C$16)</f>
        <v/>
      </c>
      <c r="AE17" s="99">
        <f>(AD17*$AE$4*(1-$B17)+AD17)+(AD16*$AE$4*$C$16)</f>
        <v/>
      </c>
      <c r="AF17" s="99">
        <f>(AE17*$AF$4*(1-$B17)+AE17)+(AE16*$AF$4*$C$16)</f>
        <v/>
      </c>
      <c r="AG17" s="99">
        <f>(AF17*$AG$4*(1-$B17)+AF17)+(AF16*$AG$4*$C$16)</f>
        <v/>
      </c>
      <c r="AH17" s="99">
        <f>(AG17*$AH$4*(1-$B17)+AG17)+(AG16*$AH$4*$C$16)</f>
        <v/>
      </c>
      <c r="AI17" s="99">
        <f>(AH17*$AI$4*(1-$B17)+AH17)+(AH16*$AI$4*$C$16)</f>
        <v/>
      </c>
      <c r="AJ17" s="99">
        <f>(AI17*AJ$4*(1-$B17)+AI17)+(AI16*AJ$4*$C$16)+SUMIFS(Investments!$D:$D,Investments!$B:$B,$A17,Investments!$C:$C,"ETH",Investments!$A:$A,AJ$8)</f>
        <v/>
      </c>
      <c r="AK17" s="99">
        <f>(AJ17*AK$4*(1-$B17)+AJ17)+(AJ16*AK$4*$C$16)+SUMIFS(Investments!$D:$D,Investments!$B:$B,$A17,Investments!$C:$C,"ETH",Investments!$A:$A,AK$8)</f>
        <v/>
      </c>
      <c r="AL17" s="99">
        <f>(AK17*AL$4*(1-$B17)+AK17)+(AK16*AL$4*$C$16)+SUMIFS(Investments!$D:$D,Investments!$B:$B,$A17,Investments!$C:$C,"ETH",Investments!$A:$A,AL$8)</f>
        <v/>
      </c>
      <c r="AM17" s="99">
        <f>(AL17*AM$4*(1-$B17)+AL17)+(AL16*AM$4*$C$16)+SUMIFS(Investments!$D:$D,Investments!$B:$B,$A17,Investments!$C:$C,"ETH",Investments!$A:$A,AM$8)</f>
        <v/>
      </c>
      <c r="AN17" s="99">
        <f>(AM17*AN$4*(1-$B17)+AM17)+(AM16*AN$4*$C$16)+SUMIFS(Investments!$D:$D,Investments!$B:$B,$A17,Investments!$C:$C,"ETH",Investments!$A:$A,AN$8)</f>
        <v/>
      </c>
      <c r="AO17" s="99">
        <f>(AN17*AO$4*(1-$B17)+AN17)+(AN16*AO$4*$C$16)+SUMIFS(Investments!$D:$D,Investments!$B:$B,$A17,Investments!$C:$C,"ETH",Investments!$A:$A,AO$8)</f>
        <v/>
      </c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2" t="n"/>
      <c r="BE17" s="32" t="n"/>
      <c r="BF17" s="32" t="n"/>
      <c r="BG17" s="32" t="n"/>
      <c r="BH17" s="32" t="n"/>
      <c r="BI17" s="32" t="n"/>
    </row>
    <row r="18" ht="15.75" customHeight="1" s="252">
      <c r="A18" s="97" t="inlineStr">
        <is>
          <t>Paul Johnson</t>
        </is>
      </c>
      <c r="B18" s="98" t="n">
        <v>0.135</v>
      </c>
      <c r="C18" s="98" t="n">
        <v>0.015</v>
      </c>
      <c r="D18" s="99" t="n">
        <v>0</v>
      </c>
      <c r="E18" s="99">
        <f>D18*$E$4*(1-$B18)+D18</f>
        <v/>
      </c>
      <c r="F18" s="99">
        <f>E18*$F$4*(1-$B18)+E18</f>
        <v/>
      </c>
      <c r="G18" s="99">
        <f>F18*$G$4*(1-$B18)+F18</f>
        <v/>
      </c>
      <c r="H18" s="99">
        <f>(G18*$H$4*(1-$B18)+G18)+(G11*$H$4*$C$16)</f>
        <v/>
      </c>
      <c r="I18" s="99">
        <f>(H18*$I$4*(1-$B18)+H18)+(H11*$I$4*$C$16)</f>
        <v/>
      </c>
      <c r="J18" s="99">
        <f>(I18*$I$4*(1-$B18)+I18)+(I11*$I$4*$C$16)</f>
        <v/>
      </c>
      <c r="K18" s="99">
        <f>J18*$K$4*(1-$B18-$C18)+J18+10.44</f>
        <v/>
      </c>
      <c r="L18" s="99">
        <f>K18*$L$4*(1-$B18-$C18)+K18+4.6327</f>
        <v/>
      </c>
      <c r="M18" s="99">
        <f>L18*$M$4*(1-$B18-$C18)+L18+8.96</f>
        <v/>
      </c>
      <c r="N18" s="99">
        <f>M18*$N$4*(1-$B18-$C18)+M18</f>
        <v/>
      </c>
      <c r="O18" s="99">
        <f>N18*$O$4*(1-$B18-$C18)+N18</f>
        <v/>
      </c>
      <c r="P18" s="99">
        <f>O18*$P$4*(1-$B18-$C18)+O18-12</f>
        <v/>
      </c>
      <c r="Q18" s="99">
        <f>P18*$Q$4*(1-$B18-$C18)+P18</f>
        <v/>
      </c>
      <c r="R18" s="99">
        <f>Q18*$R$4*(1-$B18-$C18)+Q18</f>
        <v/>
      </c>
      <c r="S18" s="99">
        <f>R18*$S$4*(1-$B18-$C18)+R18</f>
        <v/>
      </c>
      <c r="T18" s="99">
        <f>S18*$T$4*(1-$B18-$C18)+S18</f>
        <v/>
      </c>
      <c r="U18" s="99">
        <f>T18*$U$4*(1-$B18-$C18)+T18</f>
        <v/>
      </c>
      <c r="V18" s="99">
        <f>U18*$V$4*(1-$B18-$C18)+U18</f>
        <v/>
      </c>
      <c r="W18" s="99">
        <f>V18*$W$4*(1-$B18-$C18)+V18</f>
        <v/>
      </c>
      <c r="X18" s="99">
        <f>W18*$X$4*(1-$B18-$C18)+W18</f>
        <v/>
      </c>
      <c r="Y18" s="99">
        <f>X18*$Y$4*(1-$B18-$C18)+X18-(X18*$Y$4*(1-$B18-$C18)+X18)</f>
        <v/>
      </c>
      <c r="Z18" s="99">
        <f>Y18*$Z$4*(1-$B18-$C18)+Y18-(Y18*$Z$4*(1-$B18-$C18)+Y18)</f>
        <v/>
      </c>
      <c r="AA18" s="99">
        <f>Z18*$AA$4*(1-$B18-$C18)+Z18</f>
        <v/>
      </c>
      <c r="AB18" s="99">
        <f>AA18*$AB$4*(1-$B18-$C18)+AA18</f>
        <v/>
      </c>
      <c r="AC18" s="99">
        <f>AB18*$AC$4*(1-$B18-$C18)+AB18</f>
        <v/>
      </c>
      <c r="AD18" s="99">
        <f>AC18*$AD$4*(1-$B18-$C18)+AC18</f>
        <v/>
      </c>
      <c r="AE18" s="99">
        <f>AD18*$AE$4*(1-$B18-$C18)+AD18</f>
        <v/>
      </c>
      <c r="AF18" s="99">
        <f>AE18*$AF$4*(1-$B18-$C18)+AE18</f>
        <v/>
      </c>
      <c r="AG18" s="99">
        <f>AF18*$AG$4*(1-$B18-$C18)+AF18</f>
        <v/>
      </c>
      <c r="AH18" s="99">
        <f>AG18*$AH$4*(1-$B18-$C18)+AG18</f>
        <v/>
      </c>
      <c r="AI18" s="99">
        <f>AH18*$AI$4*(1-$B18-$C18)+AH18</f>
        <v/>
      </c>
      <c r="AJ18" s="99">
        <f>AI18*AJ$4*(1-$B18-$C18)+AI18+SUMIFS(Investments!$D:$D,Investments!$B:$B,$A18,Investments!$C:$C,"ETH",Investments!$A:$A,AJ$8)</f>
        <v/>
      </c>
      <c r="AK18" s="99">
        <f>AJ18*AK$4*(1-$B18-$C18)+AJ18+SUMIFS(Investments!$D:$D,Investments!$B:$B,$A18,Investments!$C:$C,"ETH",Investments!$A:$A,AK$8)</f>
        <v/>
      </c>
      <c r="AL18" s="99">
        <f>AK18*AL$4*(1-$B18-$C18)+AK18+SUMIFS(Investments!$D:$D,Investments!$B:$B,$A18,Investments!$C:$C,"ETH",Investments!$A:$A,AL$8)</f>
        <v/>
      </c>
      <c r="AM18" s="99">
        <f>AL18*AM$4*(1-$B18-$C18)+AL18+SUMIFS(Investments!$D:$D,Investments!$B:$B,$A18,Investments!$C:$C,"ETH",Investments!$A:$A,AM$8)</f>
        <v/>
      </c>
      <c r="AN18" s="99">
        <f>AM18*AN$4*(1-$B18-$C18)+AM18+SUMIFS(Investments!$D:$D,Investments!$B:$B,$A18,Investments!$C:$C,"ETH",Investments!$A:$A,AN$8)</f>
        <v/>
      </c>
      <c r="AO18" s="99">
        <f>AN18*AO$4*(1-$B18-$C18)+AN18+SUMIFS(Investments!$D:$D,Investments!$B:$B,$A18,Investments!$C:$C,"ETH",Investments!$A:$A,AO$8)</f>
        <v/>
      </c>
      <c r="AP18" s="32" t="n"/>
      <c r="AQ18" s="32" t="n"/>
      <c r="AR18" s="32" t="n"/>
      <c r="AS18" s="32" t="n"/>
      <c r="AT18" s="32" t="n"/>
      <c r="AU18" s="32" t="n"/>
      <c r="AV18" s="32" t="n"/>
      <c r="AW18" s="32" t="n"/>
      <c r="AX18" s="32" t="n"/>
      <c r="AY18" s="32" t="n"/>
      <c r="AZ18" s="32" t="n"/>
      <c r="BA18" s="32" t="n"/>
      <c r="BB18" s="32" t="n"/>
      <c r="BC18" s="32" t="n"/>
      <c r="BD18" s="32" t="n"/>
      <c r="BE18" s="32" t="n"/>
      <c r="BF18" s="32" t="n"/>
      <c r="BG18" s="32" t="n"/>
      <c r="BH18" s="32" t="n"/>
      <c r="BI18" s="32" t="n"/>
    </row>
    <row r="19" ht="15.75" customHeight="1" s="252">
      <c r="A19" s="97" t="inlineStr">
        <is>
          <t>Alex Jacobs</t>
        </is>
      </c>
      <c r="B19" s="98" t="n">
        <v>0.2</v>
      </c>
      <c r="C19" s="98" t="n"/>
      <c r="D19" s="99" t="n">
        <v>0</v>
      </c>
      <c r="E19" s="99">
        <f>D19*$E$4*(1-$B19)+D19</f>
        <v/>
      </c>
      <c r="F19" s="99">
        <f>E19*$F$4*(1-$B19)+E19</f>
        <v/>
      </c>
      <c r="G19" s="99">
        <f>F19*$G$4*(1-$B19)+F19</f>
        <v/>
      </c>
      <c r="H19" s="99">
        <f>(G19*$H$4*(1-$B19)+G19)+(G18*$H$4*$C$16)</f>
        <v/>
      </c>
      <c r="I19" s="99">
        <f>(H19*$I$4*(1-$B19)+H19)+(H18*$I$4*$C$16)</f>
        <v/>
      </c>
      <c r="J19" s="99">
        <f>(I19*$I$4*(1-$B19)+I19)+(I18*$I$4*$C$16)</f>
        <v/>
      </c>
      <c r="K19" s="99">
        <f>(J19*$K$4*(1-$B19)+J19)+(J18*$K$4*$C$18)</f>
        <v/>
      </c>
      <c r="L19" s="99">
        <f>(K19*$L$4*(1-$B19)+K19)+(K18*$L$4*$C$18)</f>
        <v/>
      </c>
      <c r="M19" s="99">
        <f>(L19*$M$4*(1-$B19)+L19)+(L18*$M$4*$C$18)</f>
        <v/>
      </c>
      <c r="N19" s="99">
        <f>(M19*$N$4*(1-$B19)+M19)+(M18*$N$4*$C$18)</f>
        <v/>
      </c>
      <c r="O19" s="99">
        <f>(N19*$O$4*(1-$B19)+N19)+(N18*$O$4*$C$18)</f>
        <v/>
      </c>
      <c r="P19" s="99">
        <f>(O19*$P$4*(1-$B19)+O19)+(O18*$P$4*$C$18)</f>
        <v/>
      </c>
      <c r="Q19" s="99">
        <f>(P19*$Q$4*(1-$B19)+P19)+(P18*$Q$4*$C$18)</f>
        <v/>
      </c>
      <c r="R19" s="99">
        <f>(Q19*$R$4*(1-$B19)+Q19)+(Q18*$R$4*$C$18)</f>
        <v/>
      </c>
      <c r="S19" s="99">
        <f>(R19*$S$4*(1-$B19)+R19)+(R18*$S$4*$C$18)</f>
        <v/>
      </c>
      <c r="T19" s="99">
        <f>(S19*$T$4*(1-$B19)+S19)+(S18*$T$4*$C$18)</f>
        <v/>
      </c>
      <c r="U19" s="99">
        <f>(T19*$U$4*(1-$B19)+T19)+(T18*$U$4*$C$18)</f>
        <v/>
      </c>
      <c r="V19" s="99">
        <f>(U19*$V$4*(1-$B19)+U19)+(U18*$V$4*$C$18)</f>
        <v/>
      </c>
      <c r="W19" s="99">
        <f>(V19*$W$4*(1-$B19)+V19)+(V18*$W$4*$C$18)</f>
        <v/>
      </c>
      <c r="X19" s="99">
        <f>(W19*$X$4*(1-$B19)+W19)+(W18*$X$4*$C$18)</f>
        <v/>
      </c>
      <c r="Y19" s="99">
        <f>(X19*$Y$4*(1-$B19)+X19)+(X18*$Y$4*$C$18)</f>
        <v/>
      </c>
      <c r="Z19" s="99">
        <f>(Y19*$Z$4*(1-$B19)+Y19)+(Y18*$Z$4*$C$18)</f>
        <v/>
      </c>
      <c r="AA19" s="99">
        <f>(Z19*$AA$4*(1-$B19)+Z19)+(Z18*$AA$4*$C$18)</f>
        <v/>
      </c>
      <c r="AB19" s="99">
        <f>(AA19*$AB$4*(1-$B19)+AA19)+(AA18*$AB$4*$C$18)</f>
        <v/>
      </c>
      <c r="AC19" s="99">
        <f>(AB19*$AC$4*(1-$B19)+AB19)+(AB18*$AC$4*$C$18)</f>
        <v/>
      </c>
      <c r="AD19" s="99">
        <f>(AC19*$AD$4*(1-$B19)+AC19)+(AC18*$AD$4*$C$18)</f>
        <v/>
      </c>
      <c r="AE19" s="99">
        <f>(AD19*$AE$4*(1-$B19)+AD19)+(AD18*$AE$4*$C$18)</f>
        <v/>
      </c>
      <c r="AF19" s="99">
        <f>(AE19*$AF$4*(1-$B19)+AE19)+(AE18*$AF$4*$C$18)</f>
        <v/>
      </c>
      <c r="AG19" s="99">
        <f>(AF19*$AG$4*(1-$B19)+AF19)+(AF18*$AG$4*$C$18)</f>
        <v/>
      </c>
      <c r="AH19" s="99">
        <f>(AG19*$AH$4*(1-$B19)+AG19)+(AG18*$AH$4*$C$18)</f>
        <v/>
      </c>
      <c r="AI19" s="99">
        <f>(AH19*$AI$4*(1-$B19)+AH19)+(AH18*$AI$4*$C$18)</f>
        <v/>
      </c>
      <c r="AJ19" s="99">
        <f>(AI19*AJ$4*(1-$B19)+AI19)+(AI18*AJ$4*$C$18)+SUMIFS(Investments!$D:$D,Investments!$B:$B,$A19,Investments!$C:$C,"ETH",Investments!$A:$A,AJ$8)</f>
        <v/>
      </c>
      <c r="AK19" s="99">
        <f>(AJ19*AK$4*(1-$B19)+AJ19)+(AJ18*AK$4*$C$18)+SUMIFS(Investments!$D:$D,Investments!$B:$B,$A19,Investments!$C:$C,"ETH",Investments!$A:$A,AK$8)</f>
        <v/>
      </c>
      <c r="AL19" s="99">
        <f>(AK19*AL$4*(1-$B19)+AK19)+(AK18*AL$4*$C$18)+SUMIFS(Investments!$D:$D,Investments!$B:$B,$A19,Investments!$C:$C,"ETH",Investments!$A:$A,AL$8)</f>
        <v/>
      </c>
      <c r="AM19" s="99">
        <f>(AL19*AM$4*(1-$B19)+AL19)+(AL18*AM$4*$C$18)+SUMIFS(Investments!$D:$D,Investments!$B:$B,$A19,Investments!$C:$C,"ETH",Investments!$A:$A,AM$8)</f>
        <v/>
      </c>
      <c r="AN19" s="99">
        <f>(AM19*AN$4*(1-$B19)+AM19)+(AM18*AN$4*$C$18)+SUMIFS(Investments!$D:$D,Investments!$B:$B,$A19,Investments!$C:$C,"ETH",Investments!$A:$A,AN$8)</f>
        <v/>
      </c>
      <c r="AO19" s="99">
        <f>(AN19*AO$4*(1-$B19)+AN19)+(AN18*AO$4*$C$18)+SUMIFS(Investments!$D:$D,Investments!$B:$B,$A19,Investments!$C:$C,"ETH",Investments!$A:$A,AO$8)</f>
        <v/>
      </c>
      <c r="AP19" s="32" t="n"/>
      <c r="AQ19" s="32" t="n"/>
      <c r="AR19" s="32" t="n"/>
      <c r="AS19" s="32" t="n"/>
      <c r="AT19" s="32" t="n"/>
      <c r="AU19" s="32" t="n"/>
      <c r="AV19" s="32" t="n"/>
      <c r="AW19" s="32" t="n"/>
      <c r="AX19" s="32" t="n"/>
      <c r="AY19" s="32" t="n"/>
      <c r="AZ19" s="32" t="n"/>
      <c r="BA19" s="32" t="n"/>
      <c r="BB19" s="32" t="n"/>
      <c r="BC19" s="32" t="n"/>
      <c r="BD19" s="32" t="n"/>
      <c r="BE19" s="32" t="n"/>
      <c r="BF19" s="32" t="n"/>
      <c r="BG19" s="32" t="n"/>
      <c r="BH19" s="32" t="n"/>
      <c r="BI19" s="32" t="n"/>
    </row>
    <row r="20" ht="15.75" customHeight="1" s="252">
      <c r="A20" s="97" t="inlineStr">
        <is>
          <t>Tomer Zur</t>
        </is>
      </c>
      <c r="B20" s="98" t="n">
        <v>0.2</v>
      </c>
      <c r="C20" s="98" t="n"/>
      <c r="D20" s="99" t="n">
        <v>0</v>
      </c>
      <c r="E20" s="99">
        <f>D20*$E$4*(1-$B20)+D20</f>
        <v/>
      </c>
      <c r="F20" s="99">
        <f>E20*$F$4*(1-$B20)+E20</f>
        <v/>
      </c>
      <c r="G20" s="99">
        <f>F20*$G$4*(1-$B20)+F20</f>
        <v/>
      </c>
      <c r="H20" s="99">
        <f>G20*$H$4*(1-$B20)+G20</f>
        <v/>
      </c>
      <c r="I20" s="99">
        <f>H20*$I$4*(1-$B20)+H20</f>
        <v/>
      </c>
      <c r="J20" s="99">
        <f>I20*$J$4*(1-$B20)+I20</f>
        <v/>
      </c>
      <c r="K20" s="99">
        <f>J20*$K$4*(1-$B20)+J20</f>
        <v/>
      </c>
      <c r="L20" s="99">
        <f>K20*$L$4*(1-$B20)+K20</f>
        <v/>
      </c>
      <c r="M20" s="99">
        <f>L20*$M$4*(1-$B20)+L20</f>
        <v/>
      </c>
      <c r="N20" s="99">
        <f>M20*$N$4*(1-$B20)+M20+63.1</f>
        <v/>
      </c>
      <c r="O20" s="99">
        <f>N20*$O$4*(1-$B20)+N20</f>
        <v/>
      </c>
      <c r="P20" s="99">
        <f>O20*$P$4*(1-$B20)+O20</f>
        <v/>
      </c>
      <c r="Q20" s="99">
        <f>P20*$Q$4*(1-$B20)+P20+10.051</f>
        <v/>
      </c>
      <c r="R20" s="99">
        <f>Q20*$R$4*(1-$B20)+Q20+64.27</f>
        <v/>
      </c>
      <c r="S20" s="99">
        <f>R20*$S$4*(1-$B20)+R20</f>
        <v/>
      </c>
      <c r="T20" s="99">
        <f>S20*$T$4*(1-$B20)+S20+6.5417</f>
        <v/>
      </c>
      <c r="U20" s="99">
        <f>T20*$U$4*(1-$B20)+T20+6.4</f>
        <v/>
      </c>
      <c r="V20" s="99">
        <f>U20*$V$4*(1-$B20)+U20</f>
        <v/>
      </c>
      <c r="W20" s="99">
        <f>V20*$W$4*(1-$B20)+V20</f>
        <v/>
      </c>
      <c r="X20" s="99">
        <f>W20*$X$4*(1-$B20)+W20+6.9519</f>
        <v/>
      </c>
      <c r="Y20" s="99">
        <f>X20*$Y$4*(1-$B20)+X20+7.6215</f>
        <v/>
      </c>
      <c r="Z20" s="99">
        <f>Y20*$Z$4*(1-$B20)+Y20+10.224</f>
        <v/>
      </c>
      <c r="AA20" s="99">
        <f>Z20*$AA$4*(1-$B20)+Z20+6.234</f>
        <v/>
      </c>
      <c r="AB20" s="99">
        <f>AA20*$AB$4*(1-$B20)+AA20</f>
        <v/>
      </c>
      <c r="AC20" s="99">
        <f>AB20*$AC$4*(1-$B20)+AB20</f>
        <v/>
      </c>
      <c r="AD20" s="99">
        <f>AC20*$AD$4*(1-$B20)+AC20+9.143</f>
        <v/>
      </c>
      <c r="AE20" s="99">
        <f>AD20*$AE$4*(1-$B20)+AD20</f>
        <v/>
      </c>
      <c r="AF20" s="99">
        <f>AE20*$AF$4*(1-$B20)+AE20</f>
        <v/>
      </c>
      <c r="AG20" s="99">
        <f>AF20*$AG$4*(1-$B20)+AF20</f>
        <v/>
      </c>
      <c r="AH20" s="99">
        <f>AG20*$AH$4*(1-$B20)+AG20</f>
        <v/>
      </c>
      <c r="AI20" s="99">
        <f>AH20*$AI$4*(1-$B20)+AH20</f>
        <v/>
      </c>
      <c r="AJ20" s="99">
        <f>AI20*AJ$4*(1-$B20)+AI20+SUMIFS(Investments!$D:$D,Investments!$B:$B,$A20,Investments!$C:$C,"ETH",Investments!$A:$A,AJ$8)</f>
        <v/>
      </c>
      <c r="AK20" s="99">
        <f>AJ20*AK$4*(1-$B20)+AJ20+SUMIFS(Investments!$D:$D,Investments!$B:$B,$A20,Investments!$C:$C,"ETH",Investments!$A:$A,AK$8)</f>
        <v/>
      </c>
      <c r="AL20" s="99">
        <f>AK20*AL$4*(1-$B20)+AK20+SUMIFS(Investments!$D:$D,Investments!$B:$B,$A20,Investments!$C:$C,"ETH",Investments!$A:$A,AL$8)</f>
        <v/>
      </c>
      <c r="AM20" s="99">
        <f>AL20*AM$4*(1-$B20)+AL20+SUMIFS(Investments!$D:$D,Investments!$B:$B,$A20,Investments!$C:$C,"ETH",Investments!$A:$A,AM$8)</f>
        <v/>
      </c>
      <c r="AN20" s="99">
        <f>AM20*AN$4*(1-$B20)+AM20+SUMIFS(Investments!$D:$D,Investments!$B:$B,$A20,Investments!$C:$C,"ETH",Investments!$A:$A,AN$8)</f>
        <v/>
      </c>
      <c r="AO20" s="99">
        <f>AN20*AO$4*(1-$B20)+AN20+SUMIFS(Investments!$D:$D,Investments!$B:$B,$A20,Investments!$C:$C,"ETH",Investments!$A:$A,AO$8)</f>
        <v/>
      </c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  <c r="BA20" s="32" t="n"/>
      <c r="BB20" s="32" t="n"/>
      <c r="BC20" s="32" t="n"/>
      <c r="BD20" s="32" t="n"/>
      <c r="BE20" s="32" t="n"/>
      <c r="BF20" s="32" t="n"/>
      <c r="BG20" s="32" t="n"/>
      <c r="BH20" s="32" t="n"/>
      <c r="BI20" s="32" t="n"/>
    </row>
    <row r="21" ht="15.75" customHeight="1" s="252">
      <c r="A21" s="97" t="inlineStr">
        <is>
          <t>Sam Johnson</t>
        </is>
      </c>
      <c r="B21" s="98" t="n">
        <v>0.16</v>
      </c>
      <c r="C21" s="98" t="n">
        <v>0.04</v>
      </c>
      <c r="D21" s="99" t="n">
        <v>0</v>
      </c>
      <c r="E21" s="99">
        <f>D21*$E$4*(1-$B21)+D21</f>
        <v/>
      </c>
      <c r="F21" s="99">
        <f>E21*$F$4*(1-$B21)+E21</f>
        <v/>
      </c>
      <c r="G21" s="99">
        <f>F21*$G$4*(1-$B21)+F21</f>
        <v/>
      </c>
      <c r="H21" s="99">
        <f>G21*$H$4*(1-$B21)+G21</f>
        <v/>
      </c>
      <c r="I21" s="99">
        <f>H21*$I$4*(1-$B21)+H21</f>
        <v/>
      </c>
      <c r="J21" s="99">
        <f>I21*$J$4*(1-$B21)+I21</f>
        <v/>
      </c>
      <c r="K21" s="99">
        <f>J21*$K$4*(1-$B21)+J21</f>
        <v/>
      </c>
      <c r="L21" s="99">
        <f>K21*$L$4*(1-$B21)+K21</f>
        <v/>
      </c>
      <c r="M21" s="99">
        <f>L21*$M$4*(1-$B21)+L21</f>
        <v/>
      </c>
      <c r="N21" s="99">
        <f>M21*$N$4*(1-$B21)+M21</f>
        <v/>
      </c>
      <c r="O21" s="99">
        <f>N21*$O$4*(1-$B21)+N21</f>
        <v/>
      </c>
      <c r="P21" s="99">
        <f>O21*$P$4*(1-$B21)+O21</f>
        <v/>
      </c>
      <c r="Q21" s="99">
        <f>P21*$Q$4*(1-$B21)+P21</f>
        <v/>
      </c>
      <c r="R21" s="99">
        <f>Q21*$R$4*(1-$B21)+Q21</f>
        <v/>
      </c>
      <c r="S21" s="99">
        <f>R21*$S$4*(1-$B21)+R21</f>
        <v/>
      </c>
      <c r="T21" s="99">
        <f>S21*$T$4*(1-$B21)+S21</f>
        <v/>
      </c>
      <c r="U21" s="99">
        <f>T21*$U$4*(1-$B21)+T21</f>
        <v/>
      </c>
      <c r="V21" s="99">
        <f>U21*$V$4*(1-$B21)+U21</f>
        <v/>
      </c>
      <c r="W21" s="99">
        <f>V21*$W$4*(1-$B21)+V21</f>
        <v/>
      </c>
      <c r="X21" s="99">
        <f>W21*$X$4*(1-$B21)+W21</f>
        <v/>
      </c>
      <c r="Y21" s="99">
        <f>X21*$Y$4*(1-$B21)+X21</f>
        <v/>
      </c>
      <c r="Z21" s="99">
        <f>Y21*$Z$4*(1-$B21)+Y21</f>
        <v/>
      </c>
      <c r="AA21" s="99">
        <f>Z21*$AA$4*(1-$B21-$C21)+Z21+78</f>
        <v/>
      </c>
      <c r="AB21" s="99">
        <f>AA21*$AB$4*(1-$B21-$C21)+AA21+35</f>
        <v/>
      </c>
      <c r="AC21" s="99">
        <f>AB21*$AC$4*(1-$B21-$C21)+AB21+33</f>
        <v/>
      </c>
      <c r="AD21" s="99">
        <f>AC21*$AD$4*(1-$B21-$C21)+AC21</f>
        <v/>
      </c>
      <c r="AE21" s="99">
        <f>AD21*$AE$4*(1-$B21-$C21)+AD21</f>
        <v/>
      </c>
      <c r="AF21" s="99">
        <f>AE21*$AF$4*(1-$B21-$C21)+AE21+34</f>
        <v/>
      </c>
      <c r="AG21" s="99">
        <f>AF21*$AG$4*(1-$B21-$C21)+AF21+32.5</f>
        <v/>
      </c>
      <c r="AH21" s="99">
        <f>AG21*$AH$4*(1-$B21-$C21)+AG21</f>
        <v/>
      </c>
      <c r="AI21" s="99">
        <f>AH21*$AI$4*(1-$B21-$C21)+AH21-(AH21*$AI$4*(1-$B21-$C21)+AH21)</f>
        <v/>
      </c>
      <c r="AJ21" s="99">
        <f>AI21*AJ$4*(1-$B21-$C21)+AI21+SUMIFS(Investments!$D:$D,Investments!$B:$B,$A21,Investments!$C:$C,"ETH",Investments!$A:$A,AJ$8)</f>
        <v/>
      </c>
      <c r="AK21" s="99">
        <f>AJ21*AK$4*(1-$B21-$C21)+AJ21+SUMIFS(Investments!$D:$D,Investments!$B:$B,$A21,Investments!$C:$C,"ETH",Investments!$A:$A,AK$8)</f>
        <v/>
      </c>
      <c r="AL21" s="99">
        <f>AK21*AL$4*(1-$B21-$C21)+AK21+SUMIFS(Investments!$D:$D,Investments!$B:$B,$A21,Investments!$C:$C,"ETH",Investments!$A:$A,AL$8)</f>
        <v/>
      </c>
      <c r="AM21" s="99">
        <f>AL21*AM$4*(1-$B21-$C21)+AL21+SUMIFS(Investments!$D:$D,Investments!$B:$B,$A21,Investments!$C:$C,"ETH",Investments!$A:$A,AM$8)</f>
        <v/>
      </c>
      <c r="AN21" s="99">
        <f>AM21*AN$4*(1-$B21-$C21)+AM21+SUMIFS(Investments!$D:$D,Investments!$B:$B,$A21,Investments!$C:$C,"ETH",Investments!$A:$A,AN$8)</f>
        <v/>
      </c>
      <c r="AO21" s="99">
        <f>AN21*AO$4*(1-$B21-$C21)+AN21+SUMIFS(Investments!$D:$D,Investments!$B:$B,$A21,Investments!$C:$C,"ETH",Investments!$A:$A,AO$8)</f>
        <v/>
      </c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  <c r="BA21" s="32" t="n"/>
      <c r="BB21" s="32" t="n"/>
      <c r="BC21" s="32" t="n"/>
      <c r="BD21" s="32" t="n"/>
      <c r="BE21" s="32" t="n"/>
      <c r="BF21" s="32" t="n"/>
      <c r="BG21" s="32" t="n"/>
      <c r="BH21" s="32" t="n"/>
      <c r="BI21" s="32" t="n"/>
    </row>
    <row r="22" ht="15.75" customHeight="1" s="252">
      <c r="A22" s="97" t="inlineStr">
        <is>
          <t>Ryan Van Der Wall</t>
        </is>
      </c>
      <c r="B22" s="98" t="n">
        <v>0.2</v>
      </c>
      <c r="C22" s="81" t="n"/>
      <c r="D22" s="99" t="n">
        <v>0</v>
      </c>
      <c r="E22" s="99">
        <f>D22*$E$4*(1-$B22)+D22</f>
        <v/>
      </c>
      <c r="F22" s="99">
        <f>E22*$F$4*(1-$B22)+E22</f>
        <v/>
      </c>
      <c r="G22" s="99">
        <f>F22*$G$4*(1-$B22)+F22</f>
        <v/>
      </c>
      <c r="H22" s="99">
        <f>(G22*$H$4*(1-$B22)+G22)+(G21*$H$4*$C$16)</f>
        <v/>
      </c>
      <c r="I22" s="99">
        <f>(H22*$I$4*(1-$B22)+H22)+(H21*$I$4*$C$16)</f>
        <v/>
      </c>
      <c r="J22" s="99">
        <f>(I22*$I$4*(1-$B22)+I22)+(I21*$I$4*$C$16)</f>
        <v/>
      </c>
      <c r="K22" s="99">
        <f>(J22*$K$4*(1-$B22)+J22)+(J21*$K$4*$C$21)</f>
        <v/>
      </c>
      <c r="L22" s="99">
        <f>(K22*$L$4*(1-$B22)+K22)+(K21*$L$4*$C$21)</f>
        <v/>
      </c>
      <c r="M22" s="99">
        <f>(L22*$M$4*(1-$B22)+L22)+(L21*$M$4*$C$21)</f>
        <v/>
      </c>
      <c r="N22" s="99">
        <f>(M22*$N$4*(1-$B22)+M22)+(M21*$N$4*$C$21)</f>
        <v/>
      </c>
      <c r="O22" s="99">
        <f>(N22*$O$4*(1-$B22)+N22)+(N21*$O$4*$C$21)</f>
        <v/>
      </c>
      <c r="P22" s="99">
        <f>(O22*$P$4*(1-$B22)+O22)+(O21*$P$4*$C$21)</f>
        <v/>
      </c>
      <c r="Q22" s="99">
        <f>(P22*$Q$4*(1-$B22)+P22)+(P21*$Q$4*$C$21)</f>
        <v/>
      </c>
      <c r="R22" s="99">
        <f>(Q22*$R$4*(1-$B22)+Q22)+(Q21*$R$4*$C$21)</f>
        <v/>
      </c>
      <c r="S22" s="99">
        <f>(R22*$S$4*(1-$B22)+R22)+(R21*$S$4*$C$21)</f>
        <v/>
      </c>
      <c r="T22" s="99">
        <f>(S22*$T$4*(1-$B22)+S22)+(S21*$T$4*$C$21)</f>
        <v/>
      </c>
      <c r="U22" s="99">
        <f>(T22*$U$4*(1-$B22)+T22)+(T21*$U$4*$C$21)</f>
        <v/>
      </c>
      <c r="V22" s="99">
        <f>(U22*$V$4*(1-$B22)+U22)+(U21*$V$4*$C$21)</f>
        <v/>
      </c>
      <c r="W22" s="99">
        <f>(V22*$W$4*(1-$B22)+V22)+(V21*$W$4*$C$21)</f>
        <v/>
      </c>
      <c r="X22" s="99">
        <f>(W22*$X$4*(1-$B22)+W22)+(W21*$X$4*$C$21)</f>
        <v/>
      </c>
      <c r="Y22" s="99">
        <f>(X22*$Y$4*(1-$B22)+X22)+(X21*$Y$4*$C$21)</f>
        <v/>
      </c>
      <c r="Z22" s="99">
        <f>(Y22*$Z$4*(1-$B22)+Y22)+(Y21*$Z$4*$C$21)</f>
        <v/>
      </c>
      <c r="AA22" s="99">
        <f>(Z22*$AA$4*(1-$B22)+Z22)+(Z21*$AA$4*$C$21)</f>
        <v/>
      </c>
      <c r="AB22" s="99">
        <f>(AA22*$AB$4*(1-$B22)+AA22)+(AA21*$AB$4*$C$21)</f>
        <v/>
      </c>
      <c r="AC22" s="99">
        <f>(AB22*$AC$4*(1-$B22)+AB22)+(AB21*$AC$4*$C$21)</f>
        <v/>
      </c>
      <c r="AD22" s="99">
        <f>(AC22*$AD$4*(1-$B22)+AC22)+(AC21*$AD$4*$C$21)</f>
        <v/>
      </c>
      <c r="AE22" s="99">
        <f>(AD22*$AE$4*(1-$B22)+AD22)+(AD21*$AE$4*$C$21)</f>
        <v/>
      </c>
      <c r="AF22" s="99">
        <f>(AE22*$AF$4*(1-$B22)+AE22)+(AE21*$AF$4*$C$21)</f>
        <v/>
      </c>
      <c r="AG22" s="99">
        <f>(AF22*$AG$4*(1-$B22)+AF22)+(AF21*$AG$4*$C$21)</f>
        <v/>
      </c>
      <c r="AH22" s="99">
        <f>(AG22*$AH$4*(1-$B22)+AG22)+(AG21*$AH$4*$C$21)</f>
        <v/>
      </c>
      <c r="AI22" s="99">
        <f>(AH22*$AI$4*(1-$B22)+AH22)+(AH21*$AI$4*$C$21)</f>
        <v/>
      </c>
      <c r="AJ22" s="99">
        <f>(AI22*AJ$4*(1-$B22)+AI22)+(AI21*AJ$4*$C$21)+SUMIFS(Investments!$D:$D,Investments!$B:$B,$A22,Investments!$C:$C,"ETH",Investments!$A:$A,AJ$8)</f>
        <v/>
      </c>
      <c r="AK22" s="99">
        <f>(AJ22*AK$4*(1-$B22)+AJ22)+(AJ21*AK$4*$C$21)+SUMIFS(Investments!$D:$D,Investments!$B:$B,$A22,Investments!$C:$C,"ETH",Investments!$A:$A,AK$8)</f>
        <v/>
      </c>
      <c r="AL22" s="99">
        <f>(AK22*AL$4*(1-$B22)+AK22)+(AK21*AL$4*$C$21)+SUMIFS(Investments!$D:$D,Investments!$B:$B,$A22,Investments!$C:$C,"ETH",Investments!$A:$A,AL$8)</f>
        <v/>
      </c>
      <c r="AM22" s="99">
        <f>(AL22*AM$4*(1-$B22)+AL22)+(AL21*AM$4*$C$21)+SUMIFS(Investments!$D:$D,Investments!$B:$B,$A22,Investments!$C:$C,"ETH",Investments!$A:$A,AM$8)</f>
        <v/>
      </c>
      <c r="AN22" s="99">
        <f>(AM22*AN$4*(1-$B22)+AM22)+(AM21*AN$4*$C$21)+SUMIFS(Investments!$D:$D,Investments!$B:$B,$A22,Investments!$C:$C,"ETH",Investments!$A:$A,AN$8)</f>
        <v/>
      </c>
      <c r="AO22" s="99">
        <f>(AN22*AO$4*(1-$B22)+AN22)+(AN21*AO$4*$C$21)+SUMIFS(Investments!$D:$D,Investments!$B:$B,$A22,Investments!$C:$C,"ETH",Investments!$A:$A,AO$8)</f>
        <v/>
      </c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</row>
    <row r="23" ht="15.75" customHeight="1" s="252">
      <c r="A23" s="97" t="inlineStr">
        <is>
          <t>Brandon Hood</t>
        </is>
      </c>
      <c r="B23" s="98" t="n">
        <v>0.2</v>
      </c>
      <c r="C23" s="81" t="n"/>
      <c r="D23" s="99" t="n">
        <v>0</v>
      </c>
      <c r="E23" s="99">
        <f>D23*$E$4*(1-$B23)+D23</f>
        <v/>
      </c>
      <c r="F23" s="99">
        <f>E23*$F$4*(1-$B23)+E23</f>
        <v/>
      </c>
      <c r="G23" s="99">
        <f>F23*$G$4*(1-$B23)+F23</f>
        <v/>
      </c>
      <c r="H23" s="99">
        <f>G23*$H$4*(1-$B23)+G23</f>
        <v/>
      </c>
      <c r="I23" s="99">
        <f>H23*$I$4*(1-$B23)+H23</f>
        <v/>
      </c>
      <c r="J23" s="99">
        <f>I23*$J$4*(1-$B23)+I23</f>
        <v/>
      </c>
      <c r="K23" s="99">
        <f>J23*$K$4*(1-$B23)+J23</f>
        <v/>
      </c>
      <c r="L23" s="99">
        <f>K23*$L$4*(1-$B23)+K23</f>
        <v/>
      </c>
      <c r="M23" s="99">
        <f>L23*$M$4*(1-$B23)+L23</f>
        <v/>
      </c>
      <c r="N23" s="99">
        <f>M23*$N$4*(1-$B23)+M23</f>
        <v/>
      </c>
      <c r="O23" s="99">
        <f>N23*$O$4*(1-$B23)+N23</f>
        <v/>
      </c>
      <c r="P23" s="99">
        <f>O23*$P$4*(1-$B23)+O23</f>
        <v/>
      </c>
      <c r="Q23" s="99">
        <f>P23*$Q$4*(1-$B23)+P23</f>
        <v/>
      </c>
      <c r="R23" s="99">
        <f>Q23*$R$4*(1-$B23)+Q23</f>
        <v/>
      </c>
      <c r="S23" s="99">
        <f>R23*$S$4*(1-$B23)+R23</f>
        <v/>
      </c>
      <c r="T23" s="99">
        <f>S23*$T$4*(1-$B23)+S23</f>
        <v/>
      </c>
      <c r="U23" s="99">
        <f>T23*$U$4*(1-$B23)+T23</f>
        <v/>
      </c>
      <c r="V23" s="99">
        <f>U23*$V$4*(1-$B23)+U23</f>
        <v/>
      </c>
      <c r="W23" s="99">
        <f>V23*$W$4*(1-$B23)+V23</f>
        <v/>
      </c>
      <c r="X23" s="99">
        <f>W23*$X$4*(1-$B23)+W23</f>
        <v/>
      </c>
      <c r="Y23" s="99">
        <f>X23*$Y$4*(1-$B23)+X23</f>
        <v/>
      </c>
      <c r="Z23" s="99">
        <f>Y23*$Z$4*(1-$B23)+Y23</f>
        <v/>
      </c>
      <c r="AA23" s="99">
        <f>Z23*$AA$4*(1-$B23)+Z23</f>
        <v/>
      </c>
      <c r="AB23" s="99">
        <f>AA23*$AB$4*(1-$B23)+AA23</f>
        <v/>
      </c>
      <c r="AC23" s="99">
        <f>AB23*$AC$4*(1-$B23)+AB23</f>
        <v/>
      </c>
      <c r="AD23" s="99">
        <f>AC23*$AD$4*(1-$B23)+AC23</f>
        <v/>
      </c>
      <c r="AE23" s="99">
        <f>AD23*$AE$4*(1-$B23)+AD23+31.37</f>
        <v/>
      </c>
      <c r="AF23" s="99">
        <f>AE23*$AF$4*(1-$B23)+AE23</f>
        <v/>
      </c>
      <c r="AG23" s="99">
        <f>AF23*$AG$4*(1-$B23)+AF23</f>
        <v/>
      </c>
      <c r="AH23" s="99">
        <f>AG23*$AH$4*(1-$B23)+AG23</f>
        <v/>
      </c>
      <c r="AI23" s="99">
        <f>AH23*$AI$4*(1-$B23)+AH23</f>
        <v/>
      </c>
      <c r="AJ23" s="99">
        <f>AI23*AJ$4*(1-$B23)+AI23+SUMIFS(Investments!$D:$D,Investments!$B:$B,$A23,Investments!$C:$C,"ETH",Investments!$A:$A,AJ$8)</f>
        <v/>
      </c>
      <c r="AK23" s="99">
        <f>AJ23*AK$4*(1-$B23)+AJ23+SUMIFS(Investments!$D:$D,Investments!$B:$B,$A23,Investments!$C:$C,"ETH",Investments!$A:$A,AK$8)</f>
        <v/>
      </c>
      <c r="AL23" s="99">
        <f>AK23*AL$4*(1-$B23)+AK23+SUMIFS(Investments!$D:$D,Investments!$B:$B,$A23,Investments!$C:$C,"ETH",Investments!$A:$A,AL$8)</f>
        <v/>
      </c>
      <c r="AM23" s="99">
        <f>AL23*AM$4*(1-$B23)+AL23+SUMIFS(Investments!$D:$D,Investments!$B:$B,$A23,Investments!$C:$C,"ETH",Investments!$A:$A,AM$8)</f>
        <v/>
      </c>
      <c r="AN23" s="99">
        <f>AM23*AN$4*(1-$B23)+AM23+SUMIFS(Investments!$D:$D,Investments!$B:$B,$A23,Investments!$C:$C,"ETH",Investments!$A:$A,AN$8)</f>
        <v/>
      </c>
      <c r="AO23" s="99">
        <f>AN23*AO$4*(1-$B23)+AN23+SUMIFS(Investments!$D:$D,Investments!$B:$B,$A23,Investments!$C:$C,"ETH",Investments!$A:$A,AO$8)</f>
        <v/>
      </c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</row>
    <row r="24" ht="15.75" customHeight="1" s="252">
      <c r="A24" s="97" t="inlineStr">
        <is>
          <t>NSVO Holdings</t>
        </is>
      </c>
      <c r="B24" s="98" t="n">
        <v>0.2</v>
      </c>
      <c r="C24" s="81" t="n"/>
      <c r="D24" s="99" t="n">
        <v>0</v>
      </c>
      <c r="E24" s="99">
        <f>D24*$E$4*(1-$B24)+D24</f>
        <v/>
      </c>
      <c r="F24" s="99">
        <f>E24*$F$4*(1-$B24)+E24</f>
        <v/>
      </c>
      <c r="G24" s="99">
        <f>F24*$G$4*(1-$B24)+F24</f>
        <v/>
      </c>
      <c r="H24" s="99">
        <f>G24*$H$4*(1-$B24)+G24</f>
        <v/>
      </c>
      <c r="I24" s="99">
        <f>H24*$I$4*(1-$B24)+H24</f>
        <v/>
      </c>
      <c r="J24" s="99">
        <f>I24*$J$4*(1-$B24)+I24</f>
        <v/>
      </c>
      <c r="K24" s="99">
        <f>J24*$K$4*(1-$B24)+J24</f>
        <v/>
      </c>
      <c r="L24" s="99">
        <f>K24*$L$4*(1-$B24)+K24</f>
        <v/>
      </c>
      <c r="M24" s="99">
        <f>L24*$M$4*(1-$B24)+L24</f>
        <v/>
      </c>
      <c r="N24" s="99">
        <f>M24*$N$4*(1-$B24)+M24</f>
        <v/>
      </c>
      <c r="O24" s="99">
        <f>N24*$O$4*(1-$B24)+N24</f>
        <v/>
      </c>
      <c r="P24" s="99">
        <f>O24*$P$4*(1-$B24)+O24</f>
        <v/>
      </c>
      <c r="Q24" s="99">
        <f>P24*$Q$4*(1-$B24)+P24</f>
        <v/>
      </c>
      <c r="R24" s="99">
        <f>Q24*$R$4*(1-$B24)+Q24</f>
        <v/>
      </c>
      <c r="S24" s="99">
        <f>R24*$S$4*(1-$B24)+R24</f>
        <v/>
      </c>
      <c r="T24" s="99">
        <f>S24*$T$4*(1-$B24)+S24</f>
        <v/>
      </c>
      <c r="U24" s="99">
        <f>T24*$U$4*(1-$B24)+T24</f>
        <v/>
      </c>
      <c r="V24" s="99">
        <f>U24*$V$4*(1-$B24)+U24</f>
        <v/>
      </c>
      <c r="W24" s="99">
        <f>V24*$W$4*(1-$B24)+V24</f>
        <v/>
      </c>
      <c r="X24" s="99">
        <f>W24*$X$4*(1-$B24)+W24</f>
        <v/>
      </c>
      <c r="Y24" s="99">
        <f>X24*$Y$4*(1-$B24)+X24</f>
        <v/>
      </c>
      <c r="Z24" s="99">
        <f>Y24*$Z$4*(1-$B24)+Y24</f>
        <v/>
      </c>
      <c r="AA24" s="99">
        <f>Z24*$AA$4*(1-$B24)+Z24</f>
        <v/>
      </c>
      <c r="AB24" s="99">
        <f>AA24*$AB$4*(1-$B24)+AA24</f>
        <v/>
      </c>
      <c r="AC24" s="99">
        <f>AB24*$AC$4*(1-$B24)+AB24</f>
        <v/>
      </c>
      <c r="AD24" s="99">
        <f>AC24*$AD$4*(1-$B24)+AC24</f>
        <v/>
      </c>
      <c r="AE24" s="99">
        <f>AD24*$AE$4*(1-$B24)+AD24</f>
        <v/>
      </c>
      <c r="AF24" s="99">
        <f>AE24*$AF$4*(1-$B24)+AE24</f>
        <v/>
      </c>
      <c r="AG24" s="99">
        <f>AF24*$AG$4*(1-$B24)+AF24</f>
        <v/>
      </c>
      <c r="AH24" s="99">
        <f>AG24*$AH$4*(1-$B24)+AG24</f>
        <v/>
      </c>
      <c r="AI24" s="99">
        <f>AH24*$AI$4*(1-$B24)+AH24</f>
        <v/>
      </c>
      <c r="AJ24" s="99">
        <f>AI24*AJ$4*(1-$B24)+AI24+SUMIFS(Investments!$D:$D,Investments!$B:$B,$A24,Investments!$C:$C,"ETH",Investments!$A:$A,AJ$8)</f>
        <v/>
      </c>
      <c r="AK24" s="99">
        <f>AJ24*AK$4*(1-$B24)+AJ24+SUMIFS(Investments!$D:$D,Investments!$B:$B,$A24,Investments!$C:$C,"ETH",Investments!$A:$A,AK$8)</f>
        <v/>
      </c>
      <c r="AL24" s="99">
        <f>AK24*AL$4*(1-$B24)+AK24+SUMIFS(Investments!$D:$D,Investments!$B:$B,$A24,Investments!$C:$C,"ETH",Investments!$A:$A,AL$8)</f>
        <v/>
      </c>
      <c r="AM24" s="99">
        <f>AL24*AM$4*(1-$B24)+AL24+SUMIFS(Investments!$D:$D,Investments!$B:$B,$A24,Investments!$C:$C,"ETH",Investments!$A:$A,AM$8)</f>
        <v/>
      </c>
      <c r="AN24" s="99">
        <f>AM24*AN$4*(1-$B24)+AM24+SUMIFS(Investments!$D:$D,Investments!$B:$B,$A24,Investments!$C:$C,"ETH",Investments!$A:$A,AN$8)</f>
        <v/>
      </c>
      <c r="AO24" s="99">
        <f>AN24*AO$4*(1-$B24)+AN24+SUMIFS(Investments!$D:$D,Investments!$B:$B,$A24,Investments!$C:$C,"ETH",Investments!$A:$A,AO$8)</f>
        <v/>
      </c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  <c r="BA24" s="32" t="n"/>
      <c r="BB24" s="32" t="n"/>
      <c r="BC24" s="32" t="n"/>
      <c r="BD24" s="32" t="n"/>
      <c r="BE24" s="32" t="n"/>
      <c r="BF24" s="32" t="n"/>
      <c r="BG24" s="32" t="n"/>
      <c r="BH24" s="32" t="n"/>
      <c r="BI24" s="32" t="n"/>
    </row>
    <row r="25" ht="15.75" customHeight="1" s="252">
      <c r="A25" s="100" t="inlineStr">
        <is>
          <t>ALOK PAVAN BATRA</t>
        </is>
      </c>
      <c r="B25" s="98" t="n">
        <v>0.2</v>
      </c>
      <c r="C25" s="81" t="n"/>
      <c r="D25" s="99" t="n">
        <v>0</v>
      </c>
      <c r="E25" s="99">
        <f>D25*$E$4*(1-$B25)+D25</f>
        <v/>
      </c>
      <c r="F25" s="99">
        <f>E25*$F$4*(1-$B25)+E25</f>
        <v/>
      </c>
      <c r="G25" s="99">
        <f>F25*$G$4*(1-$B25)+F25</f>
        <v/>
      </c>
      <c r="H25" s="99">
        <f>G25*$H$4*(1-$B25)+G25</f>
        <v/>
      </c>
      <c r="I25" s="99">
        <f>H25*$I$4*(1-$B25)+H25</f>
        <v/>
      </c>
      <c r="J25" s="99">
        <f>I25*$J$4*(1-$B25)+I25</f>
        <v/>
      </c>
      <c r="K25" s="99">
        <f>J25*$K$4*(1-$B25)+J25</f>
        <v/>
      </c>
      <c r="L25" s="99">
        <f>K25*$L$4*(1-$B25)+K25</f>
        <v/>
      </c>
      <c r="M25" s="99">
        <f>L25*$M$4*(1-$B25)+L25</f>
        <v/>
      </c>
      <c r="N25" s="99">
        <f>M25*$N$4*(1-$B25)+M25</f>
        <v/>
      </c>
      <c r="O25" s="99">
        <f>N25*$O$4*(1-$B25)+N25</f>
        <v/>
      </c>
      <c r="P25" s="99">
        <f>O25*$P$4*(1-$B25)+O25</f>
        <v/>
      </c>
      <c r="Q25" s="99">
        <f>P25*$Q$4*(1-$B25)+P25</f>
        <v/>
      </c>
      <c r="R25" s="99">
        <f>Q25*$R$4*(1-$B25)+Q25</f>
        <v/>
      </c>
      <c r="S25" s="99">
        <f>R25*$S$4*(1-$B25)+R25</f>
        <v/>
      </c>
      <c r="T25" s="99">
        <f>S25*$T$4*(1-$B25)+S25</f>
        <v/>
      </c>
      <c r="U25" s="99">
        <f>T25*$U$4*(1-$B25)+T25</f>
        <v/>
      </c>
      <c r="V25" s="99">
        <f>U25*$V$4*(1-$B25)+U25</f>
        <v/>
      </c>
      <c r="W25" s="99">
        <f>V25*$W$4*(1-$B25)+V25</f>
        <v/>
      </c>
      <c r="X25" s="99">
        <f>W25*$X$4*(1-$B25)+W25</f>
        <v/>
      </c>
      <c r="Y25" s="99">
        <f>X25*$Y$4*(1-$B25)+X25</f>
        <v/>
      </c>
      <c r="Z25" s="99">
        <f>Y25*$Z$4*(1-$B25)+Y25</f>
        <v/>
      </c>
      <c r="AA25" s="99">
        <f>Z25*$AA$4*(1-$B25)+Z25</f>
        <v/>
      </c>
      <c r="AB25" s="99">
        <f>AA25*$AB$4*(1-$B25)+AA25</f>
        <v/>
      </c>
      <c r="AC25" s="99">
        <f>AB25*$AC$4*(1-$B25)+AB25</f>
        <v/>
      </c>
      <c r="AD25" s="99">
        <f>AC25*$AD$4*(1-$B25)+AC25</f>
        <v/>
      </c>
      <c r="AE25" s="99">
        <f>AD25*$AE$4*(1-$B25)+AD25</f>
        <v/>
      </c>
      <c r="AF25" s="99">
        <f>AE25*$AF$4*(1-$B25)+AE25</f>
        <v/>
      </c>
      <c r="AG25" s="99">
        <f>AF25*$AG$4*(1-$B25)+AF25</f>
        <v/>
      </c>
      <c r="AH25" s="99">
        <f>AG25*$AH$4*(1-$B25)+AG25</f>
        <v/>
      </c>
      <c r="AI25" s="99">
        <f>AH25*$AI$4*(1-$B25)+AH25</f>
        <v/>
      </c>
      <c r="AJ25" s="99">
        <f>AI25*AJ$4*(1-$B25)+AI25+SUMIFS(Investments!$D:$D,Investments!$B:$B,$A25,Investments!$C:$C,"ETH",Investments!$A:$A,AJ$8)</f>
        <v/>
      </c>
      <c r="AK25" s="99">
        <f>AJ25*AK$4*(1-$B25)+AJ25+SUMIFS(Investments!$D:$D,Investments!$B:$B,$A25,Investments!$C:$C,"ETH",Investments!$A:$A,AK$8)</f>
        <v/>
      </c>
      <c r="AL25" s="99">
        <f>AK25*AL$4*(1-$B25)+AK25+SUMIFS(Investments!$D:$D,Investments!$B:$B,$A25,Investments!$C:$C,"ETH",Investments!$A:$A,AL$8)</f>
        <v/>
      </c>
      <c r="AM25" s="99">
        <f>AL25*AM$4*(1-$B25)+AL25+SUMIFS(Investments!$D:$D,Investments!$B:$B,$A25,Investments!$C:$C,"ETH",Investments!$A:$A,AM$8)</f>
        <v/>
      </c>
      <c r="AN25" s="99">
        <f>AM25*AN$4*(1-$B25)+AM25+SUMIFS(Investments!$D:$D,Investments!$B:$B,$A25,Investments!$C:$C,"ETH",Investments!$A:$A,AN$8)</f>
        <v/>
      </c>
      <c r="AO25" s="99">
        <f>AN25*AO$4*(1-$B25)+AN25+SUMIFS(Investments!$D:$D,Investments!$B:$B,$A25,Investments!$C:$C,"ETH",Investments!$A:$A,AO$8)</f>
        <v/>
      </c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</row>
    <row r="26" ht="15.75" customHeight="1" s="252">
      <c r="A26" s="101" t="inlineStr">
        <is>
          <t>Total AUM</t>
        </is>
      </c>
      <c r="B26" s="102" t="n"/>
      <c r="C26" s="102" t="n"/>
      <c r="D26" s="102">
        <f>SUM(D9:D25)</f>
        <v/>
      </c>
      <c r="E26" s="102">
        <f>SUM(E9:E25)</f>
        <v/>
      </c>
      <c r="F26" s="102">
        <f>SUM(F9:F25)</f>
        <v/>
      </c>
      <c r="G26" s="102">
        <f>SUM(G9:G25)</f>
        <v/>
      </c>
      <c r="H26" s="102">
        <f>SUM(H9:H25)</f>
        <v/>
      </c>
      <c r="I26" s="102">
        <f>SUM(I9:I25)</f>
        <v/>
      </c>
      <c r="J26" s="102">
        <f>SUM(J9:J25)</f>
        <v/>
      </c>
      <c r="K26" s="102">
        <f>SUM(K9:K25)</f>
        <v/>
      </c>
      <c r="L26" s="102">
        <f>SUM(L9:L25)</f>
        <v/>
      </c>
      <c r="M26" s="102">
        <f>SUM(M9:M25)</f>
        <v/>
      </c>
      <c r="N26" s="102">
        <f>SUM(N9:N25)</f>
        <v/>
      </c>
      <c r="O26" s="102">
        <f>SUM(O9:O25)</f>
        <v/>
      </c>
      <c r="P26" s="102">
        <f>SUM(P9:P25)</f>
        <v/>
      </c>
      <c r="Q26" s="102">
        <f>SUM(Q9:Q25)</f>
        <v/>
      </c>
      <c r="R26" s="102">
        <f>SUM(R9:R25)</f>
        <v/>
      </c>
      <c r="S26" s="102">
        <f>SUM(S9:S25)</f>
        <v/>
      </c>
      <c r="T26" s="102">
        <f>SUM(T9:T25)</f>
        <v/>
      </c>
      <c r="U26" s="102">
        <f>SUM(U9:U25)</f>
        <v/>
      </c>
      <c r="V26" s="102">
        <f>SUM(V9:V25)</f>
        <v/>
      </c>
      <c r="W26" s="102">
        <f>SUM(W9:W25)</f>
        <v/>
      </c>
      <c r="X26" s="102">
        <f>SUM(X9:X25)</f>
        <v/>
      </c>
      <c r="Y26" s="102">
        <f>SUM(Y9:Y25)</f>
        <v/>
      </c>
      <c r="Z26" s="102">
        <f>SUM(Z9:Z25)</f>
        <v/>
      </c>
      <c r="AA26" s="102">
        <f>SUM(AA9:AA25)</f>
        <v/>
      </c>
      <c r="AB26" s="102">
        <f>SUM(AB9:AB25)</f>
        <v/>
      </c>
      <c r="AC26" s="102">
        <f>SUM(AC9:AC25)</f>
        <v/>
      </c>
      <c r="AD26" s="102">
        <f>SUM(AD9:AD25)</f>
        <v/>
      </c>
      <c r="AE26" s="102">
        <f>SUM(AE9:AE25)</f>
        <v/>
      </c>
      <c r="AF26" s="102">
        <f>SUM(AF9:AF25)</f>
        <v/>
      </c>
      <c r="AG26" s="102">
        <f>SUM(AG9:AG25)</f>
        <v/>
      </c>
      <c r="AH26" s="102">
        <f>SUM(AH9:AH25)</f>
        <v/>
      </c>
      <c r="AI26" s="102">
        <f>SUM(AI9:AI25)</f>
        <v/>
      </c>
      <c r="AJ26" s="102">
        <f>SUM(AJ9:AJ25)</f>
        <v/>
      </c>
      <c r="AK26" s="102">
        <f>SUM(AK9:AK25)</f>
        <v/>
      </c>
      <c r="AL26" s="102">
        <f>SUM(AL9:AL25)</f>
        <v/>
      </c>
      <c r="AM26" s="102">
        <f>SUM(AM9:AM25)</f>
        <v/>
      </c>
      <c r="AN26" s="102">
        <f>SUM(AN9:AN25)</f>
        <v/>
      </c>
      <c r="AO26" s="102">
        <f>SUM(AO9:AO25)</f>
        <v/>
      </c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</row>
    <row r="27" ht="15.75" customHeight="1" s="25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</row>
    <row r="28" ht="15.75" customHeight="1" s="252">
      <c r="A28" s="33" t="inlineStr">
        <is>
          <t>Indigo fees</t>
        </is>
      </c>
      <c r="B28" s="32" t="n"/>
      <c r="C28" s="32" t="n"/>
      <c r="D28" s="103">
        <f>IFERROR(D9/D$26,"")</f>
        <v/>
      </c>
      <c r="E28" s="103">
        <f>IFERROR(E9/E$26,"")</f>
        <v/>
      </c>
      <c r="F28" s="103">
        <f>IFERROR(F9/F$26,"")</f>
        <v/>
      </c>
      <c r="G28" s="103">
        <f>IFERROR(G9/G$26,"")</f>
        <v/>
      </c>
      <c r="H28" s="103">
        <f>IFERROR(H9/H$26,"")</f>
        <v/>
      </c>
      <c r="I28" s="103">
        <f>IFERROR(I9/I$26,"")</f>
        <v/>
      </c>
      <c r="J28" s="103">
        <f>IFERROR(J9/J$26,"")</f>
        <v/>
      </c>
      <c r="K28" s="103">
        <f>IFERROR(K9/K$26,"")</f>
        <v/>
      </c>
      <c r="L28" s="103">
        <f>IFERROR(L9/L$26,"")</f>
        <v/>
      </c>
      <c r="M28" s="103">
        <f>IFERROR(M9/M$26,"")</f>
        <v/>
      </c>
      <c r="N28" s="103">
        <f>IFERROR(N9/N$26,"")</f>
        <v/>
      </c>
      <c r="O28" s="103">
        <f>IFERROR(O9/O$26,"")</f>
        <v/>
      </c>
      <c r="P28" s="103">
        <f>IFERROR(P9/P$26,"")</f>
        <v/>
      </c>
      <c r="Q28" s="103">
        <f>IFERROR(Q9/Q$26,"")</f>
        <v/>
      </c>
      <c r="R28" s="103">
        <f>IFERROR(R9/R$26,"")</f>
        <v/>
      </c>
      <c r="S28" s="103">
        <f>IFERROR(S9/S$26,"")</f>
        <v/>
      </c>
      <c r="T28" s="103">
        <f>IFERROR(T9/T$26,"")</f>
        <v/>
      </c>
      <c r="U28" s="103">
        <f>IFERROR(U9/U$26,"")</f>
        <v/>
      </c>
      <c r="V28" s="103">
        <f>IFERROR(V9/V$26,"")</f>
        <v/>
      </c>
      <c r="W28" s="103">
        <f>IFERROR(W9/W$26,"")</f>
        <v/>
      </c>
      <c r="X28" s="103">
        <f>IFERROR(X9/X$26,"")</f>
        <v/>
      </c>
      <c r="Y28" s="103">
        <f>IFERROR(Y9/Y$26,"")</f>
        <v/>
      </c>
      <c r="Z28" s="103">
        <f>IFERROR(Z9/Z$26,"")</f>
        <v/>
      </c>
      <c r="AA28" s="103">
        <f>IFERROR(AA9/AA$26,"")</f>
        <v/>
      </c>
      <c r="AB28" s="103">
        <f>IFERROR(AB9/AB$26,"")</f>
        <v/>
      </c>
      <c r="AC28" s="103">
        <f>IFERROR(AC9/AC$26,"")</f>
        <v/>
      </c>
      <c r="AD28" s="103">
        <f>IFERROR(AD9/AD$26,"")</f>
        <v/>
      </c>
      <c r="AE28" s="103">
        <f>IFERROR(AE9/AE$26,"")</f>
        <v/>
      </c>
      <c r="AF28" s="103">
        <f>IFERROR(AF9/AF$26,"")</f>
        <v/>
      </c>
      <c r="AG28" s="103">
        <f>IFERROR(AG9/AG$26,"")</f>
        <v/>
      </c>
      <c r="AH28" s="103">
        <f>IFERROR(AH9/AH$26,"")</f>
        <v/>
      </c>
      <c r="AI28" s="103">
        <f>IFERROR(AI9/AI$26,"")</f>
        <v/>
      </c>
      <c r="AJ28" s="103">
        <f>IFERROR(AJ9/AJ$26,"")</f>
        <v/>
      </c>
      <c r="AK28" s="103">
        <f>IFERROR(AK9/AK$26,"")</f>
        <v/>
      </c>
      <c r="AL28" s="103">
        <f>IFERROR(AL9/AL$26,"")</f>
        <v/>
      </c>
      <c r="AM28" s="103">
        <f>IFERROR(AM9/AM$26,"")</f>
        <v/>
      </c>
      <c r="AN28" s="103">
        <f>IFERROR(AN9/AN$26,"")</f>
        <v/>
      </c>
      <c r="AO28" s="103">
        <f>IFERROR(AO9/AO$26,"")</f>
        <v/>
      </c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2" t="n"/>
      <c r="BE28" s="32" t="n"/>
      <c r="BF28" s="32" t="n"/>
      <c r="BG28" s="32" t="n"/>
      <c r="BH28" s="32" t="n"/>
      <c r="BI28" s="32" t="n"/>
    </row>
    <row r="29" ht="15.75" customHeight="1" s="252">
      <c r="A29" s="33" t="inlineStr">
        <is>
          <t>Babak Eftekhari</t>
        </is>
      </c>
      <c r="B29" s="32" t="n"/>
      <c r="C29" s="32" t="n"/>
      <c r="D29" s="103">
        <f>IFERROR(D10/D$26,"")</f>
        <v/>
      </c>
      <c r="E29" s="103">
        <f>IFERROR(E10/E$26,"")</f>
        <v/>
      </c>
      <c r="F29" s="103">
        <f>IFERROR(F10/F$26,"")</f>
        <v/>
      </c>
      <c r="G29" s="103">
        <f>IFERROR(G10/G$26,"")</f>
        <v/>
      </c>
      <c r="H29" s="103">
        <f>IFERROR(H10/H$26,"")</f>
        <v/>
      </c>
      <c r="I29" s="103">
        <f>IFERROR(I10/I$26,"")</f>
        <v/>
      </c>
      <c r="J29" s="103">
        <f>IFERROR(J10/J$26,"")</f>
        <v/>
      </c>
      <c r="K29" s="103">
        <f>IFERROR(K10/K$26,"")</f>
        <v/>
      </c>
      <c r="L29" s="103">
        <f>IFERROR(L10/L$26,"")</f>
        <v/>
      </c>
      <c r="M29" s="103">
        <f>IFERROR(M10/M$26,"")</f>
        <v/>
      </c>
      <c r="N29" s="103">
        <f>IFERROR(N10/N$26,"")</f>
        <v/>
      </c>
      <c r="O29" s="103">
        <f>IFERROR(O10/O$26,"")</f>
        <v/>
      </c>
      <c r="P29" s="103">
        <f>IFERROR(P10/P$26,"")</f>
        <v/>
      </c>
      <c r="Q29" s="103">
        <f>IFERROR(Q10/Q$26,"")</f>
        <v/>
      </c>
      <c r="R29" s="103">
        <f>IFERROR(R10/R$26,"")</f>
        <v/>
      </c>
      <c r="S29" s="103">
        <f>IFERROR(S10/S$26,"")</f>
        <v/>
      </c>
      <c r="T29" s="103">
        <f>IFERROR(T10/T$26,"")</f>
        <v/>
      </c>
      <c r="U29" s="103">
        <f>IFERROR(U10/U$26,"")</f>
        <v/>
      </c>
      <c r="V29" s="103">
        <f>IFERROR(V10/V$26,"")</f>
        <v/>
      </c>
      <c r="W29" s="103">
        <f>IFERROR(W10/W$26,"")</f>
        <v/>
      </c>
      <c r="X29" s="103">
        <f>IFERROR(X10/X$26,"")</f>
        <v/>
      </c>
      <c r="Y29" s="103">
        <f>IFERROR(Y10/Y$26,"")</f>
        <v/>
      </c>
      <c r="Z29" s="103">
        <f>IFERROR(Z10/Z$26,"")</f>
        <v/>
      </c>
      <c r="AA29" s="103">
        <f>IFERROR(AA10/AA$26,"")</f>
        <v/>
      </c>
      <c r="AB29" s="103">
        <f>IFERROR(AB10/AB$26,"")</f>
        <v/>
      </c>
      <c r="AC29" s="103">
        <f>IFERROR(AC10/AC$26,"")</f>
        <v/>
      </c>
      <c r="AD29" s="103">
        <f>IFERROR(AD10/AD$26,"")</f>
        <v/>
      </c>
      <c r="AE29" s="103">
        <f>IFERROR(AE10/AE$26,"")</f>
        <v/>
      </c>
      <c r="AF29" s="103">
        <f>IFERROR(AF10/AF$26,"")</f>
        <v/>
      </c>
      <c r="AG29" s="103">
        <f>IFERROR(AG10/AG$26,"")</f>
        <v/>
      </c>
      <c r="AH29" s="103">
        <f>IFERROR(AH10/AH$26,"")</f>
        <v/>
      </c>
      <c r="AI29" s="103">
        <f>IFERROR(AI10/AI$26,"")</f>
        <v/>
      </c>
      <c r="AJ29" s="103">
        <f>IFERROR(AJ10/AJ$26,"")</f>
        <v/>
      </c>
      <c r="AK29" s="103">
        <f>IFERROR(AK10/AK$26,"")</f>
        <v/>
      </c>
      <c r="AL29" s="103">
        <f>IFERROR(AL10/AL$26,"")</f>
        <v/>
      </c>
      <c r="AM29" s="103">
        <f>IFERROR(AM10/AM$26,"")</f>
        <v/>
      </c>
      <c r="AN29" s="103">
        <f>IFERROR(AN10/AN$26,"")</f>
        <v/>
      </c>
      <c r="AO29" s="103">
        <f>IFERROR(AO10/AO$26,"")</f>
        <v/>
      </c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  <c r="BA29" s="32" t="n"/>
      <c r="BB29" s="32" t="n"/>
      <c r="BC29" s="32" t="n"/>
      <c r="BD29" s="32" t="n"/>
      <c r="BE29" s="32" t="n"/>
      <c r="BF29" s="32" t="n"/>
      <c r="BG29" s="32" t="n"/>
      <c r="BH29" s="32" t="n"/>
      <c r="BI29" s="32" t="n"/>
    </row>
    <row r="30" ht="15.75" customHeight="1" s="252">
      <c r="A30" s="33" t="inlineStr">
        <is>
          <t>Lars Ahlgreen</t>
        </is>
      </c>
      <c r="B30" s="32" t="n"/>
      <c r="C30" s="32" t="n"/>
      <c r="D30" s="103">
        <f>IFERROR(D11/D$26,"")</f>
        <v/>
      </c>
      <c r="E30" s="103">
        <f>IFERROR(E11/E$26,"")</f>
        <v/>
      </c>
      <c r="F30" s="103">
        <f>IFERROR(F11/F$26,"")</f>
        <v/>
      </c>
      <c r="G30" s="103">
        <f>IFERROR(G11/G$26,"")</f>
        <v/>
      </c>
      <c r="H30" s="103">
        <f>IFERROR(H11/H$26,"")</f>
        <v/>
      </c>
      <c r="I30" s="103">
        <f>IFERROR(I11/I$26,"")</f>
        <v/>
      </c>
      <c r="J30" s="103">
        <f>IFERROR(J11/J$26,"")</f>
        <v/>
      </c>
      <c r="K30" s="103">
        <f>IFERROR(K11/K$26,"")</f>
        <v/>
      </c>
      <c r="L30" s="103">
        <f>IFERROR(L11/L$26,"")</f>
        <v/>
      </c>
      <c r="M30" s="103">
        <f>IFERROR(M11/M$26,"")</f>
        <v/>
      </c>
      <c r="N30" s="103">
        <f>IFERROR(N11/N$26,"")</f>
        <v/>
      </c>
      <c r="O30" s="103">
        <f>IFERROR(O11/O$26,"")</f>
        <v/>
      </c>
      <c r="P30" s="103">
        <f>IFERROR(P11/P$26,"")</f>
        <v/>
      </c>
      <c r="Q30" s="103">
        <f>IFERROR(Q11/Q$26,"")</f>
        <v/>
      </c>
      <c r="R30" s="103">
        <f>IFERROR(R11/R$26,"")</f>
        <v/>
      </c>
      <c r="S30" s="103">
        <f>IFERROR(S11/S$26,"")</f>
        <v/>
      </c>
      <c r="T30" s="103">
        <f>IFERROR(T11/T$26,"")</f>
        <v/>
      </c>
      <c r="U30" s="103">
        <f>IFERROR(U11/U$26,"")</f>
        <v/>
      </c>
      <c r="V30" s="103">
        <f>IFERROR(V11/V$26,"")</f>
        <v/>
      </c>
      <c r="W30" s="103">
        <f>IFERROR(W11/W$26,"")</f>
        <v/>
      </c>
      <c r="X30" s="103">
        <f>IFERROR(X11/X$26,"")</f>
        <v/>
      </c>
      <c r="Y30" s="103">
        <f>IFERROR(Y11/Y$26,"")</f>
        <v/>
      </c>
      <c r="Z30" s="103">
        <f>IFERROR(Z11/Z$26,"")</f>
        <v/>
      </c>
      <c r="AA30" s="103">
        <f>IFERROR(AA11/AA$26,"")</f>
        <v/>
      </c>
      <c r="AB30" s="103">
        <f>IFERROR(AB11/AB$26,"")</f>
        <v/>
      </c>
      <c r="AC30" s="103">
        <f>IFERROR(AC11/AC$26,"")</f>
        <v/>
      </c>
      <c r="AD30" s="103">
        <f>IFERROR(AD11/AD$26,"")</f>
        <v/>
      </c>
      <c r="AE30" s="103">
        <f>IFERROR(AE11/AE$26,"")</f>
        <v/>
      </c>
      <c r="AF30" s="103">
        <f>IFERROR(AF11/AF$26,"")</f>
        <v/>
      </c>
      <c r="AG30" s="103">
        <f>IFERROR(AG11/AG$26,"")</f>
        <v/>
      </c>
      <c r="AH30" s="103">
        <f>IFERROR(AH11/AH$26,"")</f>
        <v/>
      </c>
      <c r="AI30" s="103">
        <f>IFERROR(AI11/AI$26,"")</f>
        <v/>
      </c>
      <c r="AJ30" s="103">
        <f>IFERROR(AJ11/AJ$26,"")</f>
        <v/>
      </c>
      <c r="AK30" s="103">
        <f>IFERROR(AK11/AK$26,"")</f>
        <v/>
      </c>
      <c r="AL30" s="103">
        <f>IFERROR(AL11/AL$26,"")</f>
        <v/>
      </c>
      <c r="AM30" s="103">
        <f>IFERROR(AM11/AM$26,"")</f>
        <v/>
      </c>
      <c r="AN30" s="103">
        <f>IFERROR(AN11/AN$26,"")</f>
        <v/>
      </c>
      <c r="AO30" s="103">
        <f>IFERROR(AO11/AO$26,"")</f>
        <v/>
      </c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  <c r="BA30" s="32" t="n"/>
      <c r="BB30" s="32" t="n"/>
      <c r="BC30" s="32" t="n"/>
      <c r="BD30" s="32" t="n"/>
      <c r="BE30" s="32" t="n"/>
      <c r="BF30" s="32" t="n"/>
      <c r="BG30" s="32" t="n"/>
      <c r="BH30" s="32" t="n"/>
      <c r="BI30" s="32" t="n"/>
    </row>
    <row r="31" ht="15.75" customHeight="1" s="252">
      <c r="A31" s="33" t="inlineStr">
        <is>
          <t>Indigo Main Fund</t>
        </is>
      </c>
      <c r="B31" s="32" t="n"/>
      <c r="C31" s="32" t="n"/>
      <c r="D31" s="103">
        <f>IFERROR(D12/D$26,"")</f>
        <v/>
      </c>
      <c r="E31" s="103">
        <f>IFERROR(E12/E$26,"")</f>
        <v/>
      </c>
      <c r="F31" s="103">
        <f>IFERROR(F12/F$26,"")</f>
        <v/>
      </c>
      <c r="G31" s="103">
        <f>IFERROR(G12/G$26,"")</f>
        <v/>
      </c>
      <c r="H31" s="103">
        <f>IFERROR(H12/H$26,"")</f>
        <v/>
      </c>
      <c r="I31" s="103">
        <f>IFERROR(I12/I$26,"")</f>
        <v/>
      </c>
      <c r="J31" s="103">
        <f>IFERROR(J12/J$26,"")</f>
        <v/>
      </c>
      <c r="K31" s="103">
        <f>IFERROR(K12/K$26,"")</f>
        <v/>
      </c>
      <c r="L31" s="103">
        <f>IFERROR(L12/L$26,"")</f>
        <v/>
      </c>
      <c r="M31" s="103">
        <f>IFERROR(M12/M$26,"")</f>
        <v/>
      </c>
      <c r="N31" s="103">
        <f>IFERROR(N12/N$26,"")</f>
        <v/>
      </c>
      <c r="O31" s="103">
        <f>IFERROR(O12/O$26,"")</f>
        <v/>
      </c>
      <c r="P31" s="103">
        <f>IFERROR(P12/P$26,"")</f>
        <v/>
      </c>
      <c r="Q31" s="103">
        <f>IFERROR(Q12/Q$26,"")</f>
        <v/>
      </c>
      <c r="R31" s="103">
        <f>IFERROR(R12/R$26,"")</f>
        <v/>
      </c>
      <c r="S31" s="103">
        <f>IFERROR(S12/S$26,"")</f>
        <v/>
      </c>
      <c r="T31" s="103">
        <f>IFERROR(T12/T$26,"")</f>
        <v/>
      </c>
      <c r="U31" s="103">
        <f>IFERROR(U12/U$26,"")</f>
        <v/>
      </c>
      <c r="V31" s="103">
        <f>IFERROR(V12/V$26,"")</f>
        <v/>
      </c>
      <c r="W31" s="103">
        <f>IFERROR(W12/W$26,"")</f>
        <v/>
      </c>
      <c r="X31" s="103">
        <f>IFERROR(X12/X$26,"")</f>
        <v/>
      </c>
      <c r="Y31" s="103">
        <f>IFERROR(Y12/Y$26,"")</f>
        <v/>
      </c>
      <c r="Z31" s="103">
        <f>IFERROR(Z12/Z$26,"")</f>
        <v/>
      </c>
      <c r="AA31" s="103">
        <f>IFERROR(AA12/AA$26,"")</f>
        <v/>
      </c>
      <c r="AB31" s="103">
        <f>IFERROR(AB12/AB$26,"")</f>
        <v/>
      </c>
      <c r="AC31" s="103">
        <f>IFERROR(AC12/AC$26,"")</f>
        <v/>
      </c>
      <c r="AD31" s="103">
        <f>IFERROR(AD12/AD$26,"")</f>
        <v/>
      </c>
      <c r="AE31" s="103">
        <f>IFERROR(AE12/AE$26,"")</f>
        <v/>
      </c>
      <c r="AF31" s="103">
        <f>IFERROR(AF12/AF$26,"")</f>
        <v/>
      </c>
      <c r="AG31" s="103">
        <f>IFERROR(AG12/AG$26,"")</f>
        <v/>
      </c>
      <c r="AH31" s="103">
        <f>IFERROR(AH12/AH$26,"")</f>
        <v/>
      </c>
      <c r="AI31" s="103">
        <f>IFERROR(AI12/AI$26,"")</f>
        <v/>
      </c>
      <c r="AJ31" s="103">
        <f>IFERROR(AJ12/AJ$26,"")</f>
        <v/>
      </c>
      <c r="AK31" s="103">
        <f>IFERROR(AK12/AK$26,"")</f>
        <v/>
      </c>
      <c r="AL31" s="103">
        <f>IFERROR(AL12/AL$26,"")</f>
        <v/>
      </c>
      <c r="AM31" s="103">
        <f>IFERROR(AM12/AM$26,"")</f>
        <v/>
      </c>
      <c r="AN31" s="103">
        <f>IFERROR(AN12/AN$26,"")</f>
        <v/>
      </c>
      <c r="AO31" s="103">
        <f>IFERROR(AO12/AO$26,"")</f>
        <v/>
      </c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2" t="n"/>
      <c r="BE31" s="32" t="n"/>
      <c r="BF31" s="32" t="n"/>
      <c r="BG31" s="32" t="n"/>
      <c r="BH31" s="32" t="n"/>
      <c r="BI31" s="32" t="n"/>
    </row>
    <row r="32" ht="15.75" customHeight="1" s="252">
      <c r="A32" s="33" t="inlineStr">
        <is>
          <t>Nathanael Cohen</t>
        </is>
      </c>
      <c r="B32" s="32" t="n"/>
      <c r="C32" s="32" t="n"/>
      <c r="D32" s="103">
        <f>IFERROR(D13/D$26,"")</f>
        <v/>
      </c>
      <c r="E32" s="103">
        <f>IFERROR(E13/E$26,"")</f>
        <v/>
      </c>
      <c r="F32" s="103">
        <f>IFERROR(F13/F$26,"")</f>
        <v/>
      </c>
      <c r="G32" s="103">
        <f>IFERROR(G13/G$26,"")</f>
        <v/>
      </c>
      <c r="H32" s="103">
        <f>IFERROR(H13/H$26,"")</f>
        <v/>
      </c>
      <c r="I32" s="103">
        <f>IFERROR(I13/I$26,"")</f>
        <v/>
      </c>
      <c r="J32" s="103">
        <f>IFERROR(J13/J$26,"")</f>
        <v/>
      </c>
      <c r="K32" s="103">
        <f>IFERROR(K13/K$26,"")</f>
        <v/>
      </c>
      <c r="L32" s="103">
        <f>IFERROR(L13/L$26,"")</f>
        <v/>
      </c>
      <c r="M32" s="103">
        <f>IFERROR(M13/M$26,"")</f>
        <v/>
      </c>
      <c r="N32" s="103">
        <f>IFERROR(N13/N$26,"")</f>
        <v/>
      </c>
      <c r="O32" s="103">
        <f>IFERROR(O13/O$26,"")</f>
        <v/>
      </c>
      <c r="P32" s="103">
        <f>IFERROR(P13/P$26,"")</f>
        <v/>
      </c>
      <c r="Q32" s="103">
        <f>IFERROR(Q13/Q$26,"")</f>
        <v/>
      </c>
      <c r="R32" s="103">
        <f>IFERROR(R13/R$26,"")</f>
        <v/>
      </c>
      <c r="S32" s="103">
        <f>IFERROR(S13/S$26,"")</f>
        <v/>
      </c>
      <c r="T32" s="103">
        <f>IFERROR(T13/T$26,"")</f>
        <v/>
      </c>
      <c r="U32" s="103">
        <f>IFERROR(U13/U$26,"")</f>
        <v/>
      </c>
      <c r="V32" s="103">
        <f>IFERROR(V13/V$26,"")</f>
        <v/>
      </c>
      <c r="W32" s="103">
        <f>IFERROR(W13/W$26,"")</f>
        <v/>
      </c>
      <c r="X32" s="103">
        <f>IFERROR(X13/X$26,"")</f>
        <v/>
      </c>
      <c r="Y32" s="103">
        <f>IFERROR(Y13/Y$26,"")</f>
        <v/>
      </c>
      <c r="Z32" s="103">
        <f>IFERROR(Z13/Z$26,"")</f>
        <v/>
      </c>
      <c r="AA32" s="103">
        <f>IFERROR(AA13/AA$26,"")</f>
        <v/>
      </c>
      <c r="AB32" s="103">
        <f>IFERROR(AB13/AB$26,"")</f>
        <v/>
      </c>
      <c r="AC32" s="103">
        <f>IFERROR(AC13/AC$26,"")</f>
        <v/>
      </c>
      <c r="AD32" s="103">
        <f>IFERROR(AD13/AD$26,"")</f>
        <v/>
      </c>
      <c r="AE32" s="103">
        <f>IFERROR(AE13/AE$26,"")</f>
        <v/>
      </c>
      <c r="AF32" s="103">
        <f>IFERROR(AF13/AF$26,"")</f>
        <v/>
      </c>
      <c r="AG32" s="103">
        <f>IFERROR(AG13/AG$26,"")</f>
        <v/>
      </c>
      <c r="AH32" s="103">
        <f>IFERROR(AH13/AH$26,"")</f>
        <v/>
      </c>
      <c r="AI32" s="103">
        <f>IFERROR(AI13/AI$26,"")</f>
        <v/>
      </c>
      <c r="AJ32" s="103">
        <f>IFERROR(AJ13/AJ$26,"")</f>
        <v/>
      </c>
      <c r="AK32" s="103">
        <f>IFERROR(AK13/AK$26,"")</f>
        <v/>
      </c>
      <c r="AL32" s="103">
        <f>IFERROR(AL13/AL$26,"")</f>
        <v/>
      </c>
      <c r="AM32" s="103">
        <f>IFERROR(AM13/AM$26,"")</f>
        <v/>
      </c>
      <c r="AN32" s="103">
        <f>IFERROR(AN13/AN$26,"")</f>
        <v/>
      </c>
      <c r="AO32" s="103">
        <f>IFERROR(AO13/AO$26,"")</f>
        <v/>
      </c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2" t="n"/>
      <c r="BE32" s="32" t="n"/>
      <c r="BF32" s="32" t="n"/>
      <c r="BG32" s="32" t="n"/>
      <c r="BH32" s="32" t="n"/>
      <c r="BI32" s="32" t="n"/>
    </row>
    <row r="33" ht="15.75" customHeight="1" s="252">
      <c r="A33" s="33" t="inlineStr">
        <is>
          <t>Jose Molla</t>
        </is>
      </c>
      <c r="B33" s="32" t="n"/>
      <c r="C33" s="32" t="n"/>
      <c r="D33" s="103">
        <f>IFERROR(D14/D$26,"")</f>
        <v/>
      </c>
      <c r="E33" s="103">
        <f>IFERROR(E14/E$26,"")</f>
        <v/>
      </c>
      <c r="F33" s="103">
        <f>IFERROR(F14/F$26,"")</f>
        <v/>
      </c>
      <c r="G33" s="103">
        <f>IFERROR(G14/G$26,"")</f>
        <v/>
      </c>
      <c r="H33" s="103">
        <f>IFERROR(H14/H$26,"")</f>
        <v/>
      </c>
      <c r="I33" s="103">
        <f>IFERROR(I14/I$26,"")</f>
        <v/>
      </c>
      <c r="J33" s="103">
        <f>IFERROR(J14/J$26,"")</f>
        <v/>
      </c>
      <c r="K33" s="103">
        <f>IFERROR(K14/K$26,"")</f>
        <v/>
      </c>
      <c r="L33" s="103">
        <f>IFERROR(L14/L$26,"")</f>
        <v/>
      </c>
      <c r="M33" s="103">
        <f>IFERROR(M14/M$26,"")</f>
        <v/>
      </c>
      <c r="N33" s="103">
        <f>IFERROR(N14/N$26,"")</f>
        <v/>
      </c>
      <c r="O33" s="103">
        <f>IFERROR(O14/O$26,"")</f>
        <v/>
      </c>
      <c r="P33" s="103">
        <f>IFERROR(P14/P$26,"")</f>
        <v/>
      </c>
      <c r="Q33" s="103">
        <f>IFERROR(Q14/Q$26,"")</f>
        <v/>
      </c>
      <c r="R33" s="103">
        <f>IFERROR(R14/R$26,"")</f>
        <v/>
      </c>
      <c r="S33" s="103">
        <f>IFERROR(S14/S$26,"")</f>
        <v/>
      </c>
      <c r="T33" s="103">
        <f>IFERROR(T14/T$26,"")</f>
        <v/>
      </c>
      <c r="U33" s="103">
        <f>IFERROR(U14/U$26,"")</f>
        <v/>
      </c>
      <c r="V33" s="103">
        <f>IFERROR(V14/V$26,"")</f>
        <v/>
      </c>
      <c r="W33" s="103">
        <f>IFERROR(W14/W$26,"")</f>
        <v/>
      </c>
      <c r="X33" s="103">
        <f>IFERROR(X14/X$26,"")</f>
        <v/>
      </c>
      <c r="Y33" s="103">
        <f>IFERROR(Y14/Y$26,"")</f>
        <v/>
      </c>
      <c r="Z33" s="103">
        <f>IFERROR(Z14/Z$26,"")</f>
        <v/>
      </c>
      <c r="AA33" s="103">
        <f>IFERROR(AA14/AA$26,"")</f>
        <v/>
      </c>
      <c r="AB33" s="103">
        <f>IFERROR(AB14/AB$26,"")</f>
        <v/>
      </c>
      <c r="AC33" s="103">
        <f>IFERROR(AC14/AC$26,"")</f>
        <v/>
      </c>
      <c r="AD33" s="103">
        <f>IFERROR(AD14/AD$26,"")</f>
        <v/>
      </c>
      <c r="AE33" s="103">
        <f>IFERROR(AE14/AE$26,"")</f>
        <v/>
      </c>
      <c r="AF33" s="103">
        <f>IFERROR(AF14/AF$26,"")</f>
        <v/>
      </c>
      <c r="AG33" s="103">
        <f>IFERROR(AG14/AG$26,"")</f>
        <v/>
      </c>
      <c r="AH33" s="103">
        <f>IFERROR(AH14/AH$26,"")</f>
        <v/>
      </c>
      <c r="AI33" s="103">
        <f>IFERROR(AI14/AI$26,"")</f>
        <v/>
      </c>
      <c r="AJ33" s="103">
        <f>IFERROR(AJ14/AJ$26,"")</f>
        <v/>
      </c>
      <c r="AK33" s="103">
        <f>IFERROR(AK14/AK$26,"")</f>
        <v/>
      </c>
      <c r="AL33" s="103">
        <f>IFERROR(AL14/AL$26,"")</f>
        <v/>
      </c>
      <c r="AM33" s="103">
        <f>IFERROR(AM14/AM$26,"")</f>
        <v/>
      </c>
      <c r="AN33" s="103">
        <f>IFERROR(AN14/AN$26,"")</f>
        <v/>
      </c>
      <c r="AO33" s="103">
        <f>IFERROR(AO14/AO$26,"")</f>
        <v/>
      </c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2" t="n"/>
      <c r="BE33" s="32" t="n"/>
      <c r="BF33" s="32" t="n"/>
      <c r="BG33" s="32" t="n"/>
      <c r="BH33" s="32" t="n"/>
      <c r="BI33" s="32" t="n"/>
    </row>
    <row r="34" ht="15.75" customHeight="1" s="252">
      <c r="A34" s="33" t="inlineStr">
        <is>
          <t>Blondish</t>
        </is>
      </c>
      <c r="B34" s="32" t="n"/>
      <c r="C34" s="32" t="n"/>
      <c r="D34" s="103">
        <f>IFERROR(D15/D$26,"")</f>
        <v/>
      </c>
      <c r="E34" s="103">
        <f>IFERROR(E15/E$26,"")</f>
        <v/>
      </c>
      <c r="F34" s="103">
        <f>IFERROR(F15/F$26,"")</f>
        <v/>
      </c>
      <c r="G34" s="103">
        <f>IFERROR(G15/G$26,"")</f>
        <v/>
      </c>
      <c r="H34" s="103">
        <f>IFERROR(H15/H$26,"")</f>
        <v/>
      </c>
      <c r="I34" s="103">
        <f>IFERROR(I15/I$26,"")</f>
        <v/>
      </c>
      <c r="J34" s="103">
        <f>IFERROR(J15/J$26,"")</f>
        <v/>
      </c>
      <c r="K34" s="103">
        <f>IFERROR(K15/K$26,"")</f>
        <v/>
      </c>
      <c r="L34" s="103">
        <f>IFERROR(L15/L$26,"")</f>
        <v/>
      </c>
      <c r="M34" s="103">
        <f>IFERROR(M15/M$26,"")</f>
        <v/>
      </c>
      <c r="N34" s="103">
        <f>IFERROR(N15/N$26,"")</f>
        <v/>
      </c>
      <c r="O34" s="103">
        <f>IFERROR(O15/O$26,"")</f>
        <v/>
      </c>
      <c r="P34" s="103">
        <f>IFERROR(P15/P$26,"")</f>
        <v/>
      </c>
      <c r="Q34" s="103">
        <f>IFERROR(Q15/Q$26,"")</f>
        <v/>
      </c>
      <c r="R34" s="103">
        <f>IFERROR(R15/R$26,"")</f>
        <v/>
      </c>
      <c r="S34" s="103">
        <f>IFERROR(S15/S$26,"")</f>
        <v/>
      </c>
      <c r="T34" s="103">
        <f>IFERROR(T15/T$26,"")</f>
        <v/>
      </c>
      <c r="U34" s="103">
        <f>IFERROR(U15/U$26,"")</f>
        <v/>
      </c>
      <c r="V34" s="103">
        <f>IFERROR(V15/V$26,"")</f>
        <v/>
      </c>
      <c r="W34" s="103">
        <f>IFERROR(W15/W$26,"")</f>
        <v/>
      </c>
      <c r="X34" s="103">
        <f>IFERROR(X15/X$26,"")</f>
        <v/>
      </c>
      <c r="Y34" s="103">
        <f>IFERROR(Y15/Y$26,"")</f>
        <v/>
      </c>
      <c r="Z34" s="103">
        <f>IFERROR(Z15/Z$26,"")</f>
        <v/>
      </c>
      <c r="AA34" s="103">
        <f>IFERROR(AA15/AA$26,"")</f>
        <v/>
      </c>
      <c r="AB34" s="103">
        <f>IFERROR(AB15/AB$26,"")</f>
        <v/>
      </c>
      <c r="AC34" s="103">
        <f>IFERROR(AC15/AC$26,"")</f>
        <v/>
      </c>
      <c r="AD34" s="103">
        <f>IFERROR(AD15/AD$26,"")</f>
        <v/>
      </c>
      <c r="AE34" s="103">
        <f>IFERROR(AE15/AE$26,"")</f>
        <v/>
      </c>
      <c r="AF34" s="103">
        <f>IFERROR(AF15/AF$26,"")</f>
        <v/>
      </c>
      <c r="AG34" s="103">
        <f>IFERROR(AG15/AG$26,"")</f>
        <v/>
      </c>
      <c r="AH34" s="103">
        <f>IFERROR(AH15/AH$26,"")</f>
        <v/>
      </c>
      <c r="AI34" s="103">
        <f>IFERROR(AI15/AI$26,"")</f>
        <v/>
      </c>
      <c r="AJ34" s="103">
        <f>IFERROR(AJ15/AJ$26,"")</f>
        <v/>
      </c>
      <c r="AK34" s="103">
        <f>IFERROR(AK15/AK$26,"")</f>
        <v/>
      </c>
      <c r="AL34" s="103">
        <f>IFERROR(AL15/AL$26,"")</f>
        <v/>
      </c>
      <c r="AM34" s="103">
        <f>IFERROR(AM15/AM$26,"")</f>
        <v/>
      </c>
      <c r="AN34" s="103">
        <f>IFERROR(AN15/AN$26,"")</f>
        <v/>
      </c>
      <c r="AO34" s="103">
        <f>IFERROR(AO15/AO$26,"")</f>
        <v/>
      </c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  <c r="BA34" s="32" t="n"/>
      <c r="BB34" s="32" t="n"/>
      <c r="BC34" s="32" t="n"/>
      <c r="BD34" s="32" t="n"/>
      <c r="BE34" s="32" t="n"/>
      <c r="BF34" s="32" t="n"/>
      <c r="BG34" s="32" t="n"/>
      <c r="BH34" s="32" t="n"/>
      <c r="BI34" s="32" t="n"/>
    </row>
    <row r="35" ht="15.75" customHeight="1" s="252">
      <c r="A35" s="33" t="inlineStr">
        <is>
          <t>Advantage Blockchain</t>
        </is>
      </c>
      <c r="B35" s="32" t="n"/>
      <c r="C35" s="32" t="n"/>
      <c r="D35" s="103">
        <f>IFERROR(D16/D$26,"")</f>
        <v/>
      </c>
      <c r="E35" s="103">
        <f>IFERROR(E16/E$26,"")</f>
        <v/>
      </c>
      <c r="F35" s="103">
        <f>IFERROR(F16/F$26,"")</f>
        <v/>
      </c>
      <c r="G35" s="103">
        <f>IFERROR(G16/G$26,"")</f>
        <v/>
      </c>
      <c r="H35" s="103">
        <f>IFERROR(H16/H$26,"")</f>
        <v/>
      </c>
      <c r="I35" s="103">
        <f>IFERROR(I16/I$26,"")</f>
        <v/>
      </c>
      <c r="J35" s="103">
        <f>IFERROR(J16/J$26,"")</f>
        <v/>
      </c>
      <c r="K35" s="103">
        <f>IFERROR(K16/K$26,"")</f>
        <v/>
      </c>
      <c r="L35" s="103">
        <f>IFERROR(L16/L$26,"")</f>
        <v/>
      </c>
      <c r="M35" s="103">
        <f>IFERROR(M16/M$26,"")</f>
        <v/>
      </c>
      <c r="N35" s="103">
        <f>IFERROR(N16/N$26,"")</f>
        <v/>
      </c>
      <c r="O35" s="103">
        <f>IFERROR(O16/O$26,"")</f>
        <v/>
      </c>
      <c r="P35" s="103">
        <f>IFERROR(P16/P$26,"")</f>
        <v/>
      </c>
      <c r="Q35" s="103">
        <f>IFERROR(Q16/Q$26,"")</f>
        <v/>
      </c>
      <c r="R35" s="103">
        <f>IFERROR(R16/R$26,"")</f>
        <v/>
      </c>
      <c r="S35" s="103">
        <f>IFERROR(S16/S$26,"")</f>
        <v/>
      </c>
      <c r="T35" s="103">
        <f>IFERROR(T16/T$26,"")</f>
        <v/>
      </c>
      <c r="U35" s="103">
        <f>IFERROR(U16/U$26,"")</f>
        <v/>
      </c>
      <c r="V35" s="103">
        <f>IFERROR(V16/V$26,"")</f>
        <v/>
      </c>
      <c r="W35" s="103">
        <f>IFERROR(W16/W$26,"")</f>
        <v/>
      </c>
      <c r="X35" s="103">
        <f>IFERROR(X16/X$26,"")</f>
        <v/>
      </c>
      <c r="Y35" s="103">
        <f>IFERROR(Y16/Y$26,"")</f>
        <v/>
      </c>
      <c r="Z35" s="103">
        <f>IFERROR(Z16/Z$26,"")</f>
        <v/>
      </c>
      <c r="AA35" s="103">
        <f>IFERROR(AA16/AA$26,"")</f>
        <v/>
      </c>
      <c r="AB35" s="103">
        <f>IFERROR(AB16/AB$26,"")</f>
        <v/>
      </c>
      <c r="AC35" s="103">
        <f>IFERROR(AC16/AC$26,"")</f>
        <v/>
      </c>
      <c r="AD35" s="103">
        <f>IFERROR(AD16/AD$26,"")</f>
        <v/>
      </c>
      <c r="AE35" s="103">
        <f>IFERROR(AE16/AE$26,"")</f>
        <v/>
      </c>
      <c r="AF35" s="103">
        <f>IFERROR(AF16/AF$26,"")</f>
        <v/>
      </c>
      <c r="AG35" s="103">
        <f>IFERROR(AG16/AG$26,"")</f>
        <v/>
      </c>
      <c r="AH35" s="103">
        <f>IFERROR(AH16/AH$26,"")</f>
        <v/>
      </c>
      <c r="AI35" s="103">
        <f>IFERROR(AI16/AI$26,"")</f>
        <v/>
      </c>
      <c r="AJ35" s="103">
        <f>IFERROR(AJ16/AJ$26,"")</f>
        <v/>
      </c>
      <c r="AK35" s="103">
        <f>IFERROR(AK16/AK$26,"")</f>
        <v/>
      </c>
      <c r="AL35" s="103">
        <f>IFERROR(AL16/AL$26,"")</f>
        <v/>
      </c>
      <c r="AM35" s="103">
        <f>IFERROR(AM16/AM$26,"")</f>
        <v/>
      </c>
      <c r="AN35" s="103">
        <f>IFERROR(AN16/AN$26,"")</f>
        <v/>
      </c>
      <c r="AO35" s="103">
        <f>IFERROR(AO16/AO$26,"")</f>
        <v/>
      </c>
      <c r="AP35" s="32" t="n"/>
      <c r="AQ35" s="32" t="n"/>
      <c r="AR35" s="32" t="n"/>
      <c r="AS35" s="32" t="n"/>
      <c r="AT35" s="32" t="n"/>
      <c r="AU35" s="32" t="n"/>
      <c r="AV35" s="32" t="n"/>
      <c r="AW35" s="32" t="n"/>
      <c r="AX35" s="32" t="n"/>
      <c r="AY35" s="32" t="n"/>
      <c r="AZ35" s="32" t="n"/>
      <c r="BA35" s="32" t="n"/>
      <c r="BB35" s="32" t="n"/>
      <c r="BC35" s="32" t="n"/>
      <c r="BD35" s="32" t="n"/>
      <c r="BE35" s="32" t="n"/>
      <c r="BF35" s="32" t="n"/>
      <c r="BG35" s="32" t="n"/>
      <c r="BH35" s="32" t="n"/>
      <c r="BI35" s="32" t="n"/>
    </row>
    <row r="36" ht="15.75" customHeight="1" s="252">
      <c r="A36" s="33" t="inlineStr">
        <is>
          <t>Alec Beckman</t>
        </is>
      </c>
      <c r="B36" s="32" t="n"/>
      <c r="C36" s="32" t="n"/>
      <c r="D36" s="103">
        <f>IFERROR(D17/D$26,"")</f>
        <v/>
      </c>
      <c r="E36" s="103">
        <f>IFERROR(E17/E$26,"")</f>
        <v/>
      </c>
      <c r="F36" s="103">
        <f>IFERROR(F17/F$26,"")</f>
        <v/>
      </c>
      <c r="G36" s="103">
        <f>IFERROR(G17/G$26,"")</f>
        <v/>
      </c>
      <c r="H36" s="103">
        <f>IFERROR(H17/H$26,"")</f>
        <v/>
      </c>
      <c r="I36" s="103">
        <f>IFERROR(I17/I$26,"")</f>
        <v/>
      </c>
      <c r="J36" s="103">
        <f>IFERROR(J17/J$26,"")</f>
        <v/>
      </c>
      <c r="K36" s="103">
        <f>IFERROR(K17/K$26,"")</f>
        <v/>
      </c>
      <c r="L36" s="103">
        <f>IFERROR(L17/L$26,"")</f>
        <v/>
      </c>
      <c r="M36" s="103">
        <f>IFERROR(M17/M$26,"")</f>
        <v/>
      </c>
      <c r="N36" s="103">
        <f>IFERROR(N17/N$26,"")</f>
        <v/>
      </c>
      <c r="O36" s="103">
        <f>IFERROR(O17/O$26,"")</f>
        <v/>
      </c>
      <c r="P36" s="103">
        <f>IFERROR(P17/P$26,"")</f>
        <v/>
      </c>
      <c r="Q36" s="103">
        <f>IFERROR(Q17/Q$26,"")</f>
        <v/>
      </c>
      <c r="R36" s="103">
        <f>IFERROR(R17/R$26,"")</f>
        <v/>
      </c>
      <c r="S36" s="103">
        <f>IFERROR(S17/S$26,"")</f>
        <v/>
      </c>
      <c r="T36" s="103">
        <f>IFERROR(T17/T$26,"")</f>
        <v/>
      </c>
      <c r="U36" s="103">
        <f>IFERROR(U17/U$26,"")</f>
        <v/>
      </c>
      <c r="V36" s="103">
        <f>IFERROR(V17/V$26,"")</f>
        <v/>
      </c>
      <c r="W36" s="103">
        <f>IFERROR(W17/W$26,"")</f>
        <v/>
      </c>
      <c r="X36" s="103">
        <f>IFERROR(X17/X$26,"")</f>
        <v/>
      </c>
      <c r="Y36" s="103">
        <f>IFERROR(Y17/Y$26,"")</f>
        <v/>
      </c>
      <c r="Z36" s="103">
        <f>IFERROR(Z17/Z$26,"")</f>
        <v/>
      </c>
      <c r="AA36" s="103">
        <f>IFERROR(AA17/AA$26,"")</f>
        <v/>
      </c>
      <c r="AB36" s="103">
        <f>IFERROR(AB17/AB$26,"")</f>
        <v/>
      </c>
      <c r="AC36" s="103">
        <f>IFERROR(AC17/AC$26,"")</f>
        <v/>
      </c>
      <c r="AD36" s="103">
        <f>IFERROR(AD17/AD$26,"")</f>
        <v/>
      </c>
      <c r="AE36" s="103">
        <f>IFERROR(AE17/AE$26,"")</f>
        <v/>
      </c>
      <c r="AF36" s="103">
        <f>IFERROR(AF17/AF$26,"")</f>
        <v/>
      </c>
      <c r="AG36" s="103">
        <f>IFERROR(AG17/AG$26,"")</f>
        <v/>
      </c>
      <c r="AH36" s="103">
        <f>IFERROR(AH17/AH$26,"")</f>
        <v/>
      </c>
      <c r="AI36" s="103">
        <f>IFERROR(AI17/AI$26,"")</f>
        <v/>
      </c>
      <c r="AJ36" s="103">
        <f>IFERROR(AJ17/AJ$26,"")</f>
        <v/>
      </c>
      <c r="AK36" s="103">
        <f>IFERROR(AK17/AK$26,"")</f>
        <v/>
      </c>
      <c r="AL36" s="103">
        <f>IFERROR(AL17/AL$26,"")</f>
        <v/>
      </c>
      <c r="AM36" s="103">
        <f>IFERROR(AM17/AM$26,"")</f>
        <v/>
      </c>
      <c r="AN36" s="103">
        <f>IFERROR(AN17/AN$26,"")</f>
        <v/>
      </c>
      <c r="AO36" s="103">
        <f>IFERROR(AO17/AO$26,"")</f>
        <v/>
      </c>
      <c r="AP36" s="32" t="n"/>
      <c r="AQ36" s="32" t="n"/>
      <c r="AR36" s="32" t="n"/>
      <c r="AS36" s="32" t="n"/>
      <c r="AT36" s="32" t="n"/>
      <c r="AU36" s="32" t="n"/>
      <c r="AV36" s="32" t="n"/>
      <c r="AW36" s="32" t="n"/>
      <c r="AX36" s="32" t="n"/>
      <c r="AY36" s="32" t="n"/>
      <c r="AZ36" s="32" t="n"/>
      <c r="BA36" s="32" t="n"/>
      <c r="BB36" s="32" t="n"/>
      <c r="BC36" s="32" t="n"/>
      <c r="BD36" s="32" t="n"/>
      <c r="BE36" s="32" t="n"/>
      <c r="BF36" s="32" t="n"/>
      <c r="BG36" s="32" t="n"/>
      <c r="BH36" s="32" t="n"/>
      <c r="BI36" s="32" t="n"/>
    </row>
    <row r="37" ht="15.75" customHeight="1" s="252">
      <c r="A37" s="33" t="inlineStr">
        <is>
          <t>Paul Johnson</t>
        </is>
      </c>
      <c r="B37" s="32" t="n"/>
      <c r="C37" s="32" t="n"/>
      <c r="D37" s="103">
        <f>IFERROR(D18/D$26,"")</f>
        <v/>
      </c>
      <c r="E37" s="103">
        <f>IFERROR(E18/E$26,"")</f>
        <v/>
      </c>
      <c r="F37" s="103">
        <f>IFERROR(F18/F$26,"")</f>
        <v/>
      </c>
      <c r="G37" s="103">
        <f>IFERROR(G18/G$26,"")</f>
        <v/>
      </c>
      <c r="H37" s="103">
        <f>IFERROR(H18/H$26,"")</f>
        <v/>
      </c>
      <c r="I37" s="103">
        <f>IFERROR(I18/I$26,"")</f>
        <v/>
      </c>
      <c r="J37" s="103">
        <f>IFERROR(J18/J$26,"")</f>
        <v/>
      </c>
      <c r="K37" s="103">
        <f>IFERROR(K18/K$26,"")</f>
        <v/>
      </c>
      <c r="L37" s="103">
        <f>IFERROR(L18/L$26,"")</f>
        <v/>
      </c>
      <c r="M37" s="103">
        <f>IFERROR(M18/M$26,"")</f>
        <v/>
      </c>
      <c r="N37" s="103">
        <f>IFERROR(N18/N$26,"")</f>
        <v/>
      </c>
      <c r="O37" s="103">
        <f>IFERROR(O18/O$26,"")</f>
        <v/>
      </c>
      <c r="P37" s="103">
        <f>IFERROR(P18/P$26,"")</f>
        <v/>
      </c>
      <c r="Q37" s="103">
        <f>IFERROR(Q18/Q$26,"")</f>
        <v/>
      </c>
      <c r="R37" s="103">
        <f>IFERROR(R18/R$26,"")</f>
        <v/>
      </c>
      <c r="S37" s="103">
        <f>IFERROR(S18/S$26,"")</f>
        <v/>
      </c>
      <c r="T37" s="103">
        <f>IFERROR(T18/T$26,"")</f>
        <v/>
      </c>
      <c r="U37" s="103">
        <f>IFERROR(U18/U$26,"")</f>
        <v/>
      </c>
      <c r="V37" s="103">
        <f>IFERROR(V18/V$26,"")</f>
        <v/>
      </c>
      <c r="W37" s="103">
        <f>IFERROR(W18/W$26,"")</f>
        <v/>
      </c>
      <c r="X37" s="103">
        <f>IFERROR(X18/X$26,"")</f>
        <v/>
      </c>
      <c r="Y37" s="103">
        <f>IFERROR(Y18/Y$26,"")</f>
        <v/>
      </c>
      <c r="Z37" s="103">
        <f>IFERROR(Z18/Z$26,"")</f>
        <v/>
      </c>
      <c r="AA37" s="103">
        <f>IFERROR(AA18/AA$26,"")</f>
        <v/>
      </c>
      <c r="AB37" s="103">
        <f>IFERROR(AB18/AB$26,"")</f>
        <v/>
      </c>
      <c r="AC37" s="103">
        <f>IFERROR(AC18/AC$26,"")</f>
        <v/>
      </c>
      <c r="AD37" s="103">
        <f>IFERROR(AD18/AD$26,"")</f>
        <v/>
      </c>
      <c r="AE37" s="103">
        <f>IFERROR(AE18/AE$26,"")</f>
        <v/>
      </c>
      <c r="AF37" s="103">
        <f>IFERROR(AF18/AF$26,"")</f>
        <v/>
      </c>
      <c r="AG37" s="103">
        <f>IFERROR(AG18/AG$26,"")</f>
        <v/>
      </c>
      <c r="AH37" s="103">
        <f>IFERROR(AH18/AH$26,"")</f>
        <v/>
      </c>
      <c r="AI37" s="103">
        <f>IFERROR(AI18/AI$26,"")</f>
        <v/>
      </c>
      <c r="AJ37" s="103">
        <f>IFERROR(AJ18/AJ$26,"")</f>
        <v/>
      </c>
      <c r="AK37" s="103">
        <f>IFERROR(AK18/AK$26,"")</f>
        <v/>
      </c>
      <c r="AL37" s="103">
        <f>IFERROR(AL18/AL$26,"")</f>
        <v/>
      </c>
      <c r="AM37" s="103">
        <f>IFERROR(AM18/AM$26,"")</f>
        <v/>
      </c>
      <c r="AN37" s="103">
        <f>IFERROR(AN18/AN$26,"")</f>
        <v/>
      </c>
      <c r="AO37" s="103">
        <f>IFERROR(AO18/AO$26,"")</f>
        <v/>
      </c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</row>
    <row r="38" ht="15.75" customHeight="1" s="252">
      <c r="A38" s="33" t="inlineStr">
        <is>
          <t>Alex Jacobs</t>
        </is>
      </c>
      <c r="B38" s="32" t="n"/>
      <c r="C38" s="32" t="n"/>
      <c r="D38" s="103">
        <f>IFERROR(D19/D$26,"")</f>
        <v/>
      </c>
      <c r="E38" s="103">
        <f>IFERROR(E19/E$26,"")</f>
        <v/>
      </c>
      <c r="F38" s="103">
        <f>IFERROR(F19/F$26,"")</f>
        <v/>
      </c>
      <c r="G38" s="103">
        <f>IFERROR(G19/G$26,"")</f>
        <v/>
      </c>
      <c r="H38" s="103">
        <f>IFERROR(H19/H$26,"")</f>
        <v/>
      </c>
      <c r="I38" s="103">
        <f>IFERROR(I19/I$26,"")</f>
        <v/>
      </c>
      <c r="J38" s="103">
        <f>IFERROR(J19/J$26,"")</f>
        <v/>
      </c>
      <c r="K38" s="103">
        <f>IFERROR(K19/K$26,"")</f>
        <v/>
      </c>
      <c r="L38" s="103">
        <f>IFERROR(L19/L$26,"")</f>
        <v/>
      </c>
      <c r="M38" s="103">
        <f>IFERROR(M19/M$26,"")</f>
        <v/>
      </c>
      <c r="N38" s="103">
        <f>IFERROR(N19/N$26,"")</f>
        <v/>
      </c>
      <c r="O38" s="103">
        <f>IFERROR(O19/O$26,"")</f>
        <v/>
      </c>
      <c r="P38" s="103">
        <f>IFERROR(P19/P$26,"")</f>
        <v/>
      </c>
      <c r="Q38" s="103">
        <f>IFERROR(Q19/Q$26,"")</f>
        <v/>
      </c>
      <c r="R38" s="103">
        <f>IFERROR(R19/R$26,"")</f>
        <v/>
      </c>
      <c r="S38" s="103">
        <f>IFERROR(S19/S$26,"")</f>
        <v/>
      </c>
      <c r="T38" s="103">
        <f>IFERROR(T19/T$26,"")</f>
        <v/>
      </c>
      <c r="U38" s="103">
        <f>IFERROR(U19/U$26,"")</f>
        <v/>
      </c>
      <c r="V38" s="103">
        <f>IFERROR(V19/V$26,"")</f>
        <v/>
      </c>
      <c r="W38" s="103">
        <f>IFERROR(W19/W$26,"")</f>
        <v/>
      </c>
      <c r="X38" s="103">
        <f>IFERROR(X19/X$26,"")</f>
        <v/>
      </c>
      <c r="Y38" s="103">
        <f>IFERROR(Y19/Y$26,"")</f>
        <v/>
      </c>
      <c r="Z38" s="103">
        <f>IFERROR(Z19/Z$26,"")</f>
        <v/>
      </c>
      <c r="AA38" s="103">
        <f>IFERROR(AA19/AA$26,"")</f>
        <v/>
      </c>
      <c r="AB38" s="103">
        <f>IFERROR(AB19/AB$26,"")</f>
        <v/>
      </c>
      <c r="AC38" s="103">
        <f>IFERROR(AC19/AC$26,"")</f>
        <v/>
      </c>
      <c r="AD38" s="103">
        <f>IFERROR(AD19/AD$26,"")</f>
        <v/>
      </c>
      <c r="AE38" s="103">
        <f>IFERROR(AE19/AE$26,"")</f>
        <v/>
      </c>
      <c r="AF38" s="103">
        <f>IFERROR(AF19/AF$26,"")</f>
        <v/>
      </c>
      <c r="AG38" s="103">
        <f>IFERROR(AG19/AG$26,"")</f>
        <v/>
      </c>
      <c r="AH38" s="103">
        <f>IFERROR(AH19/AH$26,"")</f>
        <v/>
      </c>
      <c r="AI38" s="103">
        <f>IFERROR(AI19/AI$26,"")</f>
        <v/>
      </c>
      <c r="AJ38" s="103">
        <f>IFERROR(AJ19/AJ$26,"")</f>
        <v/>
      </c>
      <c r="AK38" s="103">
        <f>IFERROR(AK19/AK$26,"")</f>
        <v/>
      </c>
      <c r="AL38" s="103">
        <f>IFERROR(AL19/AL$26,"")</f>
        <v/>
      </c>
      <c r="AM38" s="103">
        <f>IFERROR(AM19/AM$26,"")</f>
        <v/>
      </c>
      <c r="AN38" s="103">
        <f>IFERROR(AN19/AN$26,"")</f>
        <v/>
      </c>
      <c r="AO38" s="103">
        <f>IFERROR(AO19/AO$26,"")</f>
        <v/>
      </c>
      <c r="AP38" s="32" t="n"/>
      <c r="AQ38" s="32" t="n"/>
      <c r="AR38" s="32" t="n"/>
      <c r="AS38" s="32" t="n"/>
      <c r="AT38" s="32" t="n"/>
      <c r="AU38" s="32" t="n"/>
      <c r="AV38" s="32" t="n"/>
      <c r="AW38" s="32" t="n"/>
      <c r="AX38" s="32" t="n"/>
      <c r="AY38" s="32" t="n"/>
      <c r="AZ38" s="32" t="n"/>
      <c r="BA38" s="32" t="n"/>
      <c r="BB38" s="32" t="n"/>
      <c r="BC38" s="32" t="n"/>
      <c r="BD38" s="32" t="n"/>
      <c r="BE38" s="32" t="n"/>
      <c r="BF38" s="32" t="n"/>
      <c r="BG38" s="32" t="n"/>
      <c r="BH38" s="32" t="n"/>
      <c r="BI38" s="32" t="n"/>
    </row>
    <row r="39" ht="15.75" customHeight="1" s="252">
      <c r="A39" s="33" t="inlineStr">
        <is>
          <t>Tomer Zur</t>
        </is>
      </c>
      <c r="D39" s="103">
        <f>IFERROR(D20/D$26,"")</f>
        <v/>
      </c>
      <c r="E39" s="103">
        <f>IFERROR(E20/E$26,"")</f>
        <v/>
      </c>
      <c r="F39" s="103">
        <f>IFERROR(F20/F$26,"")</f>
        <v/>
      </c>
      <c r="G39" s="103">
        <f>IFERROR(G20/G$26,"")</f>
        <v/>
      </c>
      <c r="H39" s="103">
        <f>IFERROR(H20/H$26,"")</f>
        <v/>
      </c>
      <c r="I39" s="103">
        <f>IFERROR(I20/I$26,"")</f>
        <v/>
      </c>
      <c r="J39" s="103">
        <f>IFERROR(J20/J$26,"")</f>
        <v/>
      </c>
      <c r="K39" s="103">
        <f>IFERROR(K20/K$26,"")</f>
        <v/>
      </c>
      <c r="L39" s="103">
        <f>IFERROR(L20/L$26,"")</f>
        <v/>
      </c>
      <c r="M39" s="103">
        <f>IFERROR(M20/M$26,"")</f>
        <v/>
      </c>
      <c r="N39" s="103">
        <f>IFERROR(N20/N$26,"")</f>
        <v/>
      </c>
      <c r="O39" s="103">
        <f>IFERROR(O20/O$26,"")</f>
        <v/>
      </c>
      <c r="P39" s="103">
        <f>IFERROR(P20/P$26,"")</f>
        <v/>
      </c>
      <c r="Q39" s="103">
        <f>IFERROR(Q20/Q$26,"")</f>
        <v/>
      </c>
      <c r="R39" s="103">
        <f>IFERROR(R20/R$26,"")</f>
        <v/>
      </c>
      <c r="S39" s="103">
        <f>IFERROR(S20/S$26,"")</f>
        <v/>
      </c>
      <c r="T39" s="103">
        <f>IFERROR(T20/T$26,"")</f>
        <v/>
      </c>
      <c r="U39" s="103">
        <f>IFERROR(U20/U$26,"")</f>
        <v/>
      </c>
      <c r="V39" s="103">
        <f>IFERROR(V20/V$26,"")</f>
        <v/>
      </c>
      <c r="W39" s="103">
        <f>IFERROR(W20/W$26,"")</f>
        <v/>
      </c>
      <c r="X39" s="103">
        <f>IFERROR(X20/X$26,"")</f>
        <v/>
      </c>
      <c r="Y39" s="103">
        <f>IFERROR(Y20/Y$26,"")</f>
        <v/>
      </c>
      <c r="Z39" s="103">
        <f>IFERROR(Z20/Z$26,"")</f>
        <v/>
      </c>
      <c r="AA39" s="103">
        <f>IFERROR(AA20/AA$26,"")</f>
        <v/>
      </c>
      <c r="AB39" s="103">
        <f>IFERROR(AB20/AB$26,"")</f>
        <v/>
      </c>
      <c r="AC39" s="103">
        <f>IFERROR(AC20/AC$26,"")</f>
        <v/>
      </c>
      <c r="AD39" s="103">
        <f>IFERROR(AD20/AD$26,"")</f>
        <v/>
      </c>
      <c r="AE39" s="103">
        <f>IFERROR(AE20/AE$26,"")</f>
        <v/>
      </c>
      <c r="AF39" s="103">
        <f>IFERROR(AF20/AF$26,"")</f>
        <v/>
      </c>
      <c r="AG39" s="103">
        <f>IFERROR(AG20/AG$26,"")</f>
        <v/>
      </c>
      <c r="AH39" s="103">
        <f>IFERROR(AH20/AH$26,"")</f>
        <v/>
      </c>
      <c r="AI39" s="103">
        <f>IFERROR(AI20/AI$26,"")</f>
        <v/>
      </c>
      <c r="AJ39" s="103">
        <f>IFERROR(AJ20/AJ$26,"")</f>
        <v/>
      </c>
      <c r="AK39" s="103">
        <f>IFERROR(AK20/AK$26,"")</f>
        <v/>
      </c>
      <c r="AL39" s="103">
        <f>IFERROR(AL20/AL$26,"")</f>
        <v/>
      </c>
      <c r="AM39" s="103">
        <f>IFERROR(AM20/AM$26,"")</f>
        <v/>
      </c>
      <c r="AN39" s="103">
        <f>IFERROR(AN20/AN$26,"")</f>
        <v/>
      </c>
      <c r="AO39" s="103">
        <f>IFERROR(AO20/AO$26,"")</f>
        <v/>
      </c>
      <c r="AP39" s="32" t="n"/>
      <c r="AQ39" s="32" t="n"/>
      <c r="AR39" s="32" t="n"/>
      <c r="AS39" s="32" t="n"/>
      <c r="AT39" s="32" t="n"/>
      <c r="AU39" s="32" t="n"/>
      <c r="AV39" s="32" t="n"/>
      <c r="AW39" s="32" t="n"/>
      <c r="AX39" s="32" t="n"/>
      <c r="AY39" s="32" t="n"/>
      <c r="AZ39" s="32" t="n"/>
      <c r="BA39" s="32" t="n"/>
      <c r="BB39" s="32" t="n"/>
      <c r="BC39" s="32" t="n"/>
      <c r="BD39" s="32" t="n"/>
      <c r="BE39" s="32" t="n"/>
      <c r="BF39" s="32" t="n"/>
      <c r="BG39" s="32" t="n"/>
      <c r="BH39" s="32" t="n"/>
      <c r="BI39" s="32" t="n"/>
    </row>
    <row r="40" ht="15.75" customHeight="1" s="252">
      <c r="A40" s="33" t="inlineStr">
        <is>
          <t xml:space="preserve">Sam Johnson </t>
        </is>
      </c>
      <c r="D40" s="103">
        <f>IFERROR(D21/D$26,"")</f>
        <v/>
      </c>
      <c r="E40" s="103">
        <f>IFERROR(E21/E$26,"")</f>
        <v/>
      </c>
      <c r="F40" s="103">
        <f>IFERROR(F21/F$26,"")</f>
        <v/>
      </c>
      <c r="G40" s="103">
        <f>IFERROR(G21/G$26,"")</f>
        <v/>
      </c>
      <c r="H40" s="103">
        <f>IFERROR(H21/H$26,"")</f>
        <v/>
      </c>
      <c r="I40" s="103">
        <f>IFERROR(I21/I$26,"")</f>
        <v/>
      </c>
      <c r="J40" s="103">
        <f>IFERROR(J21/J$26,"")</f>
        <v/>
      </c>
      <c r="K40" s="103">
        <f>IFERROR(K21/K$26,"")</f>
        <v/>
      </c>
      <c r="L40" s="103">
        <f>IFERROR(L21/L$26,"")</f>
        <v/>
      </c>
      <c r="M40" s="103">
        <f>IFERROR(M21/M$26,"")</f>
        <v/>
      </c>
      <c r="N40" s="103">
        <f>IFERROR(N21/N$26,"")</f>
        <v/>
      </c>
      <c r="O40" s="103">
        <f>IFERROR(O21/O$26,"")</f>
        <v/>
      </c>
      <c r="P40" s="103">
        <f>IFERROR(P21/P$26,"")</f>
        <v/>
      </c>
      <c r="Q40" s="103">
        <f>IFERROR(Q21/Q$26,"")</f>
        <v/>
      </c>
      <c r="R40" s="103">
        <f>IFERROR(R21/R$26,"")</f>
        <v/>
      </c>
      <c r="S40" s="103">
        <f>IFERROR(S21/S$26,"")</f>
        <v/>
      </c>
      <c r="T40" s="103">
        <f>IFERROR(T21/T$26,"")</f>
        <v/>
      </c>
      <c r="U40" s="103">
        <f>IFERROR(U21/U$26,"")</f>
        <v/>
      </c>
      <c r="V40" s="103">
        <f>IFERROR(V21/V$26,"")</f>
        <v/>
      </c>
      <c r="W40" s="103">
        <f>IFERROR(W21/W$26,"")</f>
        <v/>
      </c>
      <c r="X40" s="103">
        <f>IFERROR(X21/X$26,"")</f>
        <v/>
      </c>
      <c r="Y40" s="103">
        <f>IFERROR(Y21/Y$26,"")</f>
        <v/>
      </c>
      <c r="Z40" s="103">
        <f>IFERROR(Z21/Z$26,"")</f>
        <v/>
      </c>
      <c r="AA40" s="103">
        <f>IFERROR(AA21/AA$26,"")</f>
        <v/>
      </c>
      <c r="AB40" s="103">
        <f>IFERROR(AB21/AB$26,"")</f>
        <v/>
      </c>
      <c r="AC40" s="103">
        <f>IFERROR(AC21/AC$26,"")</f>
        <v/>
      </c>
      <c r="AD40" s="103">
        <f>IFERROR(AD21/AD$26,"")</f>
        <v/>
      </c>
      <c r="AE40" s="103">
        <f>IFERROR(AE21/AE$26,"")</f>
        <v/>
      </c>
      <c r="AF40" s="103">
        <f>IFERROR(AF21/AF$26,"")</f>
        <v/>
      </c>
      <c r="AG40" s="103">
        <f>IFERROR(AG21/AG$26,"")</f>
        <v/>
      </c>
      <c r="AH40" s="103">
        <f>IFERROR(AH21/AH$26,"")</f>
        <v/>
      </c>
      <c r="AI40" s="103">
        <f>IFERROR(AI21/AI$26,"")</f>
        <v/>
      </c>
      <c r="AJ40" s="103">
        <f>IFERROR(AJ21/AJ$26,"")</f>
        <v/>
      </c>
      <c r="AK40" s="103">
        <f>IFERROR(AK21/AK$26,"")</f>
        <v/>
      </c>
      <c r="AL40" s="103">
        <f>IFERROR(AL21/AL$26,"")</f>
        <v/>
      </c>
      <c r="AM40" s="103">
        <f>IFERROR(AM21/AM$26,"")</f>
        <v/>
      </c>
      <c r="AN40" s="103">
        <f>IFERROR(AN21/AN$26,"")</f>
        <v/>
      </c>
      <c r="AO40" s="103">
        <f>IFERROR(AO21/AO$26,"")</f>
        <v/>
      </c>
      <c r="AP40" s="32" t="n"/>
      <c r="AQ40" s="32" t="n"/>
      <c r="AR40" s="32" t="n"/>
      <c r="AS40" s="32" t="n"/>
      <c r="AT40" s="32" t="n"/>
      <c r="AU40" s="32" t="n"/>
      <c r="AV40" s="32" t="n"/>
      <c r="AW40" s="32" t="n"/>
      <c r="AX40" s="32" t="n"/>
      <c r="AY40" s="32" t="n"/>
      <c r="AZ40" s="32" t="n"/>
      <c r="BA40" s="32" t="n"/>
      <c r="BB40" s="32" t="n"/>
      <c r="BC40" s="32" t="n"/>
      <c r="BD40" s="32" t="n"/>
      <c r="BE40" s="32" t="n"/>
      <c r="BF40" s="32" t="n"/>
      <c r="BG40" s="32" t="n"/>
      <c r="BH40" s="32" t="n"/>
      <c r="BI40" s="32" t="n"/>
    </row>
    <row r="41" ht="15.75" customHeight="1" s="252">
      <c r="A41" s="33" t="inlineStr">
        <is>
          <t>Ryan Van Der Wall</t>
        </is>
      </c>
      <c r="D41" s="103">
        <f>IFERROR(D22/D$26,"")</f>
        <v/>
      </c>
      <c r="E41" s="103">
        <f>IFERROR(E22/E$26,"")</f>
        <v/>
      </c>
      <c r="F41" s="103">
        <f>IFERROR(F22/F$26,"")</f>
        <v/>
      </c>
      <c r="G41" s="103">
        <f>IFERROR(G22/G$26,"")</f>
        <v/>
      </c>
      <c r="H41" s="103">
        <f>IFERROR(H22/H$26,"")</f>
        <v/>
      </c>
      <c r="I41" s="103">
        <f>IFERROR(I22/I$26,"")</f>
        <v/>
      </c>
      <c r="J41" s="103">
        <f>IFERROR(J22/J$26,"")</f>
        <v/>
      </c>
      <c r="K41" s="103">
        <f>IFERROR(K22/K$26,"")</f>
        <v/>
      </c>
      <c r="L41" s="103">
        <f>IFERROR(L22/L$26,"")</f>
        <v/>
      </c>
      <c r="M41" s="103">
        <f>IFERROR(M22/M$26,"")</f>
        <v/>
      </c>
      <c r="N41" s="103">
        <f>IFERROR(N22/N$26,"")</f>
        <v/>
      </c>
      <c r="O41" s="103">
        <f>IFERROR(O22/O$26,"")</f>
        <v/>
      </c>
      <c r="P41" s="103">
        <f>IFERROR(P22/P$26,"")</f>
        <v/>
      </c>
      <c r="Q41" s="103">
        <f>IFERROR(Q22/Q$26,"")</f>
        <v/>
      </c>
      <c r="R41" s="103">
        <f>IFERROR(R22/R$26,"")</f>
        <v/>
      </c>
      <c r="S41" s="103">
        <f>IFERROR(S22/S$26,"")</f>
        <v/>
      </c>
      <c r="T41" s="103">
        <f>IFERROR(T22/T$26,"")</f>
        <v/>
      </c>
      <c r="U41" s="103">
        <f>IFERROR(U22/U$26,"")</f>
        <v/>
      </c>
      <c r="V41" s="103">
        <f>IFERROR(V22/V$26,"")</f>
        <v/>
      </c>
      <c r="W41" s="103">
        <f>IFERROR(W22/W$26,"")</f>
        <v/>
      </c>
      <c r="X41" s="103">
        <f>IFERROR(X22/X$26,"")</f>
        <v/>
      </c>
      <c r="Y41" s="103">
        <f>IFERROR(Y22/Y$26,"")</f>
        <v/>
      </c>
      <c r="Z41" s="103">
        <f>IFERROR(Z22/Z$26,"")</f>
        <v/>
      </c>
      <c r="AA41" s="103">
        <f>IFERROR(AA22/AA$26,"")</f>
        <v/>
      </c>
      <c r="AB41" s="103">
        <f>IFERROR(AB22/AB$26,"")</f>
        <v/>
      </c>
      <c r="AC41" s="103">
        <f>IFERROR(AC22/AC$26,"")</f>
        <v/>
      </c>
      <c r="AD41" s="103">
        <f>IFERROR(AD22/AD$26,"")</f>
        <v/>
      </c>
      <c r="AE41" s="103">
        <f>IFERROR(AE22/AE$26,"")</f>
        <v/>
      </c>
      <c r="AF41" s="103">
        <f>IFERROR(AF22/AF$26,"")</f>
        <v/>
      </c>
      <c r="AG41" s="103">
        <f>IFERROR(AG22/AG$26,"")</f>
        <v/>
      </c>
      <c r="AH41" s="103">
        <f>IFERROR(AH22/AH$26,"")</f>
        <v/>
      </c>
      <c r="AI41" s="103">
        <f>IFERROR(AI22/AI$26,"")</f>
        <v/>
      </c>
      <c r="AJ41" s="103">
        <f>IFERROR(AJ22/AJ$26,"")</f>
        <v/>
      </c>
      <c r="AK41" s="103">
        <f>IFERROR(AK22/AK$26,"")</f>
        <v/>
      </c>
      <c r="AL41" s="103">
        <f>IFERROR(AL22/AL$26,"")</f>
        <v/>
      </c>
      <c r="AM41" s="103">
        <f>IFERROR(AM22/AM$26,"")</f>
        <v/>
      </c>
      <c r="AN41" s="103">
        <f>IFERROR(AN22/AN$26,"")</f>
        <v/>
      </c>
      <c r="AO41" s="103">
        <f>IFERROR(AO22/AO$26,"")</f>
        <v/>
      </c>
      <c r="AP41" s="32" t="n"/>
      <c r="AQ41" s="32" t="n"/>
      <c r="AR41" s="32" t="n"/>
      <c r="AS41" s="32" t="n"/>
      <c r="AT41" s="32" t="n"/>
      <c r="AU41" s="32" t="n"/>
      <c r="AV41" s="32" t="n"/>
      <c r="AW41" s="32" t="n"/>
      <c r="AX41" s="32" t="n"/>
      <c r="AY41" s="32" t="n"/>
      <c r="AZ41" s="32" t="n"/>
      <c r="BA41" s="32" t="n"/>
      <c r="BB41" s="32" t="n"/>
      <c r="BC41" s="32" t="n"/>
      <c r="BD41" s="32" t="n"/>
      <c r="BE41" s="32" t="n"/>
      <c r="BF41" s="32" t="n"/>
      <c r="BG41" s="32" t="n"/>
      <c r="BH41" s="32" t="n"/>
      <c r="BI41" s="32" t="n"/>
    </row>
    <row r="42" ht="15.75" customHeight="1" s="252">
      <c r="A42" s="33" t="inlineStr">
        <is>
          <t>Brandon Hood</t>
        </is>
      </c>
      <c r="D42" s="103">
        <f>IFERROR(D23/D$26,"")</f>
        <v/>
      </c>
      <c r="E42" s="103">
        <f>IFERROR(E23/E$26,"")</f>
        <v/>
      </c>
      <c r="F42" s="103">
        <f>IFERROR(F23/F$26,"")</f>
        <v/>
      </c>
      <c r="G42" s="103">
        <f>IFERROR(G23/G$26,"")</f>
        <v/>
      </c>
      <c r="H42" s="103">
        <f>IFERROR(H23/H$26,"")</f>
        <v/>
      </c>
      <c r="I42" s="103">
        <f>IFERROR(I23/I$26,"")</f>
        <v/>
      </c>
      <c r="J42" s="103">
        <f>IFERROR(J23/J$26,"")</f>
        <v/>
      </c>
      <c r="K42" s="103">
        <f>IFERROR(K23/K$26,"")</f>
        <v/>
      </c>
      <c r="L42" s="103">
        <f>IFERROR(L23/L$26,"")</f>
        <v/>
      </c>
      <c r="M42" s="103">
        <f>IFERROR(M23/M$26,"")</f>
        <v/>
      </c>
      <c r="N42" s="103">
        <f>IFERROR(N23/N$26,"")</f>
        <v/>
      </c>
      <c r="O42" s="103">
        <f>IFERROR(O23/O$26,"")</f>
        <v/>
      </c>
      <c r="P42" s="103">
        <f>IFERROR(P23/P$26,"")</f>
        <v/>
      </c>
      <c r="Q42" s="103">
        <f>IFERROR(Q23/Q$26,"")</f>
        <v/>
      </c>
      <c r="R42" s="103">
        <f>IFERROR(R23/R$26,"")</f>
        <v/>
      </c>
      <c r="S42" s="103">
        <f>IFERROR(S23/S$26,"")</f>
        <v/>
      </c>
      <c r="T42" s="103">
        <f>IFERROR(T23/T$26,"")</f>
        <v/>
      </c>
      <c r="U42" s="103">
        <f>IFERROR(U23/U$26,"")</f>
        <v/>
      </c>
      <c r="V42" s="103">
        <f>IFERROR(V23/V$26,"")</f>
        <v/>
      </c>
      <c r="W42" s="103">
        <f>IFERROR(W23/W$26,"")</f>
        <v/>
      </c>
      <c r="X42" s="103">
        <f>IFERROR(X23/X$26,"")</f>
        <v/>
      </c>
      <c r="Y42" s="103">
        <f>IFERROR(Y23/Y$26,"")</f>
        <v/>
      </c>
      <c r="Z42" s="103">
        <f>IFERROR(Z23/Z$26,"")</f>
        <v/>
      </c>
      <c r="AA42" s="103">
        <f>IFERROR(AA23/AA$26,"")</f>
        <v/>
      </c>
      <c r="AB42" s="103">
        <f>IFERROR(AB23/AB$26,"")</f>
        <v/>
      </c>
      <c r="AC42" s="103">
        <f>IFERROR(AC23/AC$26,"")</f>
        <v/>
      </c>
      <c r="AD42" s="103">
        <f>IFERROR(AD23/AD$26,"")</f>
        <v/>
      </c>
      <c r="AE42" s="103">
        <f>IFERROR(AE23/AE$26,"")</f>
        <v/>
      </c>
      <c r="AF42" s="103">
        <f>IFERROR(AF23/AF$26,"")</f>
        <v/>
      </c>
      <c r="AG42" s="103">
        <f>IFERROR(AG23/AG$26,"")</f>
        <v/>
      </c>
      <c r="AH42" s="103">
        <f>IFERROR(AH23/AH$26,"")</f>
        <v/>
      </c>
      <c r="AI42" s="103">
        <f>IFERROR(AI23/AI$26,"")</f>
        <v/>
      </c>
      <c r="AJ42" s="103">
        <f>IFERROR(AJ23/AJ$26,"")</f>
        <v/>
      </c>
      <c r="AK42" s="103">
        <f>IFERROR(AK23/AK$26,"")</f>
        <v/>
      </c>
      <c r="AL42" s="103">
        <f>IFERROR(AL23/AL$26,"")</f>
        <v/>
      </c>
      <c r="AM42" s="103">
        <f>IFERROR(AM23/AM$26,"")</f>
        <v/>
      </c>
      <c r="AN42" s="103">
        <f>IFERROR(AN23/AN$26,"")</f>
        <v/>
      </c>
      <c r="AO42" s="103">
        <f>IFERROR(AO23/AO$26,"")</f>
        <v/>
      </c>
      <c r="AP42" s="32" t="n"/>
      <c r="AQ42" s="32" t="n"/>
      <c r="AR42" s="32" t="n"/>
      <c r="AS42" s="32" t="n"/>
      <c r="AT42" s="32" t="n"/>
      <c r="AU42" s="32" t="n"/>
      <c r="AV42" s="32" t="n"/>
      <c r="AW42" s="32" t="n"/>
      <c r="AX42" s="32" t="n"/>
      <c r="AY42" s="32" t="n"/>
      <c r="AZ42" s="32" t="n"/>
      <c r="BA42" s="32" t="n"/>
      <c r="BB42" s="32" t="n"/>
      <c r="BC42" s="32" t="n"/>
      <c r="BD42" s="32" t="n"/>
      <c r="BE42" s="32" t="n"/>
      <c r="BF42" s="32" t="n"/>
      <c r="BG42" s="32" t="n"/>
      <c r="BH42" s="32" t="n"/>
      <c r="BI42" s="32" t="n"/>
    </row>
    <row r="43" ht="15.75" customHeight="1" s="252">
      <c r="A43" s="33" t="inlineStr">
        <is>
          <t>NSVO Holdings</t>
        </is>
      </c>
      <c r="D43" s="103">
        <f>IFERROR(D24/D$26,"")</f>
        <v/>
      </c>
      <c r="E43" s="103">
        <f>IFERROR(E24/E$26,"")</f>
        <v/>
      </c>
      <c r="F43" s="103">
        <f>IFERROR(F24/F$26,"")</f>
        <v/>
      </c>
      <c r="G43" s="103">
        <f>IFERROR(G24/G$26,"")</f>
        <v/>
      </c>
      <c r="H43" s="103">
        <f>IFERROR(H24/H$26,"")</f>
        <v/>
      </c>
      <c r="I43" s="103">
        <f>IFERROR(I24/I$26,"")</f>
        <v/>
      </c>
      <c r="J43" s="103">
        <f>IFERROR(J24/J$26,"")</f>
        <v/>
      </c>
      <c r="K43" s="103">
        <f>IFERROR(K24/K$26,"")</f>
        <v/>
      </c>
      <c r="L43" s="103">
        <f>IFERROR(L24/L$26,"")</f>
        <v/>
      </c>
      <c r="M43" s="103">
        <f>IFERROR(M24/M$26,"")</f>
        <v/>
      </c>
      <c r="N43" s="103">
        <f>IFERROR(N24/N$26,"")</f>
        <v/>
      </c>
      <c r="O43" s="103">
        <f>IFERROR(O24/O$26,"")</f>
        <v/>
      </c>
      <c r="P43" s="103">
        <f>IFERROR(P24/P$26,"")</f>
        <v/>
      </c>
      <c r="Q43" s="103">
        <f>IFERROR(Q24/Q$26,"")</f>
        <v/>
      </c>
      <c r="R43" s="103">
        <f>IFERROR(R24/R$26,"")</f>
        <v/>
      </c>
      <c r="S43" s="103">
        <f>IFERROR(S24/S$26,"")</f>
        <v/>
      </c>
      <c r="T43" s="103">
        <f>IFERROR(T24/T$26,"")</f>
        <v/>
      </c>
      <c r="U43" s="103">
        <f>IFERROR(U24/U$26,"")</f>
        <v/>
      </c>
      <c r="V43" s="103">
        <f>IFERROR(V24/V$26,"")</f>
        <v/>
      </c>
      <c r="W43" s="103">
        <f>IFERROR(W24/W$26,"")</f>
        <v/>
      </c>
      <c r="X43" s="103">
        <f>IFERROR(X24/X$26,"")</f>
        <v/>
      </c>
      <c r="Y43" s="103">
        <f>IFERROR(Y24/Y$26,"")</f>
        <v/>
      </c>
      <c r="Z43" s="103">
        <f>IFERROR(Z24/Z$26,"")</f>
        <v/>
      </c>
      <c r="AA43" s="103">
        <f>IFERROR(AA24/AA$26,"")</f>
        <v/>
      </c>
      <c r="AB43" s="103">
        <f>IFERROR(AB24/AB$26,"")</f>
        <v/>
      </c>
      <c r="AC43" s="103">
        <f>IFERROR(AC24/AC$26,"")</f>
        <v/>
      </c>
      <c r="AD43" s="103">
        <f>IFERROR(AD24/AD$26,"")</f>
        <v/>
      </c>
      <c r="AE43" s="103">
        <f>IFERROR(AE24/AE$26,"")</f>
        <v/>
      </c>
      <c r="AF43" s="103">
        <f>IFERROR(AF24/AF$26,"")</f>
        <v/>
      </c>
      <c r="AG43" s="103">
        <f>IFERROR(AG24/AG$26,"")</f>
        <v/>
      </c>
      <c r="AH43" s="103">
        <f>IFERROR(AH24/AH$26,"")</f>
        <v/>
      </c>
      <c r="AI43" s="103">
        <f>IFERROR(AI24/AI$26,"")</f>
        <v/>
      </c>
      <c r="AJ43" s="103">
        <f>IFERROR(AJ24/AJ$26,"")</f>
        <v/>
      </c>
      <c r="AK43" s="103">
        <f>IFERROR(AK24/AK$26,"")</f>
        <v/>
      </c>
      <c r="AL43" s="103">
        <f>IFERROR(AL24/AL$26,"")</f>
        <v/>
      </c>
      <c r="AM43" s="103">
        <f>IFERROR(AM24/AM$26,"")</f>
        <v/>
      </c>
      <c r="AN43" s="103">
        <f>IFERROR(AN24/AN$26,"")</f>
        <v/>
      </c>
      <c r="AO43" s="103">
        <f>IFERROR(AO24/AO$26,"")</f>
        <v/>
      </c>
      <c r="AP43" s="32" t="n"/>
      <c r="AQ43" s="32" t="n"/>
      <c r="AR43" s="32" t="n"/>
      <c r="AS43" s="32" t="n"/>
      <c r="AT43" s="32" t="n"/>
      <c r="AU43" s="32" t="n"/>
      <c r="AV43" s="32" t="n"/>
      <c r="AW43" s="32" t="n"/>
      <c r="AX43" s="3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</row>
    <row r="44" ht="15.75" customHeight="1" s="252">
      <c r="A44" s="11" t="inlineStr">
        <is>
          <t>ALOK PAVAN BATRA</t>
        </is>
      </c>
      <c r="D44" s="103">
        <f>IFERROR(D25/D$26,"")</f>
        <v/>
      </c>
      <c r="E44" s="103">
        <f>IFERROR(E25/E$26,"")</f>
        <v/>
      </c>
      <c r="F44" s="103">
        <f>IFERROR(F25/F$26,"")</f>
        <v/>
      </c>
      <c r="G44" s="103">
        <f>IFERROR(G25/G$26,"")</f>
        <v/>
      </c>
      <c r="H44" s="103">
        <f>IFERROR(H25/H$26,"")</f>
        <v/>
      </c>
      <c r="I44" s="103">
        <f>IFERROR(I25/I$26,"")</f>
        <v/>
      </c>
      <c r="J44" s="103">
        <f>IFERROR(J25/J$26,"")</f>
        <v/>
      </c>
      <c r="K44" s="103">
        <f>IFERROR(K25/K$26,"")</f>
        <v/>
      </c>
      <c r="L44" s="103">
        <f>IFERROR(L25/L$26,"")</f>
        <v/>
      </c>
      <c r="M44" s="103">
        <f>IFERROR(M25/M$26,"")</f>
        <v/>
      </c>
      <c r="N44" s="103">
        <f>IFERROR(N25/N$26,"")</f>
        <v/>
      </c>
      <c r="O44" s="103">
        <f>IFERROR(O25/O$26,"")</f>
        <v/>
      </c>
      <c r="P44" s="103">
        <f>IFERROR(P25/P$26,"")</f>
        <v/>
      </c>
      <c r="Q44" s="103">
        <f>IFERROR(Q25/Q$26,"")</f>
        <v/>
      </c>
      <c r="R44" s="103">
        <f>IFERROR(R25/R$26,"")</f>
        <v/>
      </c>
      <c r="S44" s="103">
        <f>IFERROR(S25/S$26,"")</f>
        <v/>
      </c>
      <c r="T44" s="103">
        <f>IFERROR(T25/T$26,"")</f>
        <v/>
      </c>
      <c r="U44" s="103">
        <f>IFERROR(U25/U$26,"")</f>
        <v/>
      </c>
      <c r="V44" s="103">
        <f>IFERROR(V25/V$26,"")</f>
        <v/>
      </c>
      <c r="W44" s="103">
        <f>IFERROR(W25/W$26,"")</f>
        <v/>
      </c>
      <c r="X44" s="103">
        <f>IFERROR(X25/X$26,"")</f>
        <v/>
      </c>
      <c r="Y44" s="103">
        <f>IFERROR(Y25/Y$26,"")</f>
        <v/>
      </c>
      <c r="Z44" s="103">
        <f>IFERROR(Z25/Z$26,"")</f>
        <v/>
      </c>
      <c r="AA44" s="103">
        <f>IFERROR(AA25/AA$26,"")</f>
        <v/>
      </c>
      <c r="AB44" s="103">
        <f>IFERROR(AB25/AB$26,"")</f>
        <v/>
      </c>
      <c r="AC44" s="103">
        <f>IFERROR(AC25/AC$26,"")</f>
        <v/>
      </c>
      <c r="AD44" s="103">
        <f>IFERROR(AD25/AD$26,"")</f>
        <v/>
      </c>
      <c r="AE44" s="103">
        <f>IFERROR(AE25/AE$26,"")</f>
        <v/>
      </c>
      <c r="AF44" s="103">
        <f>IFERROR(AF25/AF$26,"")</f>
        <v/>
      </c>
      <c r="AG44" s="103">
        <f>IFERROR(AG25/AG$26,"")</f>
        <v/>
      </c>
      <c r="AH44" s="103">
        <f>IFERROR(AH25/AH$26,"")</f>
        <v/>
      </c>
      <c r="AI44" s="103">
        <f>IFERROR(AI25/AI$26,"")</f>
        <v/>
      </c>
      <c r="AJ44" s="103">
        <f>IFERROR(AJ25/AJ$26,"")</f>
        <v/>
      </c>
      <c r="AK44" s="103">
        <f>IFERROR(AK25/AK$26,"")</f>
        <v/>
      </c>
      <c r="AL44" s="103">
        <f>IFERROR(AL25/AL$26,"")</f>
        <v/>
      </c>
      <c r="AM44" s="103">
        <f>IFERROR(AM25/AM$26,"")</f>
        <v/>
      </c>
      <c r="AN44" s="103">
        <f>IFERROR(AN25/AN$26,"")</f>
        <v/>
      </c>
      <c r="AO44" s="103">
        <f>IFERROR(AO25/AO$26,"")</f>
        <v/>
      </c>
      <c r="AP44" s="32" t="n"/>
      <c r="AQ44" s="32" t="n"/>
      <c r="AR44" s="32" t="n"/>
      <c r="AS44" s="32" t="n"/>
      <c r="AT44" s="32" t="n"/>
      <c r="AU44" s="32" t="n"/>
      <c r="AV44" s="32" t="n"/>
      <c r="AW44" s="32" t="n"/>
      <c r="AX44" s="32" t="n"/>
      <c r="AY44" s="32" t="n"/>
      <c r="AZ44" s="32" t="n"/>
      <c r="BA44" s="32" t="n"/>
      <c r="BB44" s="32" t="n"/>
      <c r="BC44" s="32" t="n"/>
      <c r="BD44" s="32" t="n"/>
      <c r="BE44" s="32" t="n"/>
      <c r="BF44" s="32" t="n"/>
      <c r="BG44" s="32" t="n"/>
      <c r="BH44" s="32" t="n"/>
      <c r="BI44" s="32" t="n"/>
    </row>
    <row r="45" ht="15.75" customHeight="1" s="252">
      <c r="A45" s="104" t="inlineStr">
        <is>
          <t>Total AUM</t>
        </is>
      </c>
      <c r="B45" s="105" t="n"/>
      <c r="C45" s="105" t="n"/>
      <c r="D45" s="106">
        <f>SUM(D28:D44)</f>
        <v/>
      </c>
      <c r="E45" s="106">
        <f>SUM(E28:E44)</f>
        <v/>
      </c>
      <c r="F45" s="106">
        <f>SUM(F28:F44)</f>
        <v/>
      </c>
      <c r="G45" s="106">
        <f>SUM(G28:G44)</f>
        <v/>
      </c>
      <c r="H45" s="106">
        <f>SUM(H28:H44)</f>
        <v/>
      </c>
      <c r="I45" s="106">
        <f>SUM(I28:I44)</f>
        <v/>
      </c>
      <c r="J45" s="106">
        <f>SUM(J28:J44)</f>
        <v/>
      </c>
      <c r="K45" s="106">
        <f>SUM(K28:K44)</f>
        <v/>
      </c>
      <c r="L45" s="106">
        <f>SUM(L28:L44)</f>
        <v/>
      </c>
      <c r="M45" s="106">
        <f>SUM(M28:M44)</f>
        <v/>
      </c>
      <c r="N45" s="106">
        <f>SUM(N28:N44)</f>
        <v/>
      </c>
      <c r="O45" s="106">
        <f>SUM(O28:O44)</f>
        <v/>
      </c>
      <c r="P45" s="106">
        <f>SUM(P28:P44)</f>
        <v/>
      </c>
      <c r="Q45" s="106">
        <f>SUM(Q28:Q44)</f>
        <v/>
      </c>
      <c r="R45" s="106">
        <f>SUM(R28:R44)</f>
        <v/>
      </c>
      <c r="S45" s="106">
        <f>SUM(S28:S44)</f>
        <v/>
      </c>
      <c r="T45" s="106">
        <f>SUM(T28:T44)</f>
        <v/>
      </c>
      <c r="U45" s="106">
        <f>SUM(U28:U44)</f>
        <v/>
      </c>
      <c r="V45" s="106">
        <f>SUM(V28:V44)</f>
        <v/>
      </c>
      <c r="W45" s="106">
        <f>SUM(W28:W44)</f>
        <v/>
      </c>
      <c r="X45" s="106">
        <f>SUM(X28:X44)</f>
        <v/>
      </c>
      <c r="Y45" s="106">
        <f>SUM(Y28:Y44)</f>
        <v/>
      </c>
      <c r="Z45" s="106">
        <f>SUM(Z28:Z44)</f>
        <v/>
      </c>
      <c r="AA45" s="106">
        <f>SUM(AA28:AA44)</f>
        <v/>
      </c>
      <c r="AB45" s="106">
        <f>SUM(AB28:AB44)</f>
        <v/>
      </c>
      <c r="AC45" s="106">
        <f>SUM(AC28:AC44)</f>
        <v/>
      </c>
      <c r="AD45" s="106">
        <f>SUM(AD28:AD44)</f>
        <v/>
      </c>
      <c r="AE45" s="106">
        <f>SUM(AE28:AE44)</f>
        <v/>
      </c>
      <c r="AF45" s="106">
        <f>SUM(AF28:AF44)</f>
        <v/>
      </c>
      <c r="AG45" s="106">
        <f>SUM(AG28:AG44)</f>
        <v/>
      </c>
      <c r="AH45" s="106">
        <f>SUM(AH28:AH44)</f>
        <v/>
      </c>
      <c r="AI45" s="106">
        <f>SUM(AI28:AI44)</f>
        <v/>
      </c>
      <c r="AJ45" s="106">
        <f>SUM(AJ28:AJ44)</f>
        <v/>
      </c>
      <c r="AK45" s="106">
        <f>SUM(AK28:AK44)</f>
        <v/>
      </c>
      <c r="AL45" s="106">
        <f>SUM(AL28:AL44)</f>
        <v/>
      </c>
      <c r="AM45" s="106">
        <f>SUM(AM28:AM44)</f>
        <v/>
      </c>
      <c r="AN45" s="106">
        <f>SUM(AN28:AN44)</f>
        <v/>
      </c>
      <c r="AO45" s="106">
        <f>SUM(AO28:AO44)</f>
        <v/>
      </c>
      <c r="AP45" s="32" t="n"/>
      <c r="AQ45" s="32" t="n"/>
      <c r="AR45" s="32" t="n"/>
      <c r="AS45" s="32" t="n"/>
      <c r="AT45" s="32" t="n"/>
      <c r="AU45" s="32" t="n"/>
      <c r="AV45" s="32" t="n"/>
      <c r="AW45" s="32" t="n"/>
      <c r="AX45" s="32" t="n"/>
      <c r="AY45" s="32" t="n"/>
      <c r="AZ45" s="32" t="n"/>
      <c r="BA45" s="32" t="n"/>
      <c r="BB45" s="32" t="n"/>
      <c r="BC45" s="32" t="n"/>
      <c r="BD45" s="32" t="n"/>
      <c r="BE45" s="32" t="n"/>
      <c r="BF45" s="32" t="n"/>
      <c r="BG45" s="32" t="n"/>
      <c r="BH45" s="32" t="n"/>
      <c r="BI45" s="32" t="n"/>
    </row>
    <row r="46" ht="15.75" customHeight="1" s="252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  <c r="AV46" s="32" t="n"/>
      <c r="AW46" s="32" t="n"/>
      <c r="AX46" s="32" t="n"/>
      <c r="AY46" s="32" t="n"/>
      <c r="AZ46" s="32" t="n"/>
      <c r="BA46" s="32" t="n"/>
      <c r="BB46" s="32" t="n"/>
      <c r="BC46" s="32" t="n"/>
      <c r="BD46" s="32" t="n"/>
      <c r="BE46" s="32" t="n"/>
      <c r="BF46" s="32" t="n"/>
      <c r="BG46" s="32" t="n"/>
      <c r="BH46" s="32" t="n"/>
      <c r="BI46" s="32" t="n"/>
    </row>
    <row r="47" ht="15.75" customHeight="1" s="252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  <c r="AV47" s="32" t="n"/>
      <c r="AW47" s="32" t="n"/>
      <c r="AX47" s="3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</row>
    <row r="48" ht="15.75" customHeight="1" s="252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  <c r="AV48" s="32" t="n"/>
      <c r="AW48" s="32" t="n"/>
      <c r="AX48" s="3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</row>
    <row r="49" ht="15.75" customHeight="1" s="252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  <c r="AV49" s="32" t="n"/>
      <c r="AW49" s="32" t="n"/>
      <c r="AX49" s="32" t="n"/>
      <c r="AY49" s="32" t="n"/>
      <c r="AZ49" s="32" t="n"/>
      <c r="BA49" s="32" t="n"/>
      <c r="BB49" s="32" t="n"/>
      <c r="BC49" s="32" t="n"/>
      <c r="BD49" s="32" t="n"/>
      <c r="BE49" s="32" t="n"/>
      <c r="BF49" s="32" t="n"/>
      <c r="BG49" s="32" t="n"/>
      <c r="BH49" s="32" t="n"/>
      <c r="BI49" s="32" t="n"/>
    </row>
    <row r="50" ht="15.75" customHeight="1" s="252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  <c r="AV50" s="32" t="n"/>
      <c r="AW50" s="32" t="n"/>
      <c r="AX50" s="32" t="n"/>
      <c r="AY50" s="32" t="n"/>
      <c r="AZ50" s="32" t="n"/>
      <c r="BA50" s="32" t="n"/>
      <c r="BB50" s="32" t="n"/>
      <c r="BC50" s="32" t="n"/>
      <c r="BD50" s="32" t="n"/>
      <c r="BE50" s="32" t="n"/>
      <c r="BF50" s="32" t="n"/>
      <c r="BG50" s="32" t="n"/>
      <c r="BH50" s="32" t="n"/>
      <c r="BI50" s="32" t="n"/>
    </row>
    <row r="51" ht="15.75" customHeight="1" s="252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</row>
    <row r="52" ht="15.75" customHeight="1" s="2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</row>
    <row r="53" ht="15.75" customHeight="1" s="252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</row>
    <row r="54" ht="15.75" customHeight="1" s="252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</row>
    <row r="55" ht="15.75" customHeight="1" s="252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</row>
    <row r="56" ht="15.75" customHeight="1" s="252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</row>
    <row r="57" ht="15.75" customHeight="1" s="252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</row>
    <row r="58" ht="15.75" customHeight="1" s="252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</row>
    <row r="59" ht="15.75" customHeight="1" s="252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</row>
    <row r="60" ht="15.75" customHeight="1" s="252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</row>
    <row r="61" ht="15.75" customHeight="1" s="252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</row>
    <row r="62" ht="15.75" customHeight="1" s="25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</row>
    <row r="63" ht="15.75" customHeight="1" s="252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</row>
    <row r="64" ht="15.75" customHeight="1" s="252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</row>
    <row r="65" ht="15.75" customHeight="1" s="252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</row>
    <row r="66" ht="15.75" customHeight="1" s="252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</row>
    <row r="67" ht="15.75" customHeight="1" s="252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</row>
    <row r="68" ht="15.75" customHeight="1" s="252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n"/>
      <c r="AY68" s="32" t="n"/>
      <c r="AZ68" s="32" t="n"/>
      <c r="BA68" s="32" t="n"/>
      <c r="BB68" s="32" t="n"/>
      <c r="BC68" s="32" t="n"/>
      <c r="BD68" s="32" t="n"/>
      <c r="BE68" s="32" t="n"/>
      <c r="BF68" s="32" t="n"/>
      <c r="BG68" s="32" t="n"/>
      <c r="BH68" s="32" t="n"/>
      <c r="BI68" s="32" t="n"/>
    </row>
    <row r="69" ht="15.75" customHeight="1" s="252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</row>
    <row r="70" ht="15.75" customHeight="1" s="252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</row>
    <row r="71" ht="15.75" customHeight="1" s="252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</row>
    <row r="72" ht="15.75" customHeight="1" s="25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n"/>
      <c r="AY72" s="32" t="n"/>
      <c r="AZ72" s="32" t="n"/>
      <c r="BA72" s="32" t="n"/>
      <c r="BB72" s="32" t="n"/>
      <c r="BC72" s="32" t="n"/>
      <c r="BD72" s="32" t="n"/>
      <c r="BE72" s="32" t="n"/>
      <c r="BF72" s="32" t="n"/>
      <c r="BG72" s="32" t="n"/>
      <c r="BH72" s="32" t="n"/>
      <c r="BI72" s="32" t="n"/>
    </row>
    <row r="73" ht="15.75" customHeight="1" s="252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  <c r="AV73" s="32" t="n"/>
      <c r="AW73" s="32" t="n"/>
      <c r="AX73" s="32" t="n"/>
      <c r="AY73" s="32" t="n"/>
      <c r="AZ73" s="32" t="n"/>
      <c r="BA73" s="32" t="n"/>
      <c r="BB73" s="32" t="n"/>
      <c r="BC73" s="32" t="n"/>
      <c r="BD73" s="32" t="n"/>
      <c r="BE73" s="32" t="n"/>
      <c r="BF73" s="32" t="n"/>
      <c r="BG73" s="32" t="n"/>
      <c r="BH73" s="32" t="n"/>
      <c r="BI73" s="32" t="n"/>
    </row>
    <row r="74" ht="15.75" customHeight="1" s="252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</row>
    <row r="75" ht="15.75" customHeight="1" s="252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  <c r="AV75" s="32" t="n"/>
      <c r="AW75" s="32" t="n"/>
      <c r="AX75" s="32" t="n"/>
      <c r="AY75" s="32" t="n"/>
      <c r="AZ75" s="32" t="n"/>
      <c r="BA75" s="32" t="n"/>
      <c r="BB75" s="32" t="n"/>
      <c r="BC75" s="32" t="n"/>
      <c r="BD75" s="32" t="n"/>
      <c r="BE75" s="32" t="n"/>
      <c r="BF75" s="32" t="n"/>
      <c r="BG75" s="32" t="n"/>
      <c r="BH75" s="32" t="n"/>
      <c r="BI75" s="32" t="n"/>
    </row>
    <row r="76" ht="15.75" customHeight="1" s="252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  <c r="AV76" s="32" t="n"/>
      <c r="AW76" s="32" t="n"/>
      <c r="AX76" s="32" t="n"/>
      <c r="AY76" s="32" t="n"/>
      <c r="AZ76" s="32" t="n"/>
      <c r="BA76" s="32" t="n"/>
      <c r="BB76" s="32" t="n"/>
      <c r="BC76" s="32" t="n"/>
      <c r="BD76" s="32" t="n"/>
      <c r="BE76" s="32" t="n"/>
      <c r="BF76" s="32" t="n"/>
      <c r="BG76" s="32" t="n"/>
      <c r="BH76" s="32" t="n"/>
      <c r="BI76" s="32" t="n"/>
    </row>
    <row r="77" ht="15.75" customHeight="1" s="252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  <c r="AV77" s="32" t="n"/>
      <c r="AW77" s="32" t="n"/>
      <c r="AX77" s="32" t="n"/>
      <c r="AY77" s="32" t="n"/>
      <c r="AZ77" s="32" t="n"/>
      <c r="BA77" s="32" t="n"/>
      <c r="BB77" s="32" t="n"/>
      <c r="BC77" s="32" t="n"/>
      <c r="BD77" s="32" t="n"/>
      <c r="BE77" s="32" t="n"/>
      <c r="BF77" s="32" t="n"/>
      <c r="BG77" s="32" t="n"/>
      <c r="BH77" s="32" t="n"/>
      <c r="BI77" s="32" t="n"/>
    </row>
    <row r="78" ht="15.75" customHeight="1" s="252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  <c r="AV78" s="32" t="n"/>
      <c r="AW78" s="32" t="n"/>
      <c r="AX78" s="32" t="n"/>
      <c r="AY78" s="32" t="n"/>
      <c r="AZ78" s="32" t="n"/>
      <c r="BA78" s="32" t="n"/>
      <c r="BB78" s="32" t="n"/>
      <c r="BC78" s="32" t="n"/>
      <c r="BD78" s="32" t="n"/>
      <c r="BE78" s="32" t="n"/>
      <c r="BF78" s="32" t="n"/>
      <c r="BG78" s="32" t="n"/>
      <c r="BH78" s="32" t="n"/>
      <c r="BI78" s="32" t="n"/>
    </row>
    <row r="79" ht="15.75" customHeight="1" s="252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  <c r="AV79" s="32" t="n"/>
      <c r="AW79" s="32" t="n"/>
      <c r="AX79" s="32" t="n"/>
      <c r="AY79" s="32" t="n"/>
      <c r="AZ79" s="32" t="n"/>
      <c r="BA79" s="32" t="n"/>
      <c r="BB79" s="32" t="n"/>
      <c r="BC79" s="32" t="n"/>
      <c r="BD79" s="32" t="n"/>
      <c r="BE79" s="32" t="n"/>
      <c r="BF79" s="32" t="n"/>
      <c r="BG79" s="32" t="n"/>
      <c r="BH79" s="32" t="n"/>
      <c r="BI79" s="32" t="n"/>
    </row>
    <row r="80" ht="15.75" customHeight="1" s="252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  <c r="AV80" s="32" t="n"/>
      <c r="AW80" s="32" t="n"/>
      <c r="AX80" s="32" t="n"/>
      <c r="AY80" s="32" t="n"/>
      <c r="AZ80" s="32" t="n"/>
      <c r="BA80" s="32" t="n"/>
      <c r="BB80" s="32" t="n"/>
      <c r="BC80" s="32" t="n"/>
      <c r="BD80" s="32" t="n"/>
      <c r="BE80" s="32" t="n"/>
      <c r="BF80" s="32" t="n"/>
      <c r="BG80" s="32" t="n"/>
      <c r="BH80" s="32" t="n"/>
      <c r="BI80" s="32" t="n"/>
    </row>
    <row r="81" ht="15.75" customHeight="1" s="252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  <c r="AV81" s="32" t="n"/>
      <c r="AW81" s="32" t="n"/>
      <c r="AX81" s="32" t="n"/>
      <c r="AY81" s="32" t="n"/>
      <c r="AZ81" s="32" t="n"/>
      <c r="BA81" s="32" t="n"/>
      <c r="BB81" s="32" t="n"/>
      <c r="BC81" s="32" t="n"/>
      <c r="BD81" s="32" t="n"/>
      <c r="BE81" s="32" t="n"/>
      <c r="BF81" s="32" t="n"/>
      <c r="BG81" s="32" t="n"/>
      <c r="BH81" s="32" t="n"/>
      <c r="BI81" s="32" t="n"/>
    </row>
    <row r="82" ht="15.75" customHeight="1" s="25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  <c r="AV82" s="32" t="n"/>
      <c r="AW82" s="32" t="n"/>
      <c r="AX82" s="32" t="n"/>
      <c r="AY82" s="32" t="n"/>
      <c r="AZ82" s="32" t="n"/>
      <c r="BA82" s="32" t="n"/>
      <c r="BB82" s="32" t="n"/>
      <c r="BC82" s="32" t="n"/>
      <c r="BD82" s="32" t="n"/>
      <c r="BE82" s="32" t="n"/>
      <c r="BF82" s="32" t="n"/>
      <c r="BG82" s="32" t="n"/>
      <c r="BH82" s="32" t="n"/>
      <c r="BI82" s="32" t="n"/>
    </row>
    <row r="83" ht="15.75" customHeight="1" s="252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  <c r="AV83" s="32" t="n"/>
      <c r="AW83" s="32" t="n"/>
      <c r="AX83" s="32" t="n"/>
      <c r="AY83" s="32" t="n"/>
      <c r="AZ83" s="32" t="n"/>
      <c r="BA83" s="32" t="n"/>
      <c r="BB83" s="32" t="n"/>
      <c r="BC83" s="32" t="n"/>
      <c r="BD83" s="32" t="n"/>
      <c r="BE83" s="32" t="n"/>
      <c r="BF83" s="32" t="n"/>
      <c r="BG83" s="32" t="n"/>
      <c r="BH83" s="32" t="n"/>
      <c r="BI83" s="32" t="n"/>
    </row>
    <row r="84" ht="15.75" customHeight="1" s="252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  <c r="AV84" s="32" t="n"/>
      <c r="AW84" s="32" t="n"/>
      <c r="AX84" s="32" t="n"/>
      <c r="AY84" s="32" t="n"/>
      <c r="AZ84" s="32" t="n"/>
      <c r="BA84" s="32" t="n"/>
      <c r="BB84" s="32" t="n"/>
      <c r="BC84" s="32" t="n"/>
      <c r="BD84" s="32" t="n"/>
      <c r="BE84" s="32" t="n"/>
      <c r="BF84" s="32" t="n"/>
      <c r="BG84" s="32" t="n"/>
      <c r="BH84" s="32" t="n"/>
      <c r="BI84" s="32" t="n"/>
    </row>
    <row r="85" ht="15.75" customHeight="1" s="252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  <c r="AV85" s="32" t="n"/>
      <c r="AW85" s="32" t="n"/>
      <c r="AX85" s="32" t="n"/>
      <c r="AY85" s="32" t="n"/>
      <c r="AZ85" s="32" t="n"/>
      <c r="BA85" s="32" t="n"/>
      <c r="BB85" s="32" t="n"/>
      <c r="BC85" s="32" t="n"/>
      <c r="BD85" s="32" t="n"/>
      <c r="BE85" s="32" t="n"/>
      <c r="BF85" s="32" t="n"/>
      <c r="BG85" s="32" t="n"/>
      <c r="BH85" s="32" t="n"/>
      <c r="BI85" s="32" t="n"/>
    </row>
    <row r="86" ht="15.75" customHeight="1" s="252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  <c r="AV86" s="32" t="n"/>
      <c r="AW86" s="32" t="n"/>
      <c r="AX86" s="32" t="n"/>
      <c r="AY86" s="32" t="n"/>
      <c r="AZ86" s="32" t="n"/>
      <c r="BA86" s="32" t="n"/>
      <c r="BB86" s="32" t="n"/>
      <c r="BC86" s="32" t="n"/>
      <c r="BD86" s="32" t="n"/>
      <c r="BE86" s="32" t="n"/>
      <c r="BF86" s="32" t="n"/>
      <c r="BG86" s="32" t="n"/>
      <c r="BH86" s="32" t="n"/>
      <c r="BI86" s="32" t="n"/>
    </row>
    <row r="87" ht="15.75" customHeight="1" s="252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  <c r="AV87" s="32" t="n"/>
      <c r="AW87" s="32" t="n"/>
      <c r="AX87" s="32" t="n"/>
      <c r="AY87" s="32" t="n"/>
      <c r="AZ87" s="32" t="n"/>
      <c r="BA87" s="32" t="n"/>
      <c r="BB87" s="32" t="n"/>
      <c r="BC87" s="32" t="n"/>
      <c r="BD87" s="32" t="n"/>
      <c r="BE87" s="32" t="n"/>
      <c r="BF87" s="32" t="n"/>
      <c r="BG87" s="32" t="n"/>
      <c r="BH87" s="32" t="n"/>
      <c r="BI87" s="32" t="n"/>
    </row>
    <row r="88" ht="15.75" customHeight="1" s="252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  <c r="AV88" s="32" t="n"/>
      <c r="AW88" s="32" t="n"/>
      <c r="AX88" s="32" t="n"/>
      <c r="AY88" s="32" t="n"/>
      <c r="AZ88" s="32" t="n"/>
      <c r="BA88" s="32" t="n"/>
      <c r="BB88" s="32" t="n"/>
      <c r="BC88" s="32" t="n"/>
      <c r="BD88" s="32" t="n"/>
      <c r="BE88" s="32" t="n"/>
      <c r="BF88" s="32" t="n"/>
      <c r="BG88" s="32" t="n"/>
      <c r="BH88" s="32" t="n"/>
      <c r="BI88" s="32" t="n"/>
    </row>
    <row r="89" ht="15.75" customHeight="1" s="252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  <c r="AV89" s="32" t="n"/>
      <c r="AW89" s="32" t="n"/>
      <c r="AX89" s="32" t="n"/>
      <c r="AY89" s="32" t="n"/>
      <c r="AZ89" s="32" t="n"/>
      <c r="BA89" s="32" t="n"/>
      <c r="BB89" s="32" t="n"/>
      <c r="BC89" s="32" t="n"/>
      <c r="BD89" s="32" t="n"/>
      <c r="BE89" s="32" t="n"/>
      <c r="BF89" s="32" t="n"/>
      <c r="BG89" s="32" t="n"/>
      <c r="BH89" s="32" t="n"/>
      <c r="BI89" s="32" t="n"/>
    </row>
    <row r="90" ht="15.75" customHeight="1" s="252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  <c r="AV90" s="32" t="n"/>
      <c r="AW90" s="32" t="n"/>
      <c r="AX90" s="32" t="n"/>
      <c r="AY90" s="32" t="n"/>
      <c r="AZ90" s="32" t="n"/>
      <c r="BA90" s="32" t="n"/>
      <c r="BB90" s="32" t="n"/>
      <c r="BC90" s="32" t="n"/>
      <c r="BD90" s="32" t="n"/>
      <c r="BE90" s="32" t="n"/>
      <c r="BF90" s="32" t="n"/>
      <c r="BG90" s="32" t="n"/>
      <c r="BH90" s="32" t="n"/>
      <c r="BI90" s="32" t="n"/>
    </row>
    <row r="91" ht="15.75" customHeight="1" s="252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  <c r="AV91" s="32" t="n"/>
      <c r="AW91" s="32" t="n"/>
      <c r="AX91" s="32" t="n"/>
      <c r="AY91" s="32" t="n"/>
      <c r="AZ91" s="32" t="n"/>
      <c r="BA91" s="32" t="n"/>
      <c r="BB91" s="32" t="n"/>
      <c r="BC91" s="32" t="n"/>
      <c r="BD91" s="32" t="n"/>
      <c r="BE91" s="32" t="n"/>
      <c r="BF91" s="32" t="n"/>
      <c r="BG91" s="32" t="n"/>
      <c r="BH91" s="32" t="n"/>
      <c r="BI91" s="32" t="n"/>
    </row>
    <row r="92" ht="15.75" customHeight="1" s="252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  <c r="AV92" s="32" t="n"/>
      <c r="AW92" s="32" t="n"/>
      <c r="AX92" s="32" t="n"/>
      <c r="AY92" s="32" t="n"/>
      <c r="AZ92" s="32" t="n"/>
      <c r="BA92" s="32" t="n"/>
      <c r="BB92" s="32" t="n"/>
      <c r="BC92" s="32" t="n"/>
      <c r="BD92" s="32" t="n"/>
      <c r="BE92" s="32" t="n"/>
      <c r="BF92" s="32" t="n"/>
      <c r="BG92" s="32" t="n"/>
      <c r="BH92" s="32" t="n"/>
      <c r="BI92" s="32" t="n"/>
    </row>
    <row r="93" ht="15.75" customHeight="1" s="252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  <c r="AV93" s="32" t="n"/>
      <c r="AW93" s="32" t="n"/>
      <c r="AX93" s="32" t="n"/>
      <c r="AY93" s="32" t="n"/>
      <c r="AZ93" s="32" t="n"/>
      <c r="BA93" s="32" t="n"/>
      <c r="BB93" s="32" t="n"/>
      <c r="BC93" s="32" t="n"/>
      <c r="BD93" s="32" t="n"/>
      <c r="BE93" s="32" t="n"/>
      <c r="BF93" s="32" t="n"/>
      <c r="BG93" s="32" t="n"/>
      <c r="BH93" s="32" t="n"/>
      <c r="BI93" s="32" t="n"/>
    </row>
    <row r="94" ht="15.75" customHeight="1" s="252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  <c r="AV94" s="32" t="n"/>
      <c r="AW94" s="32" t="n"/>
      <c r="AX94" s="32" t="n"/>
      <c r="AY94" s="32" t="n"/>
      <c r="AZ94" s="32" t="n"/>
      <c r="BA94" s="32" t="n"/>
      <c r="BB94" s="32" t="n"/>
      <c r="BC94" s="32" t="n"/>
      <c r="BD94" s="32" t="n"/>
      <c r="BE94" s="32" t="n"/>
      <c r="BF94" s="32" t="n"/>
      <c r="BG94" s="32" t="n"/>
      <c r="BH94" s="32" t="n"/>
      <c r="BI94" s="32" t="n"/>
    </row>
    <row r="95" ht="15.75" customHeight="1" s="252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  <c r="AV95" s="32" t="n"/>
      <c r="AW95" s="32" t="n"/>
      <c r="AX95" s="32" t="n"/>
      <c r="AY95" s="32" t="n"/>
      <c r="AZ95" s="32" t="n"/>
      <c r="BA95" s="32" t="n"/>
      <c r="BB95" s="32" t="n"/>
      <c r="BC95" s="32" t="n"/>
      <c r="BD95" s="32" t="n"/>
      <c r="BE95" s="32" t="n"/>
      <c r="BF95" s="32" t="n"/>
      <c r="BG95" s="32" t="n"/>
      <c r="BH95" s="32" t="n"/>
      <c r="BI95" s="32" t="n"/>
    </row>
    <row r="96" ht="15.75" customHeight="1" s="252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  <c r="AV96" s="32" t="n"/>
      <c r="AW96" s="32" t="n"/>
      <c r="AX96" s="32" t="n"/>
      <c r="AY96" s="32" t="n"/>
      <c r="AZ96" s="32" t="n"/>
      <c r="BA96" s="32" t="n"/>
      <c r="BB96" s="32" t="n"/>
      <c r="BC96" s="32" t="n"/>
      <c r="BD96" s="32" t="n"/>
      <c r="BE96" s="32" t="n"/>
      <c r="BF96" s="32" t="n"/>
      <c r="BG96" s="32" t="n"/>
      <c r="BH96" s="32" t="n"/>
      <c r="BI96" s="32" t="n"/>
    </row>
    <row r="97" ht="15.75" customHeight="1" s="252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  <c r="AV97" s="32" t="n"/>
      <c r="AW97" s="32" t="n"/>
      <c r="AX97" s="32" t="n"/>
      <c r="AY97" s="32" t="n"/>
      <c r="AZ97" s="32" t="n"/>
      <c r="BA97" s="32" t="n"/>
      <c r="BB97" s="32" t="n"/>
      <c r="BC97" s="32" t="n"/>
      <c r="BD97" s="32" t="n"/>
      <c r="BE97" s="32" t="n"/>
      <c r="BF97" s="32" t="n"/>
      <c r="BG97" s="32" t="n"/>
      <c r="BH97" s="32" t="n"/>
      <c r="BI97" s="32" t="n"/>
    </row>
    <row r="98" ht="15.75" customHeight="1" s="252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  <c r="AV98" s="32" t="n"/>
      <c r="AW98" s="32" t="n"/>
      <c r="AX98" s="32" t="n"/>
      <c r="AY98" s="32" t="n"/>
      <c r="AZ98" s="32" t="n"/>
      <c r="BA98" s="32" t="n"/>
      <c r="BB98" s="32" t="n"/>
      <c r="BC98" s="32" t="n"/>
      <c r="BD98" s="32" t="n"/>
      <c r="BE98" s="32" t="n"/>
      <c r="BF98" s="32" t="n"/>
      <c r="BG98" s="32" t="n"/>
      <c r="BH98" s="32" t="n"/>
      <c r="BI98" s="32" t="n"/>
    </row>
    <row r="99" ht="15.75" customHeight="1" s="252">
      <c r="A99" s="32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  <c r="AV99" s="32" t="n"/>
      <c r="AW99" s="32" t="n"/>
      <c r="AX99" s="32" t="n"/>
      <c r="AY99" s="32" t="n"/>
      <c r="AZ99" s="32" t="n"/>
      <c r="BA99" s="32" t="n"/>
      <c r="BB99" s="32" t="n"/>
      <c r="BC99" s="32" t="n"/>
      <c r="BD99" s="32" t="n"/>
      <c r="BE99" s="32" t="n"/>
      <c r="BF99" s="32" t="n"/>
      <c r="BG99" s="32" t="n"/>
      <c r="BH99" s="32" t="n"/>
      <c r="BI99" s="32" t="n"/>
    </row>
    <row r="100" ht="15.75" customHeight="1" s="252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  <c r="AV100" s="32" t="n"/>
      <c r="AW100" s="32" t="n"/>
      <c r="AX100" s="32" t="n"/>
      <c r="AY100" s="32" t="n"/>
      <c r="AZ100" s="32" t="n"/>
      <c r="BA100" s="32" t="n"/>
      <c r="BB100" s="32" t="n"/>
      <c r="BC100" s="32" t="n"/>
      <c r="BD100" s="32" t="n"/>
      <c r="BE100" s="32" t="n"/>
      <c r="BF100" s="32" t="n"/>
      <c r="BG100" s="32" t="n"/>
      <c r="BH100" s="32" t="n"/>
      <c r="BI100" s="32" t="n"/>
    </row>
    <row r="101" ht="15.75" customHeight="1" s="252">
      <c r="A101" s="32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  <c r="Z101" s="32" t="n"/>
      <c r="AA101" s="32" t="n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  <c r="AV101" s="32" t="n"/>
      <c r="AW101" s="32" t="n"/>
      <c r="AX101" s="32" t="n"/>
      <c r="AY101" s="32" t="n"/>
      <c r="AZ101" s="32" t="n"/>
      <c r="BA101" s="32" t="n"/>
      <c r="BB101" s="32" t="n"/>
      <c r="BC101" s="32" t="n"/>
      <c r="BD101" s="32" t="n"/>
      <c r="BE101" s="32" t="n"/>
      <c r="BF101" s="32" t="n"/>
      <c r="BG101" s="32" t="n"/>
      <c r="BH101" s="32" t="n"/>
      <c r="BI101" s="32" t="n"/>
    </row>
    <row r="102" ht="15.75" customHeight="1" s="252">
      <c r="A102" s="32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  <c r="AV102" s="32" t="n"/>
      <c r="AW102" s="32" t="n"/>
      <c r="AX102" s="32" t="n"/>
      <c r="AY102" s="32" t="n"/>
      <c r="AZ102" s="32" t="n"/>
      <c r="BA102" s="32" t="n"/>
      <c r="BB102" s="32" t="n"/>
      <c r="BC102" s="32" t="n"/>
      <c r="BD102" s="32" t="n"/>
      <c r="BE102" s="32" t="n"/>
      <c r="BF102" s="32" t="n"/>
      <c r="BG102" s="32" t="n"/>
      <c r="BH102" s="32" t="n"/>
      <c r="BI102" s="32" t="n"/>
    </row>
    <row r="103" ht="15.75" customHeight="1" s="252">
      <c r="A103" s="32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  <c r="AV103" s="32" t="n"/>
      <c r="AW103" s="32" t="n"/>
      <c r="AX103" s="32" t="n"/>
      <c r="AY103" s="32" t="n"/>
      <c r="AZ103" s="32" t="n"/>
      <c r="BA103" s="32" t="n"/>
      <c r="BB103" s="32" t="n"/>
      <c r="BC103" s="32" t="n"/>
      <c r="BD103" s="32" t="n"/>
      <c r="BE103" s="32" t="n"/>
      <c r="BF103" s="32" t="n"/>
      <c r="BG103" s="32" t="n"/>
      <c r="BH103" s="32" t="n"/>
      <c r="BI103" s="32" t="n"/>
    </row>
    <row r="104" ht="15.75" customHeight="1" s="252">
      <c r="A104" s="32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  <c r="AV104" s="32" t="n"/>
      <c r="AW104" s="32" t="n"/>
      <c r="AX104" s="32" t="n"/>
      <c r="AY104" s="32" t="n"/>
      <c r="AZ104" s="32" t="n"/>
      <c r="BA104" s="32" t="n"/>
      <c r="BB104" s="32" t="n"/>
      <c r="BC104" s="32" t="n"/>
      <c r="BD104" s="32" t="n"/>
      <c r="BE104" s="32" t="n"/>
      <c r="BF104" s="32" t="n"/>
      <c r="BG104" s="32" t="n"/>
      <c r="BH104" s="32" t="n"/>
      <c r="BI104" s="32" t="n"/>
    </row>
    <row r="105" ht="15.75" customHeight="1" s="252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  <c r="AV105" s="32" t="n"/>
      <c r="AW105" s="32" t="n"/>
      <c r="AX105" s="32" t="n"/>
      <c r="AY105" s="32" t="n"/>
      <c r="AZ105" s="32" t="n"/>
      <c r="BA105" s="32" t="n"/>
      <c r="BB105" s="32" t="n"/>
      <c r="BC105" s="32" t="n"/>
      <c r="BD105" s="32" t="n"/>
      <c r="BE105" s="32" t="n"/>
      <c r="BF105" s="32" t="n"/>
      <c r="BG105" s="32" t="n"/>
      <c r="BH105" s="32" t="n"/>
      <c r="BI105" s="32" t="n"/>
    </row>
    <row r="106" ht="15.75" customHeight="1" s="252">
      <c r="A106" s="32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  <c r="AV106" s="32" t="n"/>
      <c r="AW106" s="32" t="n"/>
      <c r="AX106" s="32" t="n"/>
      <c r="AY106" s="32" t="n"/>
      <c r="AZ106" s="32" t="n"/>
      <c r="BA106" s="32" t="n"/>
      <c r="BB106" s="32" t="n"/>
      <c r="BC106" s="32" t="n"/>
      <c r="BD106" s="32" t="n"/>
      <c r="BE106" s="32" t="n"/>
      <c r="BF106" s="32" t="n"/>
      <c r="BG106" s="32" t="n"/>
      <c r="BH106" s="32" t="n"/>
      <c r="BI106" s="32" t="n"/>
    </row>
    <row r="107" ht="15.75" customHeight="1" s="252">
      <c r="A107" s="32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  <c r="AV107" s="32" t="n"/>
      <c r="AW107" s="32" t="n"/>
      <c r="AX107" s="32" t="n"/>
      <c r="AY107" s="32" t="n"/>
      <c r="AZ107" s="32" t="n"/>
      <c r="BA107" s="32" t="n"/>
      <c r="BB107" s="32" t="n"/>
      <c r="BC107" s="32" t="n"/>
      <c r="BD107" s="32" t="n"/>
      <c r="BE107" s="32" t="n"/>
      <c r="BF107" s="32" t="n"/>
      <c r="BG107" s="32" t="n"/>
      <c r="BH107" s="32" t="n"/>
      <c r="BI107" s="32" t="n"/>
    </row>
    <row r="108" ht="15.75" customHeight="1" s="252">
      <c r="A108" s="32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  <c r="AV108" s="32" t="n"/>
      <c r="AW108" s="32" t="n"/>
      <c r="AX108" s="32" t="n"/>
      <c r="AY108" s="32" t="n"/>
      <c r="AZ108" s="32" t="n"/>
      <c r="BA108" s="32" t="n"/>
      <c r="BB108" s="32" t="n"/>
      <c r="BC108" s="32" t="n"/>
      <c r="BD108" s="32" t="n"/>
      <c r="BE108" s="32" t="n"/>
      <c r="BF108" s="32" t="n"/>
      <c r="BG108" s="32" t="n"/>
      <c r="BH108" s="32" t="n"/>
      <c r="BI108" s="32" t="n"/>
    </row>
    <row r="109" ht="15.75" customHeight="1" s="252">
      <c r="A109" s="32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  <c r="AA109" s="32" t="n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  <c r="AV109" s="32" t="n"/>
      <c r="AW109" s="32" t="n"/>
      <c r="AX109" s="32" t="n"/>
      <c r="AY109" s="32" t="n"/>
      <c r="AZ109" s="32" t="n"/>
      <c r="BA109" s="32" t="n"/>
      <c r="BB109" s="32" t="n"/>
      <c r="BC109" s="32" t="n"/>
      <c r="BD109" s="32" t="n"/>
      <c r="BE109" s="32" t="n"/>
      <c r="BF109" s="32" t="n"/>
      <c r="BG109" s="32" t="n"/>
      <c r="BH109" s="32" t="n"/>
      <c r="BI109" s="32" t="n"/>
    </row>
    <row r="110" ht="15.75" customHeight="1" s="252">
      <c r="A110" s="32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  <c r="AA110" s="32" t="n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  <c r="AV110" s="32" t="n"/>
      <c r="AW110" s="32" t="n"/>
      <c r="AX110" s="32" t="n"/>
      <c r="AY110" s="32" t="n"/>
      <c r="AZ110" s="32" t="n"/>
      <c r="BA110" s="32" t="n"/>
      <c r="BB110" s="32" t="n"/>
      <c r="BC110" s="32" t="n"/>
      <c r="BD110" s="32" t="n"/>
      <c r="BE110" s="32" t="n"/>
      <c r="BF110" s="32" t="n"/>
      <c r="BG110" s="32" t="n"/>
      <c r="BH110" s="32" t="n"/>
      <c r="BI110" s="32" t="n"/>
    </row>
    <row r="111" ht="15.75" customHeight="1" s="252">
      <c r="A111" s="32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  <c r="AA111" s="32" t="n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  <c r="AV111" s="32" t="n"/>
      <c r="AW111" s="32" t="n"/>
      <c r="AX111" s="32" t="n"/>
      <c r="AY111" s="32" t="n"/>
      <c r="AZ111" s="32" t="n"/>
      <c r="BA111" s="32" t="n"/>
      <c r="BB111" s="32" t="n"/>
      <c r="BC111" s="32" t="n"/>
      <c r="BD111" s="32" t="n"/>
      <c r="BE111" s="32" t="n"/>
      <c r="BF111" s="32" t="n"/>
      <c r="BG111" s="32" t="n"/>
      <c r="BH111" s="32" t="n"/>
      <c r="BI111" s="32" t="n"/>
    </row>
    <row r="112" ht="15.75" customHeight="1" s="252">
      <c r="A112" s="32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  <c r="AA112" s="32" t="n"/>
      <c r="AB112" s="32" t="n"/>
      <c r="AC112" s="32" t="n"/>
      <c r="AD112" s="32" t="n"/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  <c r="AV112" s="32" t="n"/>
      <c r="AW112" s="32" t="n"/>
      <c r="AX112" s="32" t="n"/>
      <c r="AY112" s="32" t="n"/>
      <c r="AZ112" s="32" t="n"/>
      <c r="BA112" s="32" t="n"/>
      <c r="BB112" s="32" t="n"/>
      <c r="BC112" s="32" t="n"/>
      <c r="BD112" s="32" t="n"/>
      <c r="BE112" s="32" t="n"/>
      <c r="BF112" s="32" t="n"/>
      <c r="BG112" s="32" t="n"/>
      <c r="BH112" s="32" t="n"/>
      <c r="BI112" s="32" t="n"/>
    </row>
    <row r="113" ht="15.75" customHeight="1" s="252">
      <c r="A113" s="32" t="n"/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  <c r="AA113" s="32" t="n"/>
      <c r="AB113" s="32" t="n"/>
      <c r="AC113" s="32" t="n"/>
      <c r="AD113" s="32" t="n"/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  <c r="AV113" s="32" t="n"/>
      <c r="AW113" s="32" t="n"/>
      <c r="AX113" s="32" t="n"/>
      <c r="AY113" s="32" t="n"/>
      <c r="AZ113" s="32" t="n"/>
      <c r="BA113" s="32" t="n"/>
      <c r="BB113" s="32" t="n"/>
      <c r="BC113" s="32" t="n"/>
      <c r="BD113" s="32" t="n"/>
      <c r="BE113" s="32" t="n"/>
      <c r="BF113" s="32" t="n"/>
      <c r="BG113" s="32" t="n"/>
      <c r="BH113" s="32" t="n"/>
      <c r="BI113" s="32" t="n"/>
    </row>
    <row r="114" ht="15.75" customHeight="1" s="252">
      <c r="A114" s="32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  <c r="AA114" s="32" t="n"/>
      <c r="AB114" s="32" t="n"/>
      <c r="AC114" s="32" t="n"/>
      <c r="AD114" s="32" t="n"/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  <c r="AV114" s="32" t="n"/>
      <c r="AW114" s="32" t="n"/>
      <c r="AX114" s="32" t="n"/>
      <c r="AY114" s="32" t="n"/>
      <c r="AZ114" s="32" t="n"/>
      <c r="BA114" s="32" t="n"/>
      <c r="BB114" s="32" t="n"/>
      <c r="BC114" s="32" t="n"/>
      <c r="BD114" s="32" t="n"/>
      <c r="BE114" s="32" t="n"/>
      <c r="BF114" s="32" t="n"/>
      <c r="BG114" s="32" t="n"/>
      <c r="BH114" s="32" t="n"/>
      <c r="BI114" s="32" t="n"/>
    </row>
    <row r="115" ht="15.75" customHeight="1" s="252">
      <c r="A115" s="32" t="n"/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  <c r="AA115" s="32" t="n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  <c r="AV115" s="32" t="n"/>
      <c r="AW115" s="32" t="n"/>
      <c r="AX115" s="32" t="n"/>
      <c r="AY115" s="32" t="n"/>
      <c r="AZ115" s="32" t="n"/>
      <c r="BA115" s="32" t="n"/>
      <c r="BB115" s="32" t="n"/>
      <c r="BC115" s="32" t="n"/>
      <c r="BD115" s="32" t="n"/>
      <c r="BE115" s="32" t="n"/>
      <c r="BF115" s="32" t="n"/>
      <c r="BG115" s="32" t="n"/>
      <c r="BH115" s="32" t="n"/>
      <c r="BI115" s="32" t="n"/>
    </row>
    <row r="116" ht="15.75" customHeight="1" s="252">
      <c r="A116" s="32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  <c r="AA116" s="32" t="n"/>
      <c r="AB116" s="32" t="n"/>
      <c r="AC116" s="32" t="n"/>
      <c r="AD116" s="32" t="n"/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  <c r="AV116" s="32" t="n"/>
      <c r="AW116" s="32" t="n"/>
      <c r="AX116" s="32" t="n"/>
      <c r="AY116" s="32" t="n"/>
      <c r="AZ116" s="32" t="n"/>
      <c r="BA116" s="32" t="n"/>
      <c r="BB116" s="32" t="n"/>
      <c r="BC116" s="32" t="n"/>
      <c r="BD116" s="32" t="n"/>
      <c r="BE116" s="32" t="n"/>
      <c r="BF116" s="32" t="n"/>
      <c r="BG116" s="32" t="n"/>
      <c r="BH116" s="32" t="n"/>
      <c r="BI116" s="32" t="n"/>
    </row>
    <row r="117" ht="15.75" customHeight="1" s="252">
      <c r="A117" s="32" t="n"/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  <c r="Z117" s="32" t="n"/>
      <c r="AA117" s="32" t="n"/>
      <c r="AB117" s="32" t="n"/>
      <c r="AC117" s="32" t="n"/>
      <c r="AD117" s="32" t="n"/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  <c r="AV117" s="32" t="n"/>
      <c r="AW117" s="32" t="n"/>
      <c r="AX117" s="32" t="n"/>
      <c r="AY117" s="32" t="n"/>
      <c r="AZ117" s="32" t="n"/>
      <c r="BA117" s="32" t="n"/>
      <c r="BB117" s="32" t="n"/>
      <c r="BC117" s="32" t="n"/>
      <c r="BD117" s="32" t="n"/>
      <c r="BE117" s="32" t="n"/>
      <c r="BF117" s="32" t="n"/>
      <c r="BG117" s="32" t="n"/>
      <c r="BH117" s="32" t="n"/>
      <c r="BI117" s="32" t="n"/>
    </row>
    <row r="118" ht="15.75" customHeight="1" s="252">
      <c r="A118" s="32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  <c r="Z118" s="32" t="n"/>
      <c r="AA118" s="32" t="n"/>
      <c r="AB118" s="32" t="n"/>
      <c r="AC118" s="32" t="n"/>
      <c r="AD118" s="32" t="n"/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  <c r="AV118" s="32" t="n"/>
      <c r="AW118" s="32" t="n"/>
      <c r="AX118" s="32" t="n"/>
      <c r="AY118" s="32" t="n"/>
      <c r="AZ118" s="32" t="n"/>
      <c r="BA118" s="32" t="n"/>
      <c r="BB118" s="32" t="n"/>
      <c r="BC118" s="32" t="n"/>
      <c r="BD118" s="32" t="n"/>
      <c r="BE118" s="32" t="n"/>
      <c r="BF118" s="32" t="n"/>
      <c r="BG118" s="32" t="n"/>
      <c r="BH118" s="32" t="n"/>
      <c r="BI118" s="32" t="n"/>
    </row>
    <row r="119" ht="15.75" customHeight="1" s="252">
      <c r="A119" s="32" t="n"/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  <c r="AA119" s="32" t="n"/>
      <c r="AB119" s="32" t="n"/>
      <c r="AC119" s="32" t="n"/>
      <c r="AD119" s="32" t="n"/>
      <c r="AE119" s="32" t="n"/>
      <c r="AF119" s="32" t="n"/>
      <c r="AG119" s="32" t="n"/>
      <c r="AH119" s="32" t="n"/>
      <c r="AI119" s="32" t="n"/>
      <c r="AJ119" s="32" t="n"/>
      <c r="AK119" s="32" t="n"/>
      <c r="AL119" s="32" t="n"/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  <c r="AV119" s="32" t="n"/>
      <c r="AW119" s="32" t="n"/>
      <c r="AX119" s="32" t="n"/>
      <c r="AY119" s="32" t="n"/>
      <c r="AZ119" s="32" t="n"/>
      <c r="BA119" s="32" t="n"/>
      <c r="BB119" s="32" t="n"/>
      <c r="BC119" s="32" t="n"/>
      <c r="BD119" s="32" t="n"/>
      <c r="BE119" s="32" t="n"/>
      <c r="BF119" s="32" t="n"/>
      <c r="BG119" s="32" t="n"/>
      <c r="BH119" s="32" t="n"/>
      <c r="BI119" s="32" t="n"/>
    </row>
    <row r="120" ht="15.75" customHeight="1" s="252">
      <c r="A120" s="32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n"/>
      <c r="AB120" s="32" t="n"/>
      <c r="AC120" s="32" t="n"/>
      <c r="AD120" s="32" t="n"/>
      <c r="AE120" s="32" t="n"/>
      <c r="AF120" s="32" t="n"/>
      <c r="AG120" s="32" t="n"/>
      <c r="AH120" s="32" t="n"/>
      <c r="AI120" s="32" t="n"/>
      <c r="AJ120" s="32" t="n"/>
      <c r="AK120" s="32" t="n"/>
      <c r="AL120" s="32" t="n"/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  <c r="AV120" s="32" t="n"/>
      <c r="AW120" s="32" t="n"/>
      <c r="AX120" s="32" t="n"/>
      <c r="AY120" s="32" t="n"/>
      <c r="AZ120" s="32" t="n"/>
      <c r="BA120" s="32" t="n"/>
      <c r="BB120" s="32" t="n"/>
      <c r="BC120" s="32" t="n"/>
      <c r="BD120" s="32" t="n"/>
      <c r="BE120" s="32" t="n"/>
      <c r="BF120" s="32" t="n"/>
      <c r="BG120" s="32" t="n"/>
      <c r="BH120" s="32" t="n"/>
      <c r="BI120" s="32" t="n"/>
    </row>
    <row r="121" ht="15.75" customHeight="1" s="252">
      <c r="A121" s="32" t="n"/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  <c r="AA121" s="32" t="n"/>
      <c r="AB121" s="32" t="n"/>
      <c r="AC121" s="32" t="n"/>
      <c r="AD121" s="32" t="n"/>
      <c r="AE121" s="32" t="n"/>
      <c r="AF121" s="32" t="n"/>
      <c r="AG121" s="32" t="n"/>
      <c r="AH121" s="3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  <c r="AW121" s="32" t="n"/>
      <c r="AX121" s="32" t="n"/>
      <c r="AY121" s="32" t="n"/>
      <c r="AZ121" s="32" t="n"/>
      <c r="BA121" s="32" t="n"/>
      <c r="BB121" s="32" t="n"/>
      <c r="BC121" s="32" t="n"/>
      <c r="BD121" s="32" t="n"/>
      <c r="BE121" s="32" t="n"/>
      <c r="BF121" s="32" t="n"/>
      <c r="BG121" s="32" t="n"/>
      <c r="BH121" s="32" t="n"/>
      <c r="BI121" s="32" t="n"/>
    </row>
    <row r="122" ht="15.75" customHeight="1" s="252">
      <c r="A122" s="32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  <c r="AA122" s="32" t="n"/>
      <c r="AB122" s="32" t="n"/>
      <c r="AC122" s="32" t="n"/>
      <c r="AD122" s="32" t="n"/>
      <c r="AE122" s="32" t="n"/>
      <c r="AF122" s="32" t="n"/>
      <c r="AG122" s="32" t="n"/>
      <c r="AH122" s="3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  <c r="AV122" s="32" t="n"/>
      <c r="AW122" s="32" t="n"/>
      <c r="AX122" s="32" t="n"/>
      <c r="AY122" s="32" t="n"/>
      <c r="AZ122" s="32" t="n"/>
      <c r="BA122" s="32" t="n"/>
      <c r="BB122" s="32" t="n"/>
      <c r="BC122" s="32" t="n"/>
      <c r="BD122" s="32" t="n"/>
      <c r="BE122" s="32" t="n"/>
      <c r="BF122" s="32" t="n"/>
      <c r="BG122" s="32" t="n"/>
      <c r="BH122" s="32" t="n"/>
      <c r="BI122" s="32" t="n"/>
    </row>
    <row r="123" ht="15.75" customHeight="1" s="252">
      <c r="A123" s="32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  <c r="AA123" s="32" t="n"/>
      <c r="AB123" s="32" t="n"/>
      <c r="AC123" s="32" t="n"/>
      <c r="AD123" s="32" t="n"/>
      <c r="AE123" s="32" t="n"/>
      <c r="AF123" s="32" t="n"/>
      <c r="AG123" s="32" t="n"/>
      <c r="AH123" s="32" t="n"/>
      <c r="AI123" s="32" t="n"/>
      <c r="AJ123" s="32" t="n"/>
      <c r="AK123" s="32" t="n"/>
      <c r="AL123" s="32" t="n"/>
      <c r="AM123" s="32" t="n"/>
      <c r="AN123" s="32" t="n"/>
      <c r="AO123" s="32" t="n"/>
      <c r="AP123" s="32" t="n"/>
      <c r="AQ123" s="32" t="n"/>
      <c r="AR123" s="32" t="n"/>
      <c r="AS123" s="32" t="n"/>
      <c r="AT123" s="32" t="n"/>
      <c r="AU123" s="32" t="n"/>
      <c r="AV123" s="32" t="n"/>
      <c r="AW123" s="32" t="n"/>
      <c r="AX123" s="32" t="n"/>
      <c r="AY123" s="32" t="n"/>
      <c r="AZ123" s="32" t="n"/>
      <c r="BA123" s="32" t="n"/>
      <c r="BB123" s="32" t="n"/>
      <c r="BC123" s="32" t="n"/>
      <c r="BD123" s="32" t="n"/>
      <c r="BE123" s="32" t="n"/>
      <c r="BF123" s="32" t="n"/>
      <c r="BG123" s="32" t="n"/>
      <c r="BH123" s="32" t="n"/>
      <c r="BI123" s="32" t="n"/>
    </row>
    <row r="124" ht="15.75" customHeight="1" s="252">
      <c r="A124" s="32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  <c r="AA124" s="32" t="n"/>
      <c r="AB124" s="32" t="n"/>
      <c r="AC124" s="32" t="n"/>
      <c r="AD124" s="32" t="n"/>
      <c r="AE124" s="32" t="n"/>
      <c r="AF124" s="32" t="n"/>
      <c r="AG124" s="32" t="n"/>
      <c r="AH124" s="32" t="n"/>
      <c r="AI124" s="32" t="n"/>
      <c r="AJ124" s="32" t="n"/>
      <c r="AK124" s="32" t="n"/>
      <c r="AL124" s="32" t="n"/>
      <c r="AM124" s="32" t="n"/>
      <c r="AN124" s="32" t="n"/>
      <c r="AO124" s="32" t="n"/>
      <c r="AP124" s="32" t="n"/>
      <c r="AQ124" s="32" t="n"/>
      <c r="AR124" s="32" t="n"/>
      <c r="AS124" s="32" t="n"/>
      <c r="AT124" s="32" t="n"/>
      <c r="AU124" s="32" t="n"/>
      <c r="AV124" s="32" t="n"/>
      <c r="AW124" s="32" t="n"/>
      <c r="AX124" s="32" t="n"/>
      <c r="AY124" s="32" t="n"/>
      <c r="AZ124" s="32" t="n"/>
      <c r="BA124" s="32" t="n"/>
      <c r="BB124" s="32" t="n"/>
      <c r="BC124" s="32" t="n"/>
      <c r="BD124" s="32" t="n"/>
      <c r="BE124" s="32" t="n"/>
      <c r="BF124" s="32" t="n"/>
      <c r="BG124" s="32" t="n"/>
      <c r="BH124" s="32" t="n"/>
      <c r="BI124" s="32" t="n"/>
    </row>
    <row r="125" ht="15.75" customHeight="1" s="252">
      <c r="A125" s="32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  <c r="AA125" s="32" t="n"/>
      <c r="AB125" s="32" t="n"/>
      <c r="AC125" s="32" t="n"/>
      <c r="AD125" s="32" t="n"/>
      <c r="AE125" s="32" t="n"/>
      <c r="AF125" s="32" t="n"/>
      <c r="AG125" s="32" t="n"/>
      <c r="AH125" s="32" t="n"/>
      <c r="AI125" s="32" t="n"/>
      <c r="AJ125" s="32" t="n"/>
      <c r="AK125" s="32" t="n"/>
      <c r="AL125" s="32" t="n"/>
      <c r="AM125" s="32" t="n"/>
      <c r="AN125" s="32" t="n"/>
      <c r="AO125" s="32" t="n"/>
      <c r="AP125" s="32" t="n"/>
      <c r="AQ125" s="32" t="n"/>
      <c r="AR125" s="32" t="n"/>
      <c r="AS125" s="32" t="n"/>
      <c r="AT125" s="32" t="n"/>
      <c r="AU125" s="32" t="n"/>
      <c r="AV125" s="32" t="n"/>
      <c r="AW125" s="32" t="n"/>
      <c r="AX125" s="32" t="n"/>
      <c r="AY125" s="32" t="n"/>
      <c r="AZ125" s="32" t="n"/>
      <c r="BA125" s="32" t="n"/>
      <c r="BB125" s="32" t="n"/>
      <c r="BC125" s="32" t="n"/>
      <c r="BD125" s="32" t="n"/>
      <c r="BE125" s="32" t="n"/>
      <c r="BF125" s="32" t="n"/>
      <c r="BG125" s="32" t="n"/>
      <c r="BH125" s="32" t="n"/>
      <c r="BI125" s="32" t="n"/>
    </row>
    <row r="126" ht="15.75" customHeight="1" s="252">
      <c r="A126" s="32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  <c r="AA126" s="32" t="n"/>
      <c r="AB126" s="32" t="n"/>
      <c r="AC126" s="32" t="n"/>
      <c r="AD126" s="32" t="n"/>
      <c r="AE126" s="32" t="n"/>
      <c r="AF126" s="32" t="n"/>
      <c r="AG126" s="32" t="n"/>
      <c r="AH126" s="32" t="n"/>
      <c r="AI126" s="32" t="n"/>
      <c r="AJ126" s="32" t="n"/>
      <c r="AK126" s="32" t="n"/>
      <c r="AL126" s="32" t="n"/>
      <c r="AM126" s="32" t="n"/>
      <c r="AN126" s="32" t="n"/>
      <c r="AO126" s="32" t="n"/>
      <c r="AP126" s="32" t="n"/>
      <c r="AQ126" s="32" t="n"/>
      <c r="AR126" s="32" t="n"/>
      <c r="AS126" s="32" t="n"/>
      <c r="AT126" s="32" t="n"/>
      <c r="AU126" s="32" t="n"/>
      <c r="AV126" s="32" t="n"/>
      <c r="AW126" s="32" t="n"/>
      <c r="AX126" s="32" t="n"/>
      <c r="AY126" s="32" t="n"/>
      <c r="AZ126" s="32" t="n"/>
      <c r="BA126" s="32" t="n"/>
      <c r="BB126" s="32" t="n"/>
      <c r="BC126" s="32" t="n"/>
      <c r="BD126" s="32" t="n"/>
      <c r="BE126" s="32" t="n"/>
      <c r="BF126" s="32" t="n"/>
      <c r="BG126" s="32" t="n"/>
      <c r="BH126" s="32" t="n"/>
      <c r="BI126" s="32" t="n"/>
    </row>
    <row r="127" ht="15.75" customHeight="1" s="252">
      <c r="A127" s="32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  <c r="AA127" s="32" t="n"/>
      <c r="AB127" s="32" t="n"/>
      <c r="AC127" s="32" t="n"/>
      <c r="AD127" s="32" t="n"/>
      <c r="AE127" s="32" t="n"/>
      <c r="AF127" s="32" t="n"/>
      <c r="AG127" s="32" t="n"/>
      <c r="AH127" s="32" t="n"/>
      <c r="AI127" s="32" t="n"/>
      <c r="AJ127" s="32" t="n"/>
      <c r="AK127" s="32" t="n"/>
      <c r="AL127" s="32" t="n"/>
      <c r="AM127" s="32" t="n"/>
      <c r="AN127" s="32" t="n"/>
      <c r="AO127" s="32" t="n"/>
      <c r="AP127" s="32" t="n"/>
      <c r="AQ127" s="32" t="n"/>
      <c r="AR127" s="32" t="n"/>
      <c r="AS127" s="32" t="n"/>
      <c r="AT127" s="32" t="n"/>
      <c r="AU127" s="32" t="n"/>
      <c r="AV127" s="32" t="n"/>
      <c r="AW127" s="32" t="n"/>
      <c r="AX127" s="32" t="n"/>
      <c r="AY127" s="32" t="n"/>
      <c r="AZ127" s="32" t="n"/>
      <c r="BA127" s="32" t="n"/>
      <c r="BB127" s="32" t="n"/>
      <c r="BC127" s="32" t="n"/>
      <c r="BD127" s="32" t="n"/>
      <c r="BE127" s="32" t="n"/>
      <c r="BF127" s="32" t="n"/>
      <c r="BG127" s="32" t="n"/>
      <c r="BH127" s="32" t="n"/>
      <c r="BI127" s="32" t="n"/>
    </row>
    <row r="128" ht="15.75" customHeight="1" s="252">
      <c r="A128" s="32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  <c r="AA128" s="32" t="n"/>
      <c r="AB128" s="32" t="n"/>
      <c r="AC128" s="32" t="n"/>
      <c r="AD128" s="32" t="n"/>
      <c r="AE128" s="32" t="n"/>
      <c r="AF128" s="32" t="n"/>
      <c r="AG128" s="32" t="n"/>
      <c r="AH128" s="32" t="n"/>
      <c r="AI128" s="32" t="n"/>
      <c r="AJ128" s="32" t="n"/>
      <c r="AK128" s="32" t="n"/>
      <c r="AL128" s="32" t="n"/>
      <c r="AM128" s="32" t="n"/>
      <c r="AN128" s="32" t="n"/>
      <c r="AO128" s="32" t="n"/>
      <c r="AP128" s="32" t="n"/>
      <c r="AQ128" s="32" t="n"/>
      <c r="AR128" s="32" t="n"/>
      <c r="AS128" s="32" t="n"/>
      <c r="AT128" s="32" t="n"/>
      <c r="AU128" s="32" t="n"/>
      <c r="AV128" s="32" t="n"/>
      <c r="AW128" s="32" t="n"/>
      <c r="AX128" s="32" t="n"/>
      <c r="AY128" s="32" t="n"/>
      <c r="AZ128" s="32" t="n"/>
      <c r="BA128" s="32" t="n"/>
      <c r="BB128" s="32" t="n"/>
      <c r="BC128" s="32" t="n"/>
      <c r="BD128" s="32" t="n"/>
      <c r="BE128" s="32" t="n"/>
      <c r="BF128" s="32" t="n"/>
      <c r="BG128" s="32" t="n"/>
      <c r="BH128" s="32" t="n"/>
      <c r="BI128" s="32" t="n"/>
    </row>
    <row r="129" ht="15.75" customHeight="1" s="252">
      <c r="A129" s="32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  <c r="AA129" s="32" t="n"/>
      <c r="AB129" s="32" t="n"/>
      <c r="AC129" s="32" t="n"/>
      <c r="AD129" s="32" t="n"/>
      <c r="AE129" s="32" t="n"/>
      <c r="AF129" s="32" t="n"/>
      <c r="AG129" s="32" t="n"/>
      <c r="AH129" s="32" t="n"/>
      <c r="AI129" s="32" t="n"/>
      <c r="AJ129" s="32" t="n"/>
      <c r="AK129" s="32" t="n"/>
      <c r="AL129" s="32" t="n"/>
      <c r="AM129" s="32" t="n"/>
      <c r="AN129" s="32" t="n"/>
      <c r="AO129" s="32" t="n"/>
      <c r="AP129" s="32" t="n"/>
      <c r="AQ129" s="32" t="n"/>
      <c r="AR129" s="32" t="n"/>
      <c r="AS129" s="32" t="n"/>
      <c r="AT129" s="32" t="n"/>
      <c r="AU129" s="32" t="n"/>
      <c r="AV129" s="32" t="n"/>
      <c r="AW129" s="32" t="n"/>
      <c r="AX129" s="32" t="n"/>
      <c r="AY129" s="32" t="n"/>
      <c r="AZ129" s="32" t="n"/>
      <c r="BA129" s="32" t="n"/>
      <c r="BB129" s="32" t="n"/>
      <c r="BC129" s="32" t="n"/>
      <c r="BD129" s="32" t="n"/>
      <c r="BE129" s="32" t="n"/>
      <c r="BF129" s="32" t="n"/>
      <c r="BG129" s="32" t="n"/>
      <c r="BH129" s="32" t="n"/>
      <c r="BI129" s="32" t="n"/>
    </row>
    <row r="130" ht="15.75" customHeight="1" s="252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  <c r="AA130" s="32" t="n"/>
      <c r="AB130" s="32" t="n"/>
      <c r="AC130" s="32" t="n"/>
      <c r="AD130" s="32" t="n"/>
      <c r="AE130" s="32" t="n"/>
      <c r="AF130" s="32" t="n"/>
      <c r="AG130" s="32" t="n"/>
      <c r="AH130" s="32" t="n"/>
      <c r="AI130" s="32" t="n"/>
      <c r="AJ130" s="32" t="n"/>
      <c r="AK130" s="32" t="n"/>
      <c r="AL130" s="32" t="n"/>
      <c r="AM130" s="32" t="n"/>
      <c r="AN130" s="32" t="n"/>
      <c r="AO130" s="32" t="n"/>
      <c r="AP130" s="32" t="n"/>
      <c r="AQ130" s="32" t="n"/>
      <c r="AR130" s="32" t="n"/>
      <c r="AS130" s="32" t="n"/>
      <c r="AT130" s="32" t="n"/>
      <c r="AU130" s="32" t="n"/>
      <c r="AV130" s="32" t="n"/>
      <c r="AW130" s="32" t="n"/>
      <c r="AX130" s="32" t="n"/>
      <c r="AY130" s="32" t="n"/>
      <c r="AZ130" s="32" t="n"/>
      <c r="BA130" s="32" t="n"/>
      <c r="BB130" s="32" t="n"/>
      <c r="BC130" s="32" t="n"/>
      <c r="BD130" s="32" t="n"/>
      <c r="BE130" s="32" t="n"/>
      <c r="BF130" s="32" t="n"/>
      <c r="BG130" s="32" t="n"/>
      <c r="BH130" s="32" t="n"/>
      <c r="BI130" s="32" t="n"/>
    </row>
    <row r="131" ht="15.75" customHeight="1" s="252">
      <c r="A131" s="32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  <c r="Z131" s="32" t="n"/>
      <c r="AA131" s="32" t="n"/>
      <c r="AB131" s="32" t="n"/>
      <c r="AC131" s="32" t="n"/>
      <c r="AD131" s="32" t="n"/>
      <c r="AE131" s="32" t="n"/>
      <c r="AF131" s="32" t="n"/>
      <c r="AG131" s="32" t="n"/>
      <c r="AH131" s="32" t="n"/>
      <c r="AI131" s="32" t="n"/>
      <c r="AJ131" s="32" t="n"/>
      <c r="AK131" s="32" t="n"/>
      <c r="AL131" s="32" t="n"/>
      <c r="AM131" s="32" t="n"/>
      <c r="AN131" s="32" t="n"/>
      <c r="AO131" s="32" t="n"/>
      <c r="AP131" s="32" t="n"/>
      <c r="AQ131" s="32" t="n"/>
      <c r="AR131" s="32" t="n"/>
      <c r="AS131" s="32" t="n"/>
      <c r="AT131" s="32" t="n"/>
      <c r="AU131" s="32" t="n"/>
      <c r="AV131" s="32" t="n"/>
      <c r="AW131" s="32" t="n"/>
      <c r="AX131" s="32" t="n"/>
      <c r="AY131" s="32" t="n"/>
      <c r="AZ131" s="32" t="n"/>
      <c r="BA131" s="32" t="n"/>
      <c r="BB131" s="32" t="n"/>
      <c r="BC131" s="32" t="n"/>
      <c r="BD131" s="32" t="n"/>
      <c r="BE131" s="32" t="n"/>
      <c r="BF131" s="32" t="n"/>
      <c r="BG131" s="32" t="n"/>
      <c r="BH131" s="32" t="n"/>
      <c r="BI131" s="32" t="n"/>
    </row>
    <row r="132" ht="15.75" customHeight="1" s="252">
      <c r="A132" s="32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  <c r="AA132" s="32" t="n"/>
      <c r="AB132" s="32" t="n"/>
      <c r="AC132" s="32" t="n"/>
      <c r="AD132" s="32" t="n"/>
      <c r="AE132" s="32" t="n"/>
      <c r="AF132" s="32" t="n"/>
      <c r="AG132" s="32" t="n"/>
      <c r="AH132" s="32" t="n"/>
      <c r="AI132" s="32" t="n"/>
      <c r="AJ132" s="32" t="n"/>
      <c r="AK132" s="32" t="n"/>
      <c r="AL132" s="32" t="n"/>
      <c r="AM132" s="32" t="n"/>
      <c r="AN132" s="32" t="n"/>
      <c r="AO132" s="32" t="n"/>
      <c r="AP132" s="32" t="n"/>
      <c r="AQ132" s="32" t="n"/>
      <c r="AR132" s="32" t="n"/>
      <c r="AS132" s="32" t="n"/>
      <c r="AT132" s="32" t="n"/>
      <c r="AU132" s="32" t="n"/>
      <c r="AV132" s="32" t="n"/>
      <c r="AW132" s="32" t="n"/>
      <c r="AX132" s="32" t="n"/>
      <c r="AY132" s="32" t="n"/>
      <c r="AZ132" s="32" t="n"/>
      <c r="BA132" s="32" t="n"/>
      <c r="BB132" s="32" t="n"/>
      <c r="BC132" s="32" t="n"/>
      <c r="BD132" s="32" t="n"/>
      <c r="BE132" s="32" t="n"/>
      <c r="BF132" s="32" t="n"/>
      <c r="BG132" s="32" t="n"/>
      <c r="BH132" s="32" t="n"/>
      <c r="BI132" s="32" t="n"/>
    </row>
    <row r="133" ht="15.75" customHeight="1" s="252">
      <c r="A133" s="32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n"/>
      <c r="AB133" s="32" t="n"/>
      <c r="AC133" s="32" t="n"/>
      <c r="AD133" s="32" t="n"/>
      <c r="AE133" s="32" t="n"/>
      <c r="AF133" s="32" t="n"/>
      <c r="AG133" s="32" t="n"/>
      <c r="AH133" s="32" t="n"/>
      <c r="AI133" s="32" t="n"/>
      <c r="AJ133" s="32" t="n"/>
      <c r="AK133" s="32" t="n"/>
      <c r="AL133" s="32" t="n"/>
      <c r="AM133" s="32" t="n"/>
      <c r="AN133" s="32" t="n"/>
      <c r="AO133" s="32" t="n"/>
      <c r="AP133" s="32" t="n"/>
      <c r="AQ133" s="32" t="n"/>
      <c r="AR133" s="32" t="n"/>
      <c r="AS133" s="32" t="n"/>
      <c r="AT133" s="32" t="n"/>
      <c r="AU133" s="32" t="n"/>
      <c r="AV133" s="32" t="n"/>
      <c r="AW133" s="32" t="n"/>
      <c r="AX133" s="32" t="n"/>
      <c r="AY133" s="32" t="n"/>
      <c r="AZ133" s="32" t="n"/>
      <c r="BA133" s="32" t="n"/>
      <c r="BB133" s="32" t="n"/>
      <c r="BC133" s="32" t="n"/>
      <c r="BD133" s="32" t="n"/>
      <c r="BE133" s="32" t="n"/>
      <c r="BF133" s="32" t="n"/>
      <c r="BG133" s="32" t="n"/>
      <c r="BH133" s="32" t="n"/>
      <c r="BI133" s="32" t="n"/>
    </row>
    <row r="134" ht="15.75" customHeight="1" s="252">
      <c r="A134" s="32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  <c r="AA134" s="32" t="n"/>
      <c r="AB134" s="32" t="n"/>
      <c r="AC134" s="32" t="n"/>
      <c r="AD134" s="32" t="n"/>
      <c r="AE134" s="32" t="n"/>
      <c r="AF134" s="32" t="n"/>
      <c r="AG134" s="32" t="n"/>
      <c r="AH134" s="32" t="n"/>
      <c r="AI134" s="32" t="n"/>
      <c r="AJ134" s="32" t="n"/>
      <c r="AK134" s="32" t="n"/>
      <c r="AL134" s="32" t="n"/>
      <c r="AM134" s="32" t="n"/>
      <c r="AN134" s="32" t="n"/>
      <c r="AO134" s="32" t="n"/>
      <c r="AP134" s="32" t="n"/>
      <c r="AQ134" s="32" t="n"/>
      <c r="AR134" s="32" t="n"/>
      <c r="AS134" s="32" t="n"/>
      <c r="AT134" s="32" t="n"/>
      <c r="AU134" s="32" t="n"/>
      <c r="AV134" s="32" t="n"/>
      <c r="AW134" s="32" t="n"/>
      <c r="AX134" s="32" t="n"/>
      <c r="AY134" s="32" t="n"/>
      <c r="AZ134" s="32" t="n"/>
      <c r="BA134" s="32" t="n"/>
      <c r="BB134" s="32" t="n"/>
      <c r="BC134" s="32" t="n"/>
      <c r="BD134" s="32" t="n"/>
      <c r="BE134" s="32" t="n"/>
      <c r="BF134" s="32" t="n"/>
      <c r="BG134" s="32" t="n"/>
      <c r="BH134" s="32" t="n"/>
      <c r="BI134" s="32" t="n"/>
    </row>
    <row r="135" ht="15.75" customHeight="1" s="252">
      <c r="A135" s="32" t="n"/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  <c r="AA135" s="32" t="n"/>
      <c r="AB135" s="32" t="n"/>
      <c r="AC135" s="32" t="n"/>
      <c r="AD135" s="32" t="n"/>
      <c r="AE135" s="32" t="n"/>
      <c r="AF135" s="32" t="n"/>
      <c r="AG135" s="32" t="n"/>
      <c r="AH135" s="32" t="n"/>
      <c r="AI135" s="32" t="n"/>
      <c r="AJ135" s="32" t="n"/>
      <c r="AK135" s="32" t="n"/>
      <c r="AL135" s="32" t="n"/>
      <c r="AM135" s="32" t="n"/>
      <c r="AN135" s="32" t="n"/>
      <c r="AO135" s="32" t="n"/>
      <c r="AP135" s="32" t="n"/>
      <c r="AQ135" s="32" t="n"/>
      <c r="AR135" s="32" t="n"/>
      <c r="AS135" s="32" t="n"/>
      <c r="AT135" s="32" t="n"/>
      <c r="AU135" s="32" t="n"/>
      <c r="AV135" s="32" t="n"/>
      <c r="AW135" s="32" t="n"/>
      <c r="AX135" s="32" t="n"/>
      <c r="AY135" s="32" t="n"/>
      <c r="AZ135" s="32" t="n"/>
      <c r="BA135" s="32" t="n"/>
      <c r="BB135" s="32" t="n"/>
      <c r="BC135" s="32" t="n"/>
      <c r="BD135" s="32" t="n"/>
      <c r="BE135" s="32" t="n"/>
      <c r="BF135" s="32" t="n"/>
      <c r="BG135" s="32" t="n"/>
      <c r="BH135" s="32" t="n"/>
      <c r="BI135" s="32" t="n"/>
    </row>
    <row r="136" ht="15.75" customHeight="1" s="252">
      <c r="A136" s="32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  <c r="AA136" s="32" t="n"/>
      <c r="AB136" s="32" t="n"/>
      <c r="AC136" s="32" t="n"/>
      <c r="AD136" s="32" t="n"/>
      <c r="AE136" s="32" t="n"/>
      <c r="AF136" s="32" t="n"/>
      <c r="AG136" s="32" t="n"/>
      <c r="AH136" s="32" t="n"/>
      <c r="AI136" s="32" t="n"/>
      <c r="AJ136" s="32" t="n"/>
      <c r="AK136" s="32" t="n"/>
      <c r="AL136" s="32" t="n"/>
      <c r="AM136" s="32" t="n"/>
      <c r="AN136" s="32" t="n"/>
      <c r="AO136" s="32" t="n"/>
      <c r="AP136" s="32" t="n"/>
      <c r="AQ136" s="32" t="n"/>
      <c r="AR136" s="32" t="n"/>
      <c r="AS136" s="32" t="n"/>
      <c r="AT136" s="32" t="n"/>
      <c r="AU136" s="32" t="n"/>
      <c r="AV136" s="32" t="n"/>
      <c r="AW136" s="32" t="n"/>
      <c r="AX136" s="32" t="n"/>
      <c r="AY136" s="32" t="n"/>
      <c r="AZ136" s="32" t="n"/>
      <c r="BA136" s="32" t="n"/>
      <c r="BB136" s="32" t="n"/>
      <c r="BC136" s="32" t="n"/>
      <c r="BD136" s="32" t="n"/>
      <c r="BE136" s="32" t="n"/>
      <c r="BF136" s="32" t="n"/>
      <c r="BG136" s="32" t="n"/>
      <c r="BH136" s="32" t="n"/>
      <c r="BI136" s="32" t="n"/>
    </row>
    <row r="137" ht="15.75" customHeight="1" s="252">
      <c r="A137" s="32" t="n"/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  <c r="AA137" s="32" t="n"/>
      <c r="AB137" s="32" t="n"/>
      <c r="AC137" s="32" t="n"/>
      <c r="AD137" s="32" t="n"/>
      <c r="AE137" s="32" t="n"/>
      <c r="AF137" s="32" t="n"/>
      <c r="AG137" s="32" t="n"/>
      <c r="AH137" s="32" t="n"/>
      <c r="AI137" s="32" t="n"/>
      <c r="AJ137" s="32" t="n"/>
      <c r="AK137" s="32" t="n"/>
      <c r="AL137" s="32" t="n"/>
      <c r="AM137" s="32" t="n"/>
      <c r="AN137" s="32" t="n"/>
      <c r="AO137" s="32" t="n"/>
      <c r="AP137" s="32" t="n"/>
      <c r="AQ137" s="32" t="n"/>
      <c r="AR137" s="32" t="n"/>
      <c r="AS137" s="32" t="n"/>
      <c r="AT137" s="32" t="n"/>
      <c r="AU137" s="32" t="n"/>
      <c r="AV137" s="32" t="n"/>
      <c r="AW137" s="32" t="n"/>
      <c r="AX137" s="32" t="n"/>
      <c r="AY137" s="32" t="n"/>
      <c r="AZ137" s="32" t="n"/>
      <c r="BA137" s="32" t="n"/>
      <c r="BB137" s="32" t="n"/>
      <c r="BC137" s="32" t="n"/>
      <c r="BD137" s="32" t="n"/>
      <c r="BE137" s="32" t="n"/>
      <c r="BF137" s="32" t="n"/>
      <c r="BG137" s="32" t="n"/>
      <c r="BH137" s="32" t="n"/>
      <c r="BI137" s="32" t="n"/>
    </row>
    <row r="138" ht="15.75" customHeight="1" s="252">
      <c r="A138" s="32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  <c r="AA138" s="32" t="n"/>
      <c r="AB138" s="32" t="n"/>
      <c r="AC138" s="32" t="n"/>
      <c r="AD138" s="32" t="n"/>
      <c r="AE138" s="32" t="n"/>
      <c r="AF138" s="32" t="n"/>
      <c r="AG138" s="32" t="n"/>
      <c r="AH138" s="32" t="n"/>
      <c r="AI138" s="32" t="n"/>
      <c r="AJ138" s="32" t="n"/>
      <c r="AK138" s="32" t="n"/>
      <c r="AL138" s="32" t="n"/>
      <c r="AM138" s="32" t="n"/>
      <c r="AN138" s="32" t="n"/>
      <c r="AO138" s="32" t="n"/>
      <c r="AP138" s="32" t="n"/>
      <c r="AQ138" s="32" t="n"/>
      <c r="AR138" s="32" t="n"/>
      <c r="AS138" s="32" t="n"/>
      <c r="AT138" s="32" t="n"/>
      <c r="AU138" s="32" t="n"/>
      <c r="AV138" s="32" t="n"/>
      <c r="AW138" s="32" t="n"/>
      <c r="AX138" s="32" t="n"/>
      <c r="AY138" s="32" t="n"/>
      <c r="AZ138" s="32" t="n"/>
      <c r="BA138" s="32" t="n"/>
      <c r="BB138" s="32" t="n"/>
      <c r="BC138" s="32" t="n"/>
      <c r="BD138" s="32" t="n"/>
      <c r="BE138" s="32" t="n"/>
      <c r="BF138" s="32" t="n"/>
      <c r="BG138" s="32" t="n"/>
      <c r="BH138" s="32" t="n"/>
      <c r="BI138" s="32" t="n"/>
    </row>
    <row r="139" ht="15.75" customHeight="1" s="252">
      <c r="A139" s="32" t="n"/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  <c r="AA139" s="32" t="n"/>
      <c r="AB139" s="32" t="n"/>
      <c r="AC139" s="32" t="n"/>
      <c r="AD139" s="32" t="n"/>
      <c r="AE139" s="32" t="n"/>
      <c r="AF139" s="32" t="n"/>
      <c r="AG139" s="32" t="n"/>
      <c r="AH139" s="32" t="n"/>
      <c r="AI139" s="32" t="n"/>
      <c r="AJ139" s="32" t="n"/>
      <c r="AK139" s="32" t="n"/>
      <c r="AL139" s="32" t="n"/>
      <c r="AM139" s="32" t="n"/>
      <c r="AN139" s="32" t="n"/>
      <c r="AO139" s="32" t="n"/>
      <c r="AP139" s="32" t="n"/>
      <c r="AQ139" s="32" t="n"/>
      <c r="AR139" s="32" t="n"/>
      <c r="AS139" s="32" t="n"/>
      <c r="AT139" s="32" t="n"/>
      <c r="AU139" s="32" t="n"/>
      <c r="AV139" s="32" t="n"/>
      <c r="AW139" s="32" t="n"/>
      <c r="AX139" s="32" t="n"/>
      <c r="AY139" s="32" t="n"/>
      <c r="AZ139" s="32" t="n"/>
      <c r="BA139" s="32" t="n"/>
      <c r="BB139" s="32" t="n"/>
      <c r="BC139" s="32" t="n"/>
      <c r="BD139" s="32" t="n"/>
      <c r="BE139" s="32" t="n"/>
      <c r="BF139" s="32" t="n"/>
      <c r="BG139" s="32" t="n"/>
      <c r="BH139" s="32" t="n"/>
      <c r="BI139" s="32" t="n"/>
    </row>
    <row r="140" ht="15.75" customHeight="1" s="252">
      <c r="A140" s="32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  <c r="AA140" s="32" t="n"/>
      <c r="AB140" s="32" t="n"/>
      <c r="AC140" s="32" t="n"/>
      <c r="AD140" s="32" t="n"/>
      <c r="AE140" s="32" t="n"/>
      <c r="AF140" s="32" t="n"/>
      <c r="AG140" s="32" t="n"/>
      <c r="AH140" s="32" t="n"/>
      <c r="AI140" s="32" t="n"/>
      <c r="AJ140" s="32" t="n"/>
      <c r="AK140" s="32" t="n"/>
      <c r="AL140" s="32" t="n"/>
      <c r="AM140" s="32" t="n"/>
      <c r="AN140" s="32" t="n"/>
      <c r="AO140" s="32" t="n"/>
      <c r="AP140" s="32" t="n"/>
      <c r="AQ140" s="32" t="n"/>
      <c r="AR140" s="32" t="n"/>
      <c r="AS140" s="32" t="n"/>
      <c r="AT140" s="32" t="n"/>
      <c r="AU140" s="32" t="n"/>
      <c r="AV140" s="32" t="n"/>
      <c r="AW140" s="32" t="n"/>
      <c r="AX140" s="32" t="n"/>
      <c r="AY140" s="32" t="n"/>
      <c r="AZ140" s="32" t="n"/>
      <c r="BA140" s="32" t="n"/>
      <c r="BB140" s="32" t="n"/>
      <c r="BC140" s="32" t="n"/>
      <c r="BD140" s="32" t="n"/>
      <c r="BE140" s="32" t="n"/>
      <c r="BF140" s="32" t="n"/>
      <c r="BG140" s="32" t="n"/>
      <c r="BH140" s="32" t="n"/>
      <c r="BI140" s="32" t="n"/>
    </row>
    <row r="141" ht="15.75" customHeight="1" s="252">
      <c r="A141" s="32" t="n"/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  <c r="AA141" s="32" t="n"/>
      <c r="AB141" s="32" t="n"/>
      <c r="AC141" s="32" t="n"/>
      <c r="AD141" s="32" t="n"/>
      <c r="AE141" s="32" t="n"/>
      <c r="AF141" s="32" t="n"/>
      <c r="AG141" s="32" t="n"/>
      <c r="AH141" s="32" t="n"/>
      <c r="AI141" s="32" t="n"/>
      <c r="AJ141" s="32" t="n"/>
      <c r="AK141" s="32" t="n"/>
      <c r="AL141" s="32" t="n"/>
      <c r="AM141" s="32" t="n"/>
      <c r="AN141" s="32" t="n"/>
      <c r="AO141" s="32" t="n"/>
      <c r="AP141" s="32" t="n"/>
      <c r="AQ141" s="32" t="n"/>
      <c r="AR141" s="32" t="n"/>
      <c r="AS141" s="32" t="n"/>
      <c r="AT141" s="32" t="n"/>
      <c r="AU141" s="32" t="n"/>
      <c r="AV141" s="32" t="n"/>
      <c r="AW141" s="32" t="n"/>
      <c r="AX141" s="32" t="n"/>
      <c r="AY141" s="32" t="n"/>
      <c r="AZ141" s="32" t="n"/>
      <c r="BA141" s="32" t="n"/>
      <c r="BB141" s="32" t="n"/>
      <c r="BC141" s="32" t="n"/>
      <c r="BD141" s="32" t="n"/>
      <c r="BE141" s="32" t="n"/>
      <c r="BF141" s="32" t="n"/>
      <c r="BG141" s="32" t="n"/>
      <c r="BH141" s="32" t="n"/>
      <c r="BI141" s="32" t="n"/>
    </row>
    <row r="142" ht="15.75" customHeight="1" s="252">
      <c r="A142" s="32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n"/>
      <c r="AA142" s="32" t="n"/>
      <c r="AB142" s="32" t="n"/>
      <c r="AC142" s="32" t="n"/>
      <c r="AD142" s="32" t="n"/>
      <c r="AE142" s="32" t="n"/>
      <c r="AF142" s="32" t="n"/>
      <c r="AG142" s="32" t="n"/>
      <c r="AH142" s="32" t="n"/>
      <c r="AI142" s="32" t="n"/>
      <c r="AJ142" s="32" t="n"/>
      <c r="AK142" s="32" t="n"/>
      <c r="AL142" s="32" t="n"/>
      <c r="AM142" s="32" t="n"/>
      <c r="AN142" s="32" t="n"/>
      <c r="AO142" s="32" t="n"/>
      <c r="AP142" s="32" t="n"/>
      <c r="AQ142" s="32" t="n"/>
      <c r="AR142" s="32" t="n"/>
      <c r="AS142" s="32" t="n"/>
      <c r="AT142" s="32" t="n"/>
      <c r="AU142" s="32" t="n"/>
      <c r="AV142" s="32" t="n"/>
      <c r="AW142" s="32" t="n"/>
      <c r="AX142" s="32" t="n"/>
      <c r="AY142" s="32" t="n"/>
      <c r="AZ142" s="32" t="n"/>
      <c r="BA142" s="32" t="n"/>
      <c r="BB142" s="32" t="n"/>
      <c r="BC142" s="32" t="n"/>
      <c r="BD142" s="32" t="n"/>
      <c r="BE142" s="32" t="n"/>
      <c r="BF142" s="32" t="n"/>
      <c r="BG142" s="32" t="n"/>
      <c r="BH142" s="32" t="n"/>
      <c r="BI142" s="32" t="n"/>
    </row>
    <row r="143" ht="15.75" customHeight="1" s="252">
      <c r="A143" s="32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  <c r="AA143" s="32" t="n"/>
      <c r="AB143" s="32" t="n"/>
      <c r="AC143" s="32" t="n"/>
      <c r="AD143" s="32" t="n"/>
      <c r="AE143" s="32" t="n"/>
      <c r="AF143" s="32" t="n"/>
      <c r="AG143" s="32" t="n"/>
      <c r="AH143" s="32" t="n"/>
      <c r="AI143" s="32" t="n"/>
      <c r="AJ143" s="32" t="n"/>
      <c r="AK143" s="32" t="n"/>
      <c r="AL143" s="32" t="n"/>
      <c r="AM143" s="32" t="n"/>
      <c r="AN143" s="32" t="n"/>
      <c r="AO143" s="32" t="n"/>
      <c r="AP143" s="32" t="n"/>
      <c r="AQ143" s="32" t="n"/>
      <c r="AR143" s="32" t="n"/>
      <c r="AS143" s="32" t="n"/>
      <c r="AT143" s="32" t="n"/>
      <c r="AU143" s="32" t="n"/>
      <c r="AV143" s="32" t="n"/>
      <c r="AW143" s="32" t="n"/>
      <c r="AX143" s="32" t="n"/>
      <c r="AY143" s="32" t="n"/>
      <c r="AZ143" s="32" t="n"/>
      <c r="BA143" s="32" t="n"/>
      <c r="BB143" s="32" t="n"/>
      <c r="BC143" s="32" t="n"/>
      <c r="BD143" s="32" t="n"/>
      <c r="BE143" s="32" t="n"/>
      <c r="BF143" s="32" t="n"/>
      <c r="BG143" s="32" t="n"/>
      <c r="BH143" s="32" t="n"/>
      <c r="BI143" s="32" t="n"/>
    </row>
    <row r="144" ht="15.75" customHeight="1" s="252">
      <c r="A144" s="32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  <c r="AA144" s="32" t="n"/>
      <c r="AB144" s="32" t="n"/>
      <c r="AC144" s="32" t="n"/>
      <c r="AD144" s="32" t="n"/>
      <c r="AE144" s="32" t="n"/>
      <c r="AF144" s="32" t="n"/>
      <c r="AG144" s="32" t="n"/>
      <c r="AH144" s="32" t="n"/>
      <c r="AI144" s="32" t="n"/>
      <c r="AJ144" s="32" t="n"/>
      <c r="AK144" s="32" t="n"/>
      <c r="AL144" s="32" t="n"/>
      <c r="AM144" s="32" t="n"/>
      <c r="AN144" s="32" t="n"/>
      <c r="AO144" s="32" t="n"/>
      <c r="AP144" s="32" t="n"/>
      <c r="AQ144" s="32" t="n"/>
      <c r="AR144" s="32" t="n"/>
      <c r="AS144" s="32" t="n"/>
      <c r="AT144" s="32" t="n"/>
      <c r="AU144" s="32" t="n"/>
      <c r="AV144" s="32" t="n"/>
      <c r="AW144" s="32" t="n"/>
      <c r="AX144" s="32" t="n"/>
      <c r="AY144" s="32" t="n"/>
      <c r="AZ144" s="32" t="n"/>
      <c r="BA144" s="32" t="n"/>
      <c r="BB144" s="32" t="n"/>
      <c r="BC144" s="32" t="n"/>
      <c r="BD144" s="32" t="n"/>
      <c r="BE144" s="32" t="n"/>
      <c r="BF144" s="32" t="n"/>
      <c r="BG144" s="32" t="n"/>
      <c r="BH144" s="32" t="n"/>
      <c r="BI144" s="32" t="n"/>
    </row>
    <row r="145" ht="15.75" customHeight="1" s="252">
      <c r="A145" s="32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  <c r="AA145" s="32" t="n"/>
      <c r="AB145" s="32" t="n"/>
      <c r="AC145" s="32" t="n"/>
      <c r="AD145" s="32" t="n"/>
      <c r="AE145" s="32" t="n"/>
      <c r="AF145" s="32" t="n"/>
      <c r="AG145" s="32" t="n"/>
      <c r="AH145" s="32" t="n"/>
      <c r="AI145" s="32" t="n"/>
      <c r="AJ145" s="32" t="n"/>
      <c r="AK145" s="32" t="n"/>
      <c r="AL145" s="32" t="n"/>
      <c r="AM145" s="32" t="n"/>
      <c r="AN145" s="32" t="n"/>
      <c r="AO145" s="32" t="n"/>
      <c r="AP145" s="32" t="n"/>
      <c r="AQ145" s="32" t="n"/>
      <c r="AR145" s="32" t="n"/>
      <c r="AS145" s="32" t="n"/>
      <c r="AT145" s="32" t="n"/>
      <c r="AU145" s="32" t="n"/>
      <c r="AV145" s="32" t="n"/>
      <c r="AW145" s="32" t="n"/>
      <c r="AX145" s="32" t="n"/>
      <c r="AY145" s="32" t="n"/>
      <c r="AZ145" s="32" t="n"/>
      <c r="BA145" s="32" t="n"/>
      <c r="BB145" s="32" t="n"/>
      <c r="BC145" s="32" t="n"/>
      <c r="BD145" s="32" t="n"/>
      <c r="BE145" s="32" t="n"/>
      <c r="BF145" s="32" t="n"/>
      <c r="BG145" s="32" t="n"/>
      <c r="BH145" s="32" t="n"/>
      <c r="BI145" s="32" t="n"/>
    </row>
    <row r="146" ht="15.75" customHeight="1" s="252">
      <c r="A146" s="32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  <c r="AA146" s="32" t="n"/>
      <c r="AB146" s="32" t="n"/>
      <c r="AC146" s="32" t="n"/>
      <c r="AD146" s="32" t="n"/>
      <c r="AE146" s="32" t="n"/>
      <c r="AF146" s="32" t="n"/>
      <c r="AG146" s="32" t="n"/>
      <c r="AH146" s="32" t="n"/>
      <c r="AI146" s="32" t="n"/>
      <c r="AJ146" s="32" t="n"/>
      <c r="AK146" s="32" t="n"/>
      <c r="AL146" s="32" t="n"/>
      <c r="AM146" s="32" t="n"/>
      <c r="AN146" s="32" t="n"/>
      <c r="AO146" s="32" t="n"/>
      <c r="AP146" s="32" t="n"/>
      <c r="AQ146" s="32" t="n"/>
      <c r="AR146" s="32" t="n"/>
      <c r="AS146" s="32" t="n"/>
      <c r="AT146" s="32" t="n"/>
      <c r="AU146" s="32" t="n"/>
      <c r="AV146" s="32" t="n"/>
      <c r="AW146" s="32" t="n"/>
      <c r="AX146" s="32" t="n"/>
      <c r="AY146" s="32" t="n"/>
      <c r="AZ146" s="32" t="n"/>
      <c r="BA146" s="32" t="n"/>
      <c r="BB146" s="32" t="n"/>
      <c r="BC146" s="32" t="n"/>
      <c r="BD146" s="32" t="n"/>
      <c r="BE146" s="32" t="n"/>
      <c r="BF146" s="32" t="n"/>
      <c r="BG146" s="32" t="n"/>
      <c r="BH146" s="32" t="n"/>
      <c r="BI146" s="32" t="n"/>
    </row>
    <row r="147" ht="15.75" customHeight="1" s="252">
      <c r="A147" s="32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  <c r="AA147" s="32" t="n"/>
      <c r="AB147" s="32" t="n"/>
      <c r="AC147" s="32" t="n"/>
      <c r="AD147" s="32" t="n"/>
      <c r="AE147" s="32" t="n"/>
      <c r="AF147" s="32" t="n"/>
      <c r="AG147" s="32" t="n"/>
      <c r="AH147" s="32" t="n"/>
      <c r="AI147" s="32" t="n"/>
      <c r="AJ147" s="32" t="n"/>
      <c r="AK147" s="32" t="n"/>
      <c r="AL147" s="32" t="n"/>
      <c r="AM147" s="32" t="n"/>
      <c r="AN147" s="32" t="n"/>
      <c r="AO147" s="32" t="n"/>
      <c r="AP147" s="32" t="n"/>
      <c r="AQ147" s="32" t="n"/>
      <c r="AR147" s="32" t="n"/>
      <c r="AS147" s="32" t="n"/>
      <c r="AT147" s="32" t="n"/>
      <c r="AU147" s="32" t="n"/>
      <c r="AV147" s="32" t="n"/>
      <c r="AW147" s="32" t="n"/>
      <c r="AX147" s="32" t="n"/>
      <c r="AY147" s="32" t="n"/>
      <c r="AZ147" s="32" t="n"/>
      <c r="BA147" s="32" t="n"/>
      <c r="BB147" s="32" t="n"/>
      <c r="BC147" s="32" t="n"/>
      <c r="BD147" s="32" t="n"/>
      <c r="BE147" s="32" t="n"/>
      <c r="BF147" s="32" t="n"/>
      <c r="BG147" s="32" t="n"/>
      <c r="BH147" s="32" t="n"/>
      <c r="BI147" s="32" t="n"/>
    </row>
    <row r="148" ht="15.75" customHeight="1" s="252">
      <c r="A148" s="32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  <c r="AA148" s="32" t="n"/>
      <c r="AB148" s="32" t="n"/>
      <c r="AC148" s="32" t="n"/>
      <c r="AD148" s="32" t="n"/>
      <c r="AE148" s="32" t="n"/>
      <c r="AF148" s="32" t="n"/>
      <c r="AG148" s="32" t="n"/>
      <c r="AH148" s="32" t="n"/>
      <c r="AI148" s="32" t="n"/>
      <c r="AJ148" s="32" t="n"/>
      <c r="AK148" s="32" t="n"/>
      <c r="AL148" s="32" t="n"/>
      <c r="AM148" s="32" t="n"/>
      <c r="AN148" s="32" t="n"/>
      <c r="AO148" s="32" t="n"/>
      <c r="AP148" s="32" t="n"/>
      <c r="AQ148" s="32" t="n"/>
      <c r="AR148" s="32" t="n"/>
      <c r="AS148" s="32" t="n"/>
      <c r="AT148" s="32" t="n"/>
      <c r="AU148" s="32" t="n"/>
      <c r="AV148" s="32" t="n"/>
      <c r="AW148" s="32" t="n"/>
      <c r="AX148" s="32" t="n"/>
      <c r="AY148" s="32" t="n"/>
      <c r="AZ148" s="32" t="n"/>
      <c r="BA148" s="32" t="n"/>
      <c r="BB148" s="32" t="n"/>
      <c r="BC148" s="32" t="n"/>
      <c r="BD148" s="32" t="n"/>
      <c r="BE148" s="32" t="n"/>
      <c r="BF148" s="32" t="n"/>
      <c r="BG148" s="32" t="n"/>
      <c r="BH148" s="32" t="n"/>
      <c r="BI148" s="32" t="n"/>
    </row>
    <row r="149" ht="15.75" customHeight="1" s="252">
      <c r="A149" s="32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  <c r="AA149" s="32" t="n"/>
      <c r="AB149" s="32" t="n"/>
      <c r="AC149" s="32" t="n"/>
      <c r="AD149" s="32" t="n"/>
      <c r="AE149" s="32" t="n"/>
      <c r="AF149" s="32" t="n"/>
      <c r="AG149" s="32" t="n"/>
      <c r="AH149" s="32" t="n"/>
      <c r="AI149" s="32" t="n"/>
      <c r="AJ149" s="32" t="n"/>
      <c r="AK149" s="32" t="n"/>
      <c r="AL149" s="32" t="n"/>
      <c r="AM149" s="32" t="n"/>
      <c r="AN149" s="32" t="n"/>
      <c r="AO149" s="32" t="n"/>
      <c r="AP149" s="32" t="n"/>
      <c r="AQ149" s="32" t="n"/>
      <c r="AR149" s="32" t="n"/>
      <c r="AS149" s="32" t="n"/>
      <c r="AT149" s="32" t="n"/>
      <c r="AU149" s="32" t="n"/>
      <c r="AV149" s="32" t="n"/>
      <c r="AW149" s="32" t="n"/>
      <c r="AX149" s="32" t="n"/>
      <c r="AY149" s="32" t="n"/>
      <c r="AZ149" s="32" t="n"/>
      <c r="BA149" s="32" t="n"/>
      <c r="BB149" s="32" t="n"/>
      <c r="BC149" s="32" t="n"/>
      <c r="BD149" s="32" t="n"/>
      <c r="BE149" s="32" t="n"/>
      <c r="BF149" s="32" t="n"/>
      <c r="BG149" s="32" t="n"/>
      <c r="BH149" s="32" t="n"/>
      <c r="BI149" s="32" t="n"/>
    </row>
    <row r="150" ht="15.75" customHeight="1" s="252">
      <c r="A150" s="32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  <c r="AA150" s="32" t="n"/>
      <c r="AB150" s="32" t="n"/>
      <c r="AC150" s="32" t="n"/>
      <c r="AD150" s="32" t="n"/>
      <c r="AE150" s="32" t="n"/>
      <c r="AF150" s="32" t="n"/>
      <c r="AG150" s="32" t="n"/>
      <c r="AH150" s="32" t="n"/>
      <c r="AI150" s="32" t="n"/>
      <c r="AJ150" s="32" t="n"/>
      <c r="AK150" s="32" t="n"/>
      <c r="AL150" s="32" t="n"/>
      <c r="AM150" s="32" t="n"/>
      <c r="AN150" s="32" t="n"/>
      <c r="AO150" s="32" t="n"/>
      <c r="AP150" s="32" t="n"/>
      <c r="AQ150" s="32" t="n"/>
      <c r="AR150" s="32" t="n"/>
      <c r="AS150" s="32" t="n"/>
      <c r="AT150" s="32" t="n"/>
      <c r="AU150" s="32" t="n"/>
      <c r="AV150" s="32" t="n"/>
      <c r="AW150" s="32" t="n"/>
      <c r="AX150" s="32" t="n"/>
      <c r="AY150" s="32" t="n"/>
      <c r="AZ150" s="32" t="n"/>
      <c r="BA150" s="32" t="n"/>
      <c r="BB150" s="32" t="n"/>
      <c r="BC150" s="32" t="n"/>
      <c r="BD150" s="32" t="n"/>
      <c r="BE150" s="32" t="n"/>
      <c r="BF150" s="32" t="n"/>
      <c r="BG150" s="32" t="n"/>
      <c r="BH150" s="32" t="n"/>
      <c r="BI150" s="32" t="n"/>
    </row>
    <row r="151" ht="15.75" customHeight="1" s="252">
      <c r="A151" s="32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  <c r="AA151" s="32" t="n"/>
      <c r="AB151" s="32" t="n"/>
      <c r="AC151" s="32" t="n"/>
      <c r="AD151" s="32" t="n"/>
      <c r="AE151" s="32" t="n"/>
      <c r="AF151" s="32" t="n"/>
      <c r="AG151" s="32" t="n"/>
      <c r="AH151" s="32" t="n"/>
      <c r="AI151" s="32" t="n"/>
      <c r="AJ151" s="32" t="n"/>
      <c r="AK151" s="32" t="n"/>
      <c r="AL151" s="32" t="n"/>
      <c r="AM151" s="32" t="n"/>
      <c r="AN151" s="32" t="n"/>
      <c r="AO151" s="32" t="n"/>
      <c r="AP151" s="32" t="n"/>
      <c r="AQ151" s="32" t="n"/>
      <c r="AR151" s="32" t="n"/>
      <c r="AS151" s="32" t="n"/>
      <c r="AT151" s="32" t="n"/>
      <c r="AU151" s="32" t="n"/>
      <c r="AV151" s="32" t="n"/>
      <c r="AW151" s="32" t="n"/>
      <c r="AX151" s="32" t="n"/>
      <c r="AY151" s="32" t="n"/>
      <c r="AZ151" s="32" t="n"/>
      <c r="BA151" s="32" t="n"/>
      <c r="BB151" s="32" t="n"/>
      <c r="BC151" s="32" t="n"/>
      <c r="BD151" s="32" t="n"/>
      <c r="BE151" s="32" t="n"/>
      <c r="BF151" s="32" t="n"/>
      <c r="BG151" s="32" t="n"/>
      <c r="BH151" s="32" t="n"/>
      <c r="BI151" s="32" t="n"/>
    </row>
    <row r="152" ht="15.75" customHeight="1" s="252">
      <c r="A152" s="32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  <c r="AA152" s="32" t="n"/>
      <c r="AB152" s="32" t="n"/>
      <c r="AC152" s="32" t="n"/>
      <c r="AD152" s="32" t="n"/>
      <c r="AE152" s="32" t="n"/>
      <c r="AF152" s="32" t="n"/>
      <c r="AG152" s="32" t="n"/>
      <c r="AH152" s="32" t="n"/>
      <c r="AI152" s="32" t="n"/>
      <c r="AJ152" s="32" t="n"/>
      <c r="AK152" s="32" t="n"/>
      <c r="AL152" s="32" t="n"/>
      <c r="AM152" s="32" t="n"/>
      <c r="AN152" s="32" t="n"/>
      <c r="AO152" s="32" t="n"/>
      <c r="AP152" s="32" t="n"/>
      <c r="AQ152" s="32" t="n"/>
      <c r="AR152" s="32" t="n"/>
      <c r="AS152" s="32" t="n"/>
      <c r="AT152" s="32" t="n"/>
      <c r="AU152" s="32" t="n"/>
      <c r="AV152" s="32" t="n"/>
      <c r="AW152" s="32" t="n"/>
      <c r="AX152" s="32" t="n"/>
      <c r="AY152" s="32" t="n"/>
      <c r="AZ152" s="32" t="n"/>
      <c r="BA152" s="32" t="n"/>
      <c r="BB152" s="32" t="n"/>
      <c r="BC152" s="32" t="n"/>
      <c r="BD152" s="32" t="n"/>
      <c r="BE152" s="32" t="n"/>
      <c r="BF152" s="32" t="n"/>
      <c r="BG152" s="32" t="n"/>
      <c r="BH152" s="32" t="n"/>
      <c r="BI152" s="32" t="n"/>
    </row>
    <row r="153" ht="15.75" customHeight="1" s="252">
      <c r="A153" s="32" t="n"/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  <c r="AA153" s="32" t="n"/>
      <c r="AB153" s="32" t="n"/>
      <c r="AC153" s="32" t="n"/>
      <c r="AD153" s="32" t="n"/>
      <c r="AE153" s="32" t="n"/>
      <c r="AF153" s="32" t="n"/>
      <c r="AG153" s="32" t="n"/>
      <c r="AH153" s="32" t="n"/>
      <c r="AI153" s="32" t="n"/>
      <c r="AJ153" s="32" t="n"/>
      <c r="AK153" s="32" t="n"/>
      <c r="AL153" s="32" t="n"/>
      <c r="AM153" s="32" t="n"/>
      <c r="AN153" s="32" t="n"/>
      <c r="AO153" s="32" t="n"/>
      <c r="AP153" s="32" t="n"/>
      <c r="AQ153" s="32" t="n"/>
      <c r="AR153" s="32" t="n"/>
      <c r="AS153" s="32" t="n"/>
      <c r="AT153" s="32" t="n"/>
      <c r="AU153" s="32" t="n"/>
      <c r="AV153" s="32" t="n"/>
      <c r="AW153" s="32" t="n"/>
      <c r="AX153" s="32" t="n"/>
      <c r="AY153" s="32" t="n"/>
      <c r="AZ153" s="32" t="n"/>
      <c r="BA153" s="32" t="n"/>
      <c r="BB153" s="32" t="n"/>
      <c r="BC153" s="32" t="n"/>
      <c r="BD153" s="32" t="n"/>
      <c r="BE153" s="32" t="n"/>
      <c r="BF153" s="32" t="n"/>
      <c r="BG153" s="32" t="n"/>
      <c r="BH153" s="32" t="n"/>
      <c r="BI153" s="32" t="n"/>
    </row>
    <row r="154" ht="15.75" customHeight="1" s="252">
      <c r="A154" s="32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  <c r="AA154" s="32" t="n"/>
      <c r="AB154" s="32" t="n"/>
      <c r="AC154" s="32" t="n"/>
      <c r="AD154" s="32" t="n"/>
      <c r="AE154" s="32" t="n"/>
      <c r="AF154" s="32" t="n"/>
      <c r="AG154" s="32" t="n"/>
      <c r="AH154" s="32" t="n"/>
      <c r="AI154" s="32" t="n"/>
      <c r="AJ154" s="32" t="n"/>
      <c r="AK154" s="32" t="n"/>
      <c r="AL154" s="32" t="n"/>
      <c r="AM154" s="32" t="n"/>
      <c r="AN154" s="32" t="n"/>
      <c r="AO154" s="32" t="n"/>
      <c r="AP154" s="32" t="n"/>
      <c r="AQ154" s="32" t="n"/>
      <c r="AR154" s="32" t="n"/>
      <c r="AS154" s="32" t="n"/>
      <c r="AT154" s="32" t="n"/>
      <c r="AU154" s="32" t="n"/>
      <c r="AV154" s="32" t="n"/>
      <c r="AW154" s="32" t="n"/>
      <c r="AX154" s="32" t="n"/>
      <c r="AY154" s="32" t="n"/>
      <c r="AZ154" s="32" t="n"/>
      <c r="BA154" s="32" t="n"/>
      <c r="BB154" s="32" t="n"/>
      <c r="BC154" s="32" t="n"/>
      <c r="BD154" s="32" t="n"/>
      <c r="BE154" s="32" t="n"/>
      <c r="BF154" s="32" t="n"/>
      <c r="BG154" s="32" t="n"/>
      <c r="BH154" s="32" t="n"/>
      <c r="BI154" s="32" t="n"/>
    </row>
    <row r="155" ht="15.75" customHeight="1" s="252">
      <c r="A155" s="32" t="n"/>
      <c r="B155" s="32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  <c r="AA155" s="32" t="n"/>
      <c r="AB155" s="32" t="n"/>
      <c r="AC155" s="32" t="n"/>
      <c r="AD155" s="32" t="n"/>
      <c r="AE155" s="32" t="n"/>
      <c r="AF155" s="32" t="n"/>
      <c r="AG155" s="32" t="n"/>
      <c r="AH155" s="32" t="n"/>
      <c r="AI155" s="32" t="n"/>
      <c r="AJ155" s="32" t="n"/>
      <c r="AK155" s="32" t="n"/>
      <c r="AL155" s="32" t="n"/>
      <c r="AM155" s="32" t="n"/>
      <c r="AN155" s="32" t="n"/>
      <c r="AO155" s="32" t="n"/>
      <c r="AP155" s="32" t="n"/>
      <c r="AQ155" s="32" t="n"/>
      <c r="AR155" s="32" t="n"/>
      <c r="AS155" s="32" t="n"/>
      <c r="AT155" s="32" t="n"/>
      <c r="AU155" s="32" t="n"/>
      <c r="AV155" s="32" t="n"/>
      <c r="AW155" s="32" t="n"/>
      <c r="AX155" s="32" t="n"/>
      <c r="AY155" s="32" t="n"/>
      <c r="AZ155" s="32" t="n"/>
      <c r="BA155" s="32" t="n"/>
      <c r="BB155" s="32" t="n"/>
      <c r="BC155" s="32" t="n"/>
      <c r="BD155" s="32" t="n"/>
      <c r="BE155" s="32" t="n"/>
      <c r="BF155" s="32" t="n"/>
      <c r="BG155" s="32" t="n"/>
      <c r="BH155" s="32" t="n"/>
      <c r="BI155" s="32" t="n"/>
    </row>
    <row r="156" ht="15.75" customHeight="1" s="252">
      <c r="A156" s="32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  <c r="AA156" s="32" t="n"/>
      <c r="AB156" s="32" t="n"/>
      <c r="AC156" s="32" t="n"/>
      <c r="AD156" s="32" t="n"/>
      <c r="AE156" s="32" t="n"/>
      <c r="AF156" s="32" t="n"/>
      <c r="AG156" s="32" t="n"/>
      <c r="AH156" s="32" t="n"/>
      <c r="AI156" s="32" t="n"/>
      <c r="AJ156" s="32" t="n"/>
      <c r="AK156" s="32" t="n"/>
      <c r="AL156" s="32" t="n"/>
      <c r="AM156" s="32" t="n"/>
      <c r="AN156" s="32" t="n"/>
      <c r="AO156" s="32" t="n"/>
      <c r="AP156" s="32" t="n"/>
      <c r="AQ156" s="32" t="n"/>
      <c r="AR156" s="32" t="n"/>
      <c r="AS156" s="32" t="n"/>
      <c r="AT156" s="32" t="n"/>
      <c r="AU156" s="32" t="n"/>
      <c r="AV156" s="32" t="n"/>
      <c r="AW156" s="32" t="n"/>
      <c r="AX156" s="32" t="n"/>
      <c r="AY156" s="32" t="n"/>
      <c r="AZ156" s="32" t="n"/>
      <c r="BA156" s="32" t="n"/>
      <c r="BB156" s="32" t="n"/>
      <c r="BC156" s="32" t="n"/>
      <c r="BD156" s="32" t="n"/>
      <c r="BE156" s="32" t="n"/>
      <c r="BF156" s="32" t="n"/>
      <c r="BG156" s="32" t="n"/>
      <c r="BH156" s="32" t="n"/>
      <c r="BI156" s="32" t="n"/>
    </row>
    <row r="157" ht="15.75" customHeight="1" s="252">
      <c r="A157" s="32" t="n"/>
      <c r="B157" s="32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  <c r="AA157" s="32" t="n"/>
      <c r="AB157" s="32" t="n"/>
      <c r="AC157" s="32" t="n"/>
      <c r="AD157" s="32" t="n"/>
      <c r="AE157" s="32" t="n"/>
      <c r="AF157" s="32" t="n"/>
      <c r="AG157" s="32" t="n"/>
      <c r="AH157" s="32" t="n"/>
      <c r="AI157" s="32" t="n"/>
      <c r="AJ157" s="32" t="n"/>
      <c r="AK157" s="32" t="n"/>
      <c r="AL157" s="32" t="n"/>
      <c r="AM157" s="32" t="n"/>
      <c r="AN157" s="32" t="n"/>
      <c r="AO157" s="32" t="n"/>
      <c r="AP157" s="32" t="n"/>
      <c r="AQ157" s="32" t="n"/>
      <c r="AR157" s="32" t="n"/>
      <c r="AS157" s="32" t="n"/>
      <c r="AT157" s="32" t="n"/>
      <c r="AU157" s="32" t="n"/>
      <c r="AV157" s="32" t="n"/>
      <c r="AW157" s="32" t="n"/>
      <c r="AX157" s="32" t="n"/>
      <c r="AY157" s="32" t="n"/>
      <c r="AZ157" s="32" t="n"/>
      <c r="BA157" s="32" t="n"/>
      <c r="BB157" s="32" t="n"/>
      <c r="BC157" s="32" t="n"/>
      <c r="BD157" s="32" t="n"/>
      <c r="BE157" s="32" t="n"/>
      <c r="BF157" s="32" t="n"/>
      <c r="BG157" s="32" t="n"/>
      <c r="BH157" s="32" t="n"/>
      <c r="BI157" s="32" t="n"/>
    </row>
    <row r="158" ht="15.75" customHeight="1" s="252">
      <c r="A158" s="32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  <c r="AA158" s="32" t="n"/>
      <c r="AB158" s="32" t="n"/>
      <c r="AC158" s="32" t="n"/>
      <c r="AD158" s="32" t="n"/>
      <c r="AE158" s="32" t="n"/>
      <c r="AF158" s="32" t="n"/>
      <c r="AG158" s="32" t="n"/>
      <c r="AH158" s="32" t="n"/>
      <c r="AI158" s="32" t="n"/>
      <c r="AJ158" s="32" t="n"/>
      <c r="AK158" s="32" t="n"/>
      <c r="AL158" s="32" t="n"/>
      <c r="AM158" s="32" t="n"/>
      <c r="AN158" s="32" t="n"/>
      <c r="AO158" s="32" t="n"/>
      <c r="AP158" s="32" t="n"/>
      <c r="AQ158" s="32" t="n"/>
      <c r="AR158" s="32" t="n"/>
      <c r="AS158" s="32" t="n"/>
      <c r="AT158" s="32" t="n"/>
      <c r="AU158" s="32" t="n"/>
      <c r="AV158" s="32" t="n"/>
      <c r="AW158" s="32" t="n"/>
      <c r="AX158" s="32" t="n"/>
      <c r="AY158" s="32" t="n"/>
      <c r="AZ158" s="32" t="n"/>
      <c r="BA158" s="32" t="n"/>
      <c r="BB158" s="32" t="n"/>
      <c r="BC158" s="32" t="n"/>
      <c r="BD158" s="32" t="n"/>
      <c r="BE158" s="32" t="n"/>
      <c r="BF158" s="32" t="n"/>
      <c r="BG158" s="32" t="n"/>
      <c r="BH158" s="32" t="n"/>
      <c r="BI158" s="32" t="n"/>
    </row>
    <row r="159" ht="15.75" customHeight="1" s="252">
      <c r="A159" s="32" t="n"/>
      <c r="B159" s="32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  <c r="AA159" s="32" t="n"/>
      <c r="AB159" s="32" t="n"/>
      <c r="AC159" s="32" t="n"/>
      <c r="AD159" s="32" t="n"/>
      <c r="AE159" s="32" t="n"/>
      <c r="AF159" s="32" t="n"/>
      <c r="AG159" s="32" t="n"/>
      <c r="AH159" s="32" t="n"/>
      <c r="AI159" s="32" t="n"/>
      <c r="AJ159" s="32" t="n"/>
      <c r="AK159" s="32" t="n"/>
      <c r="AL159" s="32" t="n"/>
      <c r="AM159" s="32" t="n"/>
      <c r="AN159" s="32" t="n"/>
      <c r="AO159" s="32" t="n"/>
      <c r="AP159" s="32" t="n"/>
      <c r="AQ159" s="32" t="n"/>
      <c r="AR159" s="32" t="n"/>
      <c r="AS159" s="32" t="n"/>
      <c r="AT159" s="32" t="n"/>
      <c r="AU159" s="32" t="n"/>
      <c r="AV159" s="32" t="n"/>
      <c r="AW159" s="32" t="n"/>
      <c r="AX159" s="32" t="n"/>
      <c r="AY159" s="32" t="n"/>
      <c r="AZ159" s="32" t="n"/>
      <c r="BA159" s="32" t="n"/>
      <c r="BB159" s="32" t="n"/>
      <c r="BC159" s="32" t="n"/>
      <c r="BD159" s="32" t="n"/>
      <c r="BE159" s="32" t="n"/>
      <c r="BF159" s="32" t="n"/>
      <c r="BG159" s="32" t="n"/>
      <c r="BH159" s="32" t="n"/>
      <c r="BI159" s="32" t="n"/>
    </row>
    <row r="160" ht="15.75" customHeight="1" s="252">
      <c r="A160" s="32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  <c r="AA160" s="32" t="n"/>
      <c r="AB160" s="32" t="n"/>
      <c r="AC160" s="32" t="n"/>
      <c r="AD160" s="32" t="n"/>
      <c r="AE160" s="32" t="n"/>
      <c r="AF160" s="32" t="n"/>
      <c r="AG160" s="32" t="n"/>
      <c r="AH160" s="32" t="n"/>
      <c r="AI160" s="32" t="n"/>
      <c r="AJ160" s="32" t="n"/>
      <c r="AK160" s="32" t="n"/>
      <c r="AL160" s="32" t="n"/>
      <c r="AM160" s="32" t="n"/>
      <c r="AN160" s="32" t="n"/>
      <c r="AO160" s="32" t="n"/>
      <c r="AP160" s="32" t="n"/>
      <c r="AQ160" s="32" t="n"/>
      <c r="AR160" s="32" t="n"/>
      <c r="AS160" s="32" t="n"/>
      <c r="AT160" s="32" t="n"/>
      <c r="AU160" s="32" t="n"/>
      <c r="AV160" s="32" t="n"/>
      <c r="AW160" s="32" t="n"/>
      <c r="AX160" s="32" t="n"/>
      <c r="AY160" s="32" t="n"/>
      <c r="AZ160" s="32" t="n"/>
      <c r="BA160" s="32" t="n"/>
      <c r="BB160" s="32" t="n"/>
      <c r="BC160" s="32" t="n"/>
      <c r="BD160" s="32" t="n"/>
      <c r="BE160" s="32" t="n"/>
      <c r="BF160" s="32" t="n"/>
      <c r="BG160" s="32" t="n"/>
      <c r="BH160" s="32" t="n"/>
      <c r="BI160" s="32" t="n"/>
    </row>
    <row r="161" ht="15.75" customHeight="1" s="252">
      <c r="A161" s="32" t="n"/>
      <c r="B161" s="32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  <c r="AA161" s="32" t="n"/>
      <c r="AB161" s="32" t="n"/>
      <c r="AC161" s="32" t="n"/>
      <c r="AD161" s="32" t="n"/>
      <c r="AE161" s="32" t="n"/>
      <c r="AF161" s="32" t="n"/>
      <c r="AG161" s="32" t="n"/>
      <c r="AH161" s="32" t="n"/>
      <c r="AI161" s="32" t="n"/>
      <c r="AJ161" s="32" t="n"/>
      <c r="AK161" s="32" t="n"/>
      <c r="AL161" s="32" t="n"/>
      <c r="AM161" s="32" t="n"/>
      <c r="AN161" s="32" t="n"/>
      <c r="AO161" s="32" t="n"/>
      <c r="AP161" s="32" t="n"/>
      <c r="AQ161" s="32" t="n"/>
      <c r="AR161" s="32" t="n"/>
      <c r="AS161" s="32" t="n"/>
      <c r="AT161" s="32" t="n"/>
      <c r="AU161" s="32" t="n"/>
      <c r="AV161" s="32" t="n"/>
      <c r="AW161" s="32" t="n"/>
      <c r="AX161" s="32" t="n"/>
      <c r="AY161" s="32" t="n"/>
      <c r="AZ161" s="32" t="n"/>
      <c r="BA161" s="32" t="n"/>
      <c r="BB161" s="32" t="n"/>
      <c r="BC161" s="32" t="n"/>
      <c r="BD161" s="32" t="n"/>
      <c r="BE161" s="32" t="n"/>
      <c r="BF161" s="32" t="n"/>
      <c r="BG161" s="32" t="n"/>
      <c r="BH161" s="32" t="n"/>
      <c r="BI161" s="32" t="n"/>
    </row>
    <row r="162" ht="15.75" customHeight="1" s="252">
      <c r="A162" s="32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  <c r="AA162" s="32" t="n"/>
      <c r="AB162" s="32" t="n"/>
      <c r="AC162" s="32" t="n"/>
      <c r="AD162" s="32" t="n"/>
      <c r="AE162" s="32" t="n"/>
      <c r="AF162" s="32" t="n"/>
      <c r="AG162" s="32" t="n"/>
      <c r="AH162" s="32" t="n"/>
      <c r="AI162" s="32" t="n"/>
      <c r="AJ162" s="32" t="n"/>
      <c r="AK162" s="32" t="n"/>
      <c r="AL162" s="32" t="n"/>
      <c r="AM162" s="32" t="n"/>
      <c r="AN162" s="32" t="n"/>
      <c r="AO162" s="32" t="n"/>
      <c r="AP162" s="32" t="n"/>
      <c r="AQ162" s="32" t="n"/>
      <c r="AR162" s="32" t="n"/>
      <c r="AS162" s="32" t="n"/>
      <c r="AT162" s="32" t="n"/>
      <c r="AU162" s="32" t="n"/>
      <c r="AV162" s="32" t="n"/>
      <c r="AW162" s="32" t="n"/>
      <c r="AX162" s="32" t="n"/>
      <c r="AY162" s="32" t="n"/>
      <c r="AZ162" s="32" t="n"/>
      <c r="BA162" s="32" t="n"/>
      <c r="BB162" s="32" t="n"/>
      <c r="BC162" s="32" t="n"/>
      <c r="BD162" s="32" t="n"/>
      <c r="BE162" s="32" t="n"/>
      <c r="BF162" s="32" t="n"/>
      <c r="BG162" s="32" t="n"/>
      <c r="BH162" s="32" t="n"/>
      <c r="BI162" s="32" t="n"/>
    </row>
    <row r="163" ht="15.75" customHeight="1" s="252">
      <c r="A163" s="32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  <c r="AA163" s="32" t="n"/>
      <c r="AB163" s="32" t="n"/>
      <c r="AC163" s="32" t="n"/>
      <c r="AD163" s="32" t="n"/>
      <c r="AE163" s="32" t="n"/>
      <c r="AF163" s="32" t="n"/>
      <c r="AG163" s="32" t="n"/>
      <c r="AH163" s="32" t="n"/>
      <c r="AI163" s="32" t="n"/>
      <c r="AJ163" s="32" t="n"/>
      <c r="AK163" s="32" t="n"/>
      <c r="AL163" s="32" t="n"/>
      <c r="AM163" s="32" t="n"/>
      <c r="AN163" s="32" t="n"/>
      <c r="AO163" s="32" t="n"/>
      <c r="AP163" s="32" t="n"/>
      <c r="AQ163" s="32" t="n"/>
      <c r="AR163" s="32" t="n"/>
      <c r="AS163" s="32" t="n"/>
      <c r="AT163" s="32" t="n"/>
      <c r="AU163" s="32" t="n"/>
      <c r="AV163" s="32" t="n"/>
      <c r="AW163" s="32" t="n"/>
      <c r="AX163" s="32" t="n"/>
      <c r="AY163" s="32" t="n"/>
      <c r="AZ163" s="32" t="n"/>
      <c r="BA163" s="32" t="n"/>
      <c r="BB163" s="32" t="n"/>
      <c r="BC163" s="32" t="n"/>
      <c r="BD163" s="32" t="n"/>
      <c r="BE163" s="32" t="n"/>
      <c r="BF163" s="32" t="n"/>
      <c r="BG163" s="32" t="n"/>
      <c r="BH163" s="32" t="n"/>
      <c r="BI163" s="32" t="n"/>
    </row>
    <row r="164" ht="15.75" customHeight="1" s="252">
      <c r="A164" s="32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  <c r="AA164" s="32" t="n"/>
      <c r="AB164" s="32" t="n"/>
      <c r="AC164" s="32" t="n"/>
      <c r="AD164" s="32" t="n"/>
      <c r="AE164" s="32" t="n"/>
      <c r="AF164" s="32" t="n"/>
      <c r="AG164" s="32" t="n"/>
      <c r="AH164" s="32" t="n"/>
      <c r="AI164" s="32" t="n"/>
      <c r="AJ164" s="32" t="n"/>
      <c r="AK164" s="32" t="n"/>
      <c r="AL164" s="32" t="n"/>
      <c r="AM164" s="32" t="n"/>
      <c r="AN164" s="32" t="n"/>
      <c r="AO164" s="32" t="n"/>
      <c r="AP164" s="32" t="n"/>
      <c r="AQ164" s="32" t="n"/>
      <c r="AR164" s="32" t="n"/>
      <c r="AS164" s="32" t="n"/>
      <c r="AT164" s="32" t="n"/>
      <c r="AU164" s="32" t="n"/>
      <c r="AV164" s="32" t="n"/>
      <c r="AW164" s="32" t="n"/>
      <c r="AX164" s="32" t="n"/>
      <c r="AY164" s="32" t="n"/>
      <c r="AZ164" s="32" t="n"/>
      <c r="BA164" s="32" t="n"/>
      <c r="BB164" s="32" t="n"/>
      <c r="BC164" s="32" t="n"/>
      <c r="BD164" s="32" t="n"/>
      <c r="BE164" s="32" t="n"/>
      <c r="BF164" s="32" t="n"/>
      <c r="BG164" s="32" t="n"/>
      <c r="BH164" s="32" t="n"/>
      <c r="BI164" s="32" t="n"/>
    </row>
    <row r="165" ht="15.75" customHeight="1" s="252">
      <c r="A165" s="32" t="n"/>
      <c r="B165" s="32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  <c r="Z165" s="32" t="n"/>
      <c r="AA165" s="32" t="n"/>
      <c r="AB165" s="32" t="n"/>
      <c r="AC165" s="32" t="n"/>
      <c r="AD165" s="32" t="n"/>
      <c r="AE165" s="32" t="n"/>
      <c r="AF165" s="32" t="n"/>
      <c r="AG165" s="32" t="n"/>
      <c r="AH165" s="32" t="n"/>
      <c r="AI165" s="32" t="n"/>
      <c r="AJ165" s="32" t="n"/>
      <c r="AK165" s="32" t="n"/>
      <c r="AL165" s="32" t="n"/>
      <c r="AM165" s="32" t="n"/>
      <c r="AN165" s="32" t="n"/>
      <c r="AO165" s="32" t="n"/>
      <c r="AP165" s="32" t="n"/>
      <c r="AQ165" s="32" t="n"/>
      <c r="AR165" s="32" t="n"/>
      <c r="AS165" s="32" t="n"/>
      <c r="AT165" s="32" t="n"/>
      <c r="AU165" s="32" t="n"/>
      <c r="AV165" s="32" t="n"/>
      <c r="AW165" s="32" t="n"/>
      <c r="AX165" s="32" t="n"/>
      <c r="AY165" s="32" t="n"/>
      <c r="AZ165" s="32" t="n"/>
      <c r="BA165" s="32" t="n"/>
      <c r="BB165" s="32" t="n"/>
      <c r="BC165" s="32" t="n"/>
      <c r="BD165" s="32" t="n"/>
      <c r="BE165" s="32" t="n"/>
      <c r="BF165" s="32" t="n"/>
      <c r="BG165" s="32" t="n"/>
      <c r="BH165" s="32" t="n"/>
      <c r="BI165" s="32" t="n"/>
    </row>
    <row r="166" ht="15.75" customHeight="1" s="252">
      <c r="A166" s="32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  <c r="Z166" s="32" t="n"/>
      <c r="AA166" s="32" t="n"/>
      <c r="AB166" s="32" t="n"/>
      <c r="AC166" s="32" t="n"/>
      <c r="AD166" s="32" t="n"/>
      <c r="AE166" s="32" t="n"/>
      <c r="AF166" s="32" t="n"/>
      <c r="AG166" s="32" t="n"/>
      <c r="AH166" s="32" t="n"/>
      <c r="AI166" s="32" t="n"/>
      <c r="AJ166" s="32" t="n"/>
      <c r="AK166" s="32" t="n"/>
      <c r="AL166" s="32" t="n"/>
      <c r="AM166" s="32" t="n"/>
      <c r="AN166" s="32" t="n"/>
      <c r="AO166" s="32" t="n"/>
      <c r="AP166" s="32" t="n"/>
      <c r="AQ166" s="32" t="n"/>
      <c r="AR166" s="32" t="n"/>
      <c r="AS166" s="32" t="n"/>
      <c r="AT166" s="32" t="n"/>
      <c r="AU166" s="32" t="n"/>
      <c r="AV166" s="32" t="n"/>
      <c r="AW166" s="32" t="n"/>
      <c r="AX166" s="32" t="n"/>
      <c r="AY166" s="32" t="n"/>
      <c r="AZ166" s="32" t="n"/>
      <c r="BA166" s="32" t="n"/>
      <c r="BB166" s="32" t="n"/>
      <c r="BC166" s="32" t="n"/>
      <c r="BD166" s="32" t="n"/>
      <c r="BE166" s="32" t="n"/>
      <c r="BF166" s="32" t="n"/>
      <c r="BG166" s="32" t="n"/>
      <c r="BH166" s="32" t="n"/>
      <c r="BI166" s="32" t="n"/>
    </row>
    <row r="167" ht="15.75" customHeight="1" s="252">
      <c r="A167" s="32" t="n"/>
      <c r="B167" s="32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  <c r="AA167" s="32" t="n"/>
      <c r="AB167" s="32" t="n"/>
      <c r="AC167" s="32" t="n"/>
      <c r="AD167" s="32" t="n"/>
      <c r="AE167" s="32" t="n"/>
      <c r="AF167" s="32" t="n"/>
      <c r="AG167" s="32" t="n"/>
      <c r="AH167" s="32" t="n"/>
      <c r="AI167" s="32" t="n"/>
      <c r="AJ167" s="32" t="n"/>
      <c r="AK167" s="32" t="n"/>
      <c r="AL167" s="32" t="n"/>
      <c r="AM167" s="32" t="n"/>
      <c r="AN167" s="32" t="n"/>
      <c r="AO167" s="32" t="n"/>
      <c r="AP167" s="32" t="n"/>
      <c r="AQ167" s="32" t="n"/>
      <c r="AR167" s="32" t="n"/>
      <c r="AS167" s="32" t="n"/>
      <c r="AT167" s="32" t="n"/>
      <c r="AU167" s="32" t="n"/>
      <c r="AV167" s="32" t="n"/>
      <c r="AW167" s="32" t="n"/>
      <c r="AX167" s="32" t="n"/>
      <c r="AY167" s="32" t="n"/>
      <c r="AZ167" s="32" t="n"/>
      <c r="BA167" s="32" t="n"/>
      <c r="BB167" s="32" t="n"/>
      <c r="BC167" s="32" t="n"/>
      <c r="BD167" s="32" t="n"/>
      <c r="BE167" s="32" t="n"/>
      <c r="BF167" s="32" t="n"/>
      <c r="BG167" s="32" t="n"/>
      <c r="BH167" s="32" t="n"/>
      <c r="BI167" s="32" t="n"/>
    </row>
    <row r="168" ht="15.75" customHeight="1" s="252">
      <c r="A168" s="32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  <c r="AA168" s="32" t="n"/>
      <c r="AB168" s="32" t="n"/>
      <c r="AC168" s="32" t="n"/>
      <c r="AD168" s="32" t="n"/>
      <c r="AE168" s="32" t="n"/>
      <c r="AF168" s="32" t="n"/>
      <c r="AG168" s="32" t="n"/>
      <c r="AH168" s="32" t="n"/>
      <c r="AI168" s="32" t="n"/>
      <c r="AJ168" s="32" t="n"/>
      <c r="AK168" s="32" t="n"/>
      <c r="AL168" s="32" t="n"/>
      <c r="AM168" s="32" t="n"/>
      <c r="AN168" s="32" t="n"/>
      <c r="AO168" s="32" t="n"/>
      <c r="AP168" s="32" t="n"/>
      <c r="AQ168" s="32" t="n"/>
      <c r="AR168" s="32" t="n"/>
      <c r="AS168" s="32" t="n"/>
      <c r="AT168" s="32" t="n"/>
      <c r="AU168" s="32" t="n"/>
      <c r="AV168" s="32" t="n"/>
      <c r="AW168" s="32" t="n"/>
      <c r="AX168" s="32" t="n"/>
      <c r="AY168" s="32" t="n"/>
      <c r="AZ168" s="32" t="n"/>
      <c r="BA168" s="32" t="n"/>
      <c r="BB168" s="32" t="n"/>
      <c r="BC168" s="32" t="n"/>
      <c r="BD168" s="32" t="n"/>
      <c r="BE168" s="32" t="n"/>
      <c r="BF168" s="32" t="n"/>
      <c r="BG168" s="32" t="n"/>
      <c r="BH168" s="32" t="n"/>
      <c r="BI168" s="32" t="n"/>
    </row>
    <row r="169" ht="15.75" customHeight="1" s="252">
      <c r="A169" s="32" t="n"/>
      <c r="B169" s="32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  <c r="AA169" s="32" t="n"/>
      <c r="AB169" s="32" t="n"/>
      <c r="AC169" s="32" t="n"/>
      <c r="AD169" s="32" t="n"/>
      <c r="AE169" s="32" t="n"/>
      <c r="AF169" s="32" t="n"/>
      <c r="AG169" s="32" t="n"/>
      <c r="AH169" s="32" t="n"/>
      <c r="AI169" s="32" t="n"/>
      <c r="AJ169" s="32" t="n"/>
      <c r="AK169" s="32" t="n"/>
      <c r="AL169" s="32" t="n"/>
      <c r="AM169" s="32" t="n"/>
      <c r="AN169" s="32" t="n"/>
      <c r="AO169" s="32" t="n"/>
      <c r="AP169" s="32" t="n"/>
      <c r="AQ169" s="32" t="n"/>
      <c r="AR169" s="32" t="n"/>
      <c r="AS169" s="32" t="n"/>
      <c r="AT169" s="32" t="n"/>
      <c r="AU169" s="32" t="n"/>
      <c r="AV169" s="32" t="n"/>
      <c r="AW169" s="32" t="n"/>
      <c r="AX169" s="32" t="n"/>
      <c r="AY169" s="32" t="n"/>
      <c r="AZ169" s="32" t="n"/>
      <c r="BA169" s="32" t="n"/>
      <c r="BB169" s="32" t="n"/>
      <c r="BC169" s="32" t="n"/>
      <c r="BD169" s="32" t="n"/>
      <c r="BE169" s="32" t="n"/>
      <c r="BF169" s="32" t="n"/>
      <c r="BG169" s="32" t="n"/>
      <c r="BH169" s="32" t="n"/>
      <c r="BI169" s="32" t="n"/>
    </row>
    <row r="170" ht="15.75" customHeight="1" s="252">
      <c r="A170" s="32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  <c r="AA170" s="32" t="n"/>
      <c r="AB170" s="32" t="n"/>
      <c r="AC170" s="32" t="n"/>
      <c r="AD170" s="32" t="n"/>
      <c r="AE170" s="32" t="n"/>
      <c r="AF170" s="32" t="n"/>
      <c r="AG170" s="32" t="n"/>
      <c r="AH170" s="32" t="n"/>
      <c r="AI170" s="32" t="n"/>
      <c r="AJ170" s="32" t="n"/>
      <c r="AK170" s="32" t="n"/>
      <c r="AL170" s="32" t="n"/>
      <c r="AM170" s="32" t="n"/>
      <c r="AN170" s="32" t="n"/>
      <c r="AO170" s="32" t="n"/>
      <c r="AP170" s="32" t="n"/>
      <c r="AQ170" s="32" t="n"/>
      <c r="AR170" s="32" t="n"/>
      <c r="AS170" s="32" t="n"/>
      <c r="AT170" s="32" t="n"/>
      <c r="AU170" s="32" t="n"/>
      <c r="AV170" s="32" t="n"/>
      <c r="AW170" s="32" t="n"/>
      <c r="AX170" s="32" t="n"/>
      <c r="AY170" s="32" t="n"/>
      <c r="AZ170" s="32" t="n"/>
      <c r="BA170" s="32" t="n"/>
      <c r="BB170" s="32" t="n"/>
      <c r="BC170" s="32" t="n"/>
      <c r="BD170" s="32" t="n"/>
      <c r="BE170" s="32" t="n"/>
      <c r="BF170" s="32" t="n"/>
      <c r="BG170" s="32" t="n"/>
      <c r="BH170" s="32" t="n"/>
      <c r="BI170" s="32" t="n"/>
    </row>
    <row r="171" ht="15.75" customHeight="1" s="252">
      <c r="A171" s="32" t="n"/>
      <c r="B171" s="32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  <c r="AA171" s="32" t="n"/>
      <c r="AB171" s="32" t="n"/>
      <c r="AC171" s="32" t="n"/>
      <c r="AD171" s="32" t="n"/>
      <c r="AE171" s="32" t="n"/>
      <c r="AF171" s="32" t="n"/>
      <c r="AG171" s="32" t="n"/>
      <c r="AH171" s="32" t="n"/>
      <c r="AI171" s="32" t="n"/>
      <c r="AJ171" s="32" t="n"/>
      <c r="AK171" s="32" t="n"/>
      <c r="AL171" s="32" t="n"/>
      <c r="AM171" s="32" t="n"/>
      <c r="AN171" s="32" t="n"/>
      <c r="AO171" s="32" t="n"/>
      <c r="AP171" s="32" t="n"/>
      <c r="AQ171" s="32" t="n"/>
      <c r="AR171" s="32" t="n"/>
      <c r="AS171" s="32" t="n"/>
      <c r="AT171" s="32" t="n"/>
      <c r="AU171" s="32" t="n"/>
      <c r="AV171" s="32" t="n"/>
      <c r="AW171" s="32" t="n"/>
      <c r="AX171" s="32" t="n"/>
      <c r="AY171" s="32" t="n"/>
      <c r="AZ171" s="32" t="n"/>
      <c r="BA171" s="32" t="n"/>
      <c r="BB171" s="32" t="n"/>
      <c r="BC171" s="32" t="n"/>
      <c r="BD171" s="32" t="n"/>
      <c r="BE171" s="32" t="n"/>
      <c r="BF171" s="32" t="n"/>
      <c r="BG171" s="32" t="n"/>
      <c r="BH171" s="32" t="n"/>
      <c r="BI171" s="32" t="n"/>
    </row>
    <row r="172" ht="15.75" customHeight="1" s="252">
      <c r="A172" s="32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  <c r="AA172" s="32" t="n"/>
      <c r="AB172" s="32" t="n"/>
      <c r="AC172" s="32" t="n"/>
      <c r="AD172" s="32" t="n"/>
      <c r="AE172" s="32" t="n"/>
      <c r="AF172" s="32" t="n"/>
      <c r="AG172" s="32" t="n"/>
      <c r="AH172" s="32" t="n"/>
      <c r="AI172" s="32" t="n"/>
      <c r="AJ172" s="32" t="n"/>
      <c r="AK172" s="32" t="n"/>
      <c r="AL172" s="32" t="n"/>
      <c r="AM172" s="32" t="n"/>
      <c r="AN172" s="32" t="n"/>
      <c r="AO172" s="32" t="n"/>
      <c r="AP172" s="32" t="n"/>
      <c r="AQ172" s="32" t="n"/>
      <c r="AR172" s="32" t="n"/>
      <c r="AS172" s="32" t="n"/>
      <c r="AT172" s="32" t="n"/>
      <c r="AU172" s="32" t="n"/>
      <c r="AV172" s="32" t="n"/>
      <c r="AW172" s="32" t="n"/>
      <c r="AX172" s="32" t="n"/>
      <c r="AY172" s="32" t="n"/>
      <c r="AZ172" s="32" t="n"/>
      <c r="BA172" s="32" t="n"/>
      <c r="BB172" s="32" t="n"/>
      <c r="BC172" s="32" t="n"/>
      <c r="BD172" s="32" t="n"/>
      <c r="BE172" s="32" t="n"/>
      <c r="BF172" s="32" t="n"/>
      <c r="BG172" s="32" t="n"/>
      <c r="BH172" s="32" t="n"/>
      <c r="BI172" s="32" t="n"/>
    </row>
    <row r="173" ht="15.75" customHeight="1" s="252">
      <c r="A173" s="32" t="n"/>
      <c r="B173" s="32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  <c r="AA173" s="32" t="n"/>
      <c r="AB173" s="32" t="n"/>
      <c r="AC173" s="32" t="n"/>
      <c r="AD173" s="32" t="n"/>
      <c r="AE173" s="32" t="n"/>
      <c r="AF173" s="32" t="n"/>
      <c r="AG173" s="32" t="n"/>
      <c r="AH173" s="32" t="n"/>
      <c r="AI173" s="32" t="n"/>
      <c r="AJ173" s="32" t="n"/>
      <c r="AK173" s="32" t="n"/>
      <c r="AL173" s="32" t="n"/>
      <c r="AM173" s="32" t="n"/>
      <c r="AN173" s="32" t="n"/>
      <c r="AO173" s="32" t="n"/>
      <c r="AP173" s="32" t="n"/>
      <c r="AQ173" s="32" t="n"/>
      <c r="AR173" s="32" t="n"/>
      <c r="AS173" s="32" t="n"/>
      <c r="AT173" s="32" t="n"/>
      <c r="AU173" s="32" t="n"/>
      <c r="AV173" s="32" t="n"/>
      <c r="AW173" s="32" t="n"/>
      <c r="AX173" s="32" t="n"/>
      <c r="AY173" s="32" t="n"/>
      <c r="AZ173" s="32" t="n"/>
      <c r="BA173" s="32" t="n"/>
      <c r="BB173" s="32" t="n"/>
      <c r="BC173" s="32" t="n"/>
      <c r="BD173" s="32" t="n"/>
      <c r="BE173" s="32" t="n"/>
      <c r="BF173" s="32" t="n"/>
      <c r="BG173" s="32" t="n"/>
      <c r="BH173" s="32" t="n"/>
      <c r="BI173" s="32" t="n"/>
    </row>
    <row r="174" ht="15.75" customHeight="1" s="252">
      <c r="A174" s="32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  <c r="AA174" s="32" t="n"/>
      <c r="AB174" s="32" t="n"/>
      <c r="AC174" s="32" t="n"/>
      <c r="AD174" s="32" t="n"/>
      <c r="AE174" s="32" t="n"/>
      <c r="AF174" s="32" t="n"/>
      <c r="AG174" s="32" t="n"/>
      <c r="AH174" s="32" t="n"/>
      <c r="AI174" s="32" t="n"/>
      <c r="AJ174" s="32" t="n"/>
      <c r="AK174" s="32" t="n"/>
      <c r="AL174" s="32" t="n"/>
      <c r="AM174" s="32" t="n"/>
      <c r="AN174" s="32" t="n"/>
      <c r="AO174" s="32" t="n"/>
      <c r="AP174" s="32" t="n"/>
      <c r="AQ174" s="32" t="n"/>
      <c r="AR174" s="32" t="n"/>
      <c r="AS174" s="32" t="n"/>
      <c r="AT174" s="32" t="n"/>
      <c r="AU174" s="32" t="n"/>
      <c r="AV174" s="32" t="n"/>
      <c r="AW174" s="32" t="n"/>
      <c r="AX174" s="32" t="n"/>
      <c r="AY174" s="32" t="n"/>
      <c r="AZ174" s="32" t="n"/>
      <c r="BA174" s="32" t="n"/>
      <c r="BB174" s="32" t="n"/>
      <c r="BC174" s="32" t="n"/>
      <c r="BD174" s="32" t="n"/>
      <c r="BE174" s="32" t="n"/>
      <c r="BF174" s="32" t="n"/>
      <c r="BG174" s="32" t="n"/>
      <c r="BH174" s="32" t="n"/>
      <c r="BI174" s="32" t="n"/>
    </row>
    <row r="175" ht="15.75" customHeight="1" s="252">
      <c r="A175" s="32" t="n"/>
      <c r="B175" s="32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  <c r="AA175" s="32" t="n"/>
      <c r="AB175" s="32" t="n"/>
      <c r="AC175" s="32" t="n"/>
      <c r="AD175" s="32" t="n"/>
      <c r="AE175" s="32" t="n"/>
      <c r="AF175" s="32" t="n"/>
      <c r="AG175" s="32" t="n"/>
      <c r="AH175" s="32" t="n"/>
      <c r="AI175" s="32" t="n"/>
      <c r="AJ175" s="32" t="n"/>
      <c r="AK175" s="32" t="n"/>
      <c r="AL175" s="32" t="n"/>
      <c r="AM175" s="32" t="n"/>
      <c r="AN175" s="32" t="n"/>
      <c r="AO175" s="32" t="n"/>
      <c r="AP175" s="32" t="n"/>
      <c r="AQ175" s="32" t="n"/>
      <c r="AR175" s="32" t="n"/>
      <c r="AS175" s="32" t="n"/>
      <c r="AT175" s="32" t="n"/>
      <c r="AU175" s="32" t="n"/>
      <c r="AV175" s="32" t="n"/>
      <c r="AW175" s="32" t="n"/>
      <c r="AX175" s="32" t="n"/>
      <c r="AY175" s="32" t="n"/>
      <c r="AZ175" s="32" t="n"/>
      <c r="BA175" s="32" t="n"/>
      <c r="BB175" s="32" t="n"/>
      <c r="BC175" s="32" t="n"/>
      <c r="BD175" s="32" t="n"/>
      <c r="BE175" s="32" t="n"/>
      <c r="BF175" s="32" t="n"/>
      <c r="BG175" s="32" t="n"/>
      <c r="BH175" s="32" t="n"/>
      <c r="BI175" s="32" t="n"/>
    </row>
    <row r="176" ht="15.75" customHeight="1" s="252">
      <c r="A176" s="32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  <c r="AA176" s="32" t="n"/>
      <c r="AB176" s="32" t="n"/>
      <c r="AC176" s="32" t="n"/>
      <c r="AD176" s="32" t="n"/>
      <c r="AE176" s="32" t="n"/>
      <c r="AF176" s="32" t="n"/>
      <c r="AG176" s="32" t="n"/>
      <c r="AH176" s="32" t="n"/>
      <c r="AI176" s="32" t="n"/>
      <c r="AJ176" s="32" t="n"/>
      <c r="AK176" s="32" t="n"/>
      <c r="AL176" s="32" t="n"/>
      <c r="AM176" s="32" t="n"/>
      <c r="AN176" s="32" t="n"/>
      <c r="AO176" s="32" t="n"/>
      <c r="AP176" s="32" t="n"/>
      <c r="AQ176" s="32" t="n"/>
      <c r="AR176" s="32" t="n"/>
      <c r="AS176" s="32" t="n"/>
      <c r="AT176" s="32" t="n"/>
      <c r="AU176" s="32" t="n"/>
      <c r="AV176" s="32" t="n"/>
      <c r="AW176" s="32" t="n"/>
      <c r="AX176" s="32" t="n"/>
      <c r="AY176" s="32" t="n"/>
      <c r="AZ176" s="32" t="n"/>
      <c r="BA176" s="32" t="n"/>
      <c r="BB176" s="32" t="n"/>
      <c r="BC176" s="32" t="n"/>
      <c r="BD176" s="32" t="n"/>
      <c r="BE176" s="32" t="n"/>
      <c r="BF176" s="32" t="n"/>
      <c r="BG176" s="32" t="n"/>
      <c r="BH176" s="32" t="n"/>
      <c r="BI176" s="32" t="n"/>
    </row>
    <row r="177" ht="15.75" customHeight="1" s="252">
      <c r="A177" s="32" t="n"/>
      <c r="B177" s="32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  <c r="AA177" s="32" t="n"/>
      <c r="AB177" s="32" t="n"/>
      <c r="AC177" s="32" t="n"/>
      <c r="AD177" s="32" t="n"/>
      <c r="AE177" s="32" t="n"/>
      <c r="AF177" s="32" t="n"/>
      <c r="AG177" s="32" t="n"/>
      <c r="AH177" s="32" t="n"/>
      <c r="AI177" s="32" t="n"/>
      <c r="AJ177" s="32" t="n"/>
      <c r="AK177" s="32" t="n"/>
      <c r="AL177" s="32" t="n"/>
      <c r="AM177" s="32" t="n"/>
      <c r="AN177" s="32" t="n"/>
      <c r="AO177" s="32" t="n"/>
      <c r="AP177" s="32" t="n"/>
      <c r="AQ177" s="32" t="n"/>
      <c r="AR177" s="32" t="n"/>
      <c r="AS177" s="32" t="n"/>
      <c r="AT177" s="32" t="n"/>
      <c r="AU177" s="32" t="n"/>
      <c r="AV177" s="32" t="n"/>
      <c r="AW177" s="32" t="n"/>
      <c r="AX177" s="32" t="n"/>
      <c r="AY177" s="32" t="n"/>
      <c r="AZ177" s="32" t="n"/>
      <c r="BA177" s="32" t="n"/>
      <c r="BB177" s="32" t="n"/>
      <c r="BC177" s="32" t="n"/>
      <c r="BD177" s="32" t="n"/>
      <c r="BE177" s="32" t="n"/>
      <c r="BF177" s="32" t="n"/>
      <c r="BG177" s="32" t="n"/>
      <c r="BH177" s="32" t="n"/>
      <c r="BI177" s="32" t="n"/>
    </row>
    <row r="178" ht="15.75" customHeight="1" s="252">
      <c r="A178" s="32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  <c r="Z178" s="32" t="n"/>
      <c r="AA178" s="32" t="n"/>
      <c r="AB178" s="32" t="n"/>
      <c r="AC178" s="32" t="n"/>
      <c r="AD178" s="32" t="n"/>
      <c r="AE178" s="32" t="n"/>
      <c r="AF178" s="32" t="n"/>
      <c r="AG178" s="32" t="n"/>
      <c r="AH178" s="32" t="n"/>
      <c r="AI178" s="32" t="n"/>
      <c r="AJ178" s="32" t="n"/>
      <c r="AK178" s="32" t="n"/>
      <c r="AL178" s="32" t="n"/>
      <c r="AM178" s="32" t="n"/>
      <c r="AN178" s="32" t="n"/>
      <c r="AO178" s="32" t="n"/>
      <c r="AP178" s="32" t="n"/>
      <c r="AQ178" s="32" t="n"/>
      <c r="AR178" s="32" t="n"/>
      <c r="AS178" s="32" t="n"/>
      <c r="AT178" s="32" t="n"/>
      <c r="AU178" s="32" t="n"/>
      <c r="AV178" s="32" t="n"/>
      <c r="AW178" s="32" t="n"/>
      <c r="AX178" s="32" t="n"/>
      <c r="AY178" s="32" t="n"/>
      <c r="AZ178" s="32" t="n"/>
      <c r="BA178" s="32" t="n"/>
      <c r="BB178" s="32" t="n"/>
      <c r="BC178" s="32" t="n"/>
      <c r="BD178" s="32" t="n"/>
      <c r="BE178" s="32" t="n"/>
      <c r="BF178" s="32" t="n"/>
      <c r="BG178" s="32" t="n"/>
      <c r="BH178" s="32" t="n"/>
      <c r="BI178" s="32" t="n"/>
    </row>
    <row r="179" ht="15.75" customHeight="1" s="252">
      <c r="A179" s="32" t="n"/>
      <c r="B179" s="32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  <c r="Z179" s="32" t="n"/>
      <c r="AA179" s="32" t="n"/>
      <c r="AB179" s="32" t="n"/>
      <c r="AC179" s="32" t="n"/>
      <c r="AD179" s="32" t="n"/>
      <c r="AE179" s="32" t="n"/>
      <c r="AF179" s="32" t="n"/>
      <c r="AG179" s="32" t="n"/>
      <c r="AH179" s="32" t="n"/>
      <c r="AI179" s="32" t="n"/>
      <c r="AJ179" s="32" t="n"/>
      <c r="AK179" s="32" t="n"/>
      <c r="AL179" s="32" t="n"/>
      <c r="AM179" s="32" t="n"/>
      <c r="AN179" s="32" t="n"/>
      <c r="AO179" s="32" t="n"/>
      <c r="AP179" s="32" t="n"/>
      <c r="AQ179" s="32" t="n"/>
      <c r="AR179" s="32" t="n"/>
      <c r="AS179" s="32" t="n"/>
      <c r="AT179" s="32" t="n"/>
      <c r="AU179" s="32" t="n"/>
      <c r="AV179" s="32" t="n"/>
      <c r="AW179" s="32" t="n"/>
      <c r="AX179" s="32" t="n"/>
      <c r="AY179" s="32" t="n"/>
      <c r="AZ179" s="32" t="n"/>
      <c r="BA179" s="32" t="n"/>
      <c r="BB179" s="32" t="n"/>
      <c r="BC179" s="32" t="n"/>
      <c r="BD179" s="32" t="n"/>
      <c r="BE179" s="32" t="n"/>
      <c r="BF179" s="32" t="n"/>
      <c r="BG179" s="32" t="n"/>
      <c r="BH179" s="32" t="n"/>
      <c r="BI179" s="32" t="n"/>
    </row>
    <row r="180" ht="15.75" customHeight="1" s="252">
      <c r="A180" s="32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  <c r="Z180" s="32" t="n"/>
      <c r="AA180" s="32" t="n"/>
      <c r="AB180" s="32" t="n"/>
      <c r="AC180" s="32" t="n"/>
      <c r="AD180" s="32" t="n"/>
      <c r="AE180" s="32" t="n"/>
      <c r="AF180" s="32" t="n"/>
      <c r="AG180" s="32" t="n"/>
      <c r="AH180" s="32" t="n"/>
      <c r="AI180" s="32" t="n"/>
      <c r="AJ180" s="32" t="n"/>
      <c r="AK180" s="32" t="n"/>
      <c r="AL180" s="32" t="n"/>
      <c r="AM180" s="32" t="n"/>
      <c r="AN180" s="32" t="n"/>
      <c r="AO180" s="32" t="n"/>
      <c r="AP180" s="32" t="n"/>
      <c r="AQ180" s="32" t="n"/>
      <c r="AR180" s="32" t="n"/>
      <c r="AS180" s="32" t="n"/>
      <c r="AT180" s="32" t="n"/>
      <c r="AU180" s="32" t="n"/>
      <c r="AV180" s="32" t="n"/>
      <c r="AW180" s="32" t="n"/>
      <c r="AX180" s="32" t="n"/>
      <c r="AY180" s="32" t="n"/>
      <c r="AZ180" s="32" t="n"/>
      <c r="BA180" s="32" t="n"/>
      <c r="BB180" s="32" t="n"/>
      <c r="BC180" s="32" t="n"/>
      <c r="BD180" s="32" t="n"/>
      <c r="BE180" s="32" t="n"/>
      <c r="BF180" s="32" t="n"/>
      <c r="BG180" s="32" t="n"/>
      <c r="BH180" s="32" t="n"/>
      <c r="BI180" s="32" t="n"/>
    </row>
    <row r="181" ht="15.75" customHeight="1" s="252">
      <c r="A181" s="32" t="n"/>
      <c r="B181" s="32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  <c r="Z181" s="32" t="n"/>
      <c r="AA181" s="32" t="n"/>
      <c r="AB181" s="32" t="n"/>
      <c r="AC181" s="32" t="n"/>
      <c r="AD181" s="32" t="n"/>
      <c r="AE181" s="32" t="n"/>
      <c r="AF181" s="32" t="n"/>
      <c r="AG181" s="32" t="n"/>
      <c r="AH181" s="32" t="n"/>
      <c r="AI181" s="32" t="n"/>
      <c r="AJ181" s="32" t="n"/>
      <c r="AK181" s="32" t="n"/>
      <c r="AL181" s="32" t="n"/>
      <c r="AM181" s="32" t="n"/>
      <c r="AN181" s="32" t="n"/>
      <c r="AO181" s="32" t="n"/>
      <c r="AP181" s="32" t="n"/>
      <c r="AQ181" s="32" t="n"/>
      <c r="AR181" s="32" t="n"/>
      <c r="AS181" s="32" t="n"/>
      <c r="AT181" s="32" t="n"/>
      <c r="AU181" s="32" t="n"/>
      <c r="AV181" s="32" t="n"/>
      <c r="AW181" s="32" t="n"/>
      <c r="AX181" s="32" t="n"/>
      <c r="AY181" s="32" t="n"/>
      <c r="AZ181" s="32" t="n"/>
      <c r="BA181" s="32" t="n"/>
      <c r="BB181" s="32" t="n"/>
      <c r="BC181" s="32" t="n"/>
      <c r="BD181" s="32" t="n"/>
      <c r="BE181" s="32" t="n"/>
      <c r="BF181" s="32" t="n"/>
      <c r="BG181" s="32" t="n"/>
      <c r="BH181" s="32" t="n"/>
      <c r="BI181" s="32" t="n"/>
    </row>
    <row r="182" ht="15.75" customHeight="1" s="252">
      <c r="A182" s="32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n"/>
      <c r="AA182" s="32" t="n"/>
      <c r="AB182" s="32" t="n"/>
      <c r="AC182" s="32" t="n"/>
      <c r="AD182" s="32" t="n"/>
      <c r="AE182" s="32" t="n"/>
      <c r="AF182" s="32" t="n"/>
      <c r="AG182" s="32" t="n"/>
      <c r="AH182" s="32" t="n"/>
      <c r="AI182" s="32" t="n"/>
      <c r="AJ182" s="32" t="n"/>
      <c r="AK182" s="32" t="n"/>
      <c r="AL182" s="32" t="n"/>
      <c r="AM182" s="32" t="n"/>
      <c r="AN182" s="32" t="n"/>
      <c r="AO182" s="32" t="n"/>
      <c r="AP182" s="32" t="n"/>
      <c r="AQ182" s="32" t="n"/>
      <c r="AR182" s="32" t="n"/>
      <c r="AS182" s="32" t="n"/>
      <c r="AT182" s="32" t="n"/>
      <c r="AU182" s="32" t="n"/>
      <c r="AV182" s="32" t="n"/>
      <c r="AW182" s="32" t="n"/>
      <c r="AX182" s="32" t="n"/>
      <c r="AY182" s="32" t="n"/>
      <c r="AZ182" s="32" t="n"/>
      <c r="BA182" s="32" t="n"/>
      <c r="BB182" s="32" t="n"/>
      <c r="BC182" s="32" t="n"/>
      <c r="BD182" s="32" t="n"/>
      <c r="BE182" s="32" t="n"/>
      <c r="BF182" s="32" t="n"/>
      <c r="BG182" s="32" t="n"/>
      <c r="BH182" s="32" t="n"/>
      <c r="BI182" s="32" t="n"/>
    </row>
    <row r="183" ht="15.75" customHeight="1" s="252">
      <c r="A183" s="32" t="n"/>
      <c r="B183" s="32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n"/>
      <c r="AA183" s="32" t="n"/>
      <c r="AB183" s="32" t="n"/>
      <c r="AC183" s="32" t="n"/>
      <c r="AD183" s="32" t="n"/>
      <c r="AE183" s="32" t="n"/>
      <c r="AF183" s="32" t="n"/>
      <c r="AG183" s="32" t="n"/>
      <c r="AH183" s="32" t="n"/>
      <c r="AI183" s="32" t="n"/>
      <c r="AJ183" s="32" t="n"/>
      <c r="AK183" s="32" t="n"/>
      <c r="AL183" s="32" t="n"/>
      <c r="AM183" s="32" t="n"/>
      <c r="AN183" s="32" t="n"/>
      <c r="AO183" s="32" t="n"/>
      <c r="AP183" s="32" t="n"/>
      <c r="AQ183" s="32" t="n"/>
      <c r="AR183" s="32" t="n"/>
      <c r="AS183" s="32" t="n"/>
      <c r="AT183" s="32" t="n"/>
      <c r="AU183" s="32" t="n"/>
      <c r="AV183" s="32" t="n"/>
      <c r="AW183" s="32" t="n"/>
      <c r="AX183" s="32" t="n"/>
      <c r="AY183" s="32" t="n"/>
      <c r="AZ183" s="32" t="n"/>
      <c r="BA183" s="32" t="n"/>
      <c r="BB183" s="32" t="n"/>
      <c r="BC183" s="32" t="n"/>
      <c r="BD183" s="32" t="n"/>
      <c r="BE183" s="32" t="n"/>
      <c r="BF183" s="32" t="n"/>
      <c r="BG183" s="32" t="n"/>
      <c r="BH183" s="32" t="n"/>
      <c r="BI183" s="32" t="n"/>
    </row>
    <row r="184" ht="15.75" customHeight="1" s="252">
      <c r="A184" s="32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  <c r="Z184" s="32" t="n"/>
      <c r="AA184" s="32" t="n"/>
      <c r="AB184" s="32" t="n"/>
      <c r="AC184" s="32" t="n"/>
      <c r="AD184" s="32" t="n"/>
      <c r="AE184" s="32" t="n"/>
      <c r="AF184" s="32" t="n"/>
      <c r="AG184" s="32" t="n"/>
      <c r="AH184" s="32" t="n"/>
      <c r="AI184" s="32" t="n"/>
      <c r="AJ184" s="32" t="n"/>
      <c r="AK184" s="32" t="n"/>
      <c r="AL184" s="32" t="n"/>
      <c r="AM184" s="32" t="n"/>
      <c r="AN184" s="32" t="n"/>
      <c r="AO184" s="32" t="n"/>
      <c r="AP184" s="32" t="n"/>
      <c r="AQ184" s="32" t="n"/>
      <c r="AR184" s="32" t="n"/>
      <c r="AS184" s="32" t="n"/>
      <c r="AT184" s="32" t="n"/>
      <c r="AU184" s="32" t="n"/>
      <c r="AV184" s="32" t="n"/>
      <c r="AW184" s="32" t="n"/>
      <c r="AX184" s="32" t="n"/>
      <c r="AY184" s="32" t="n"/>
      <c r="AZ184" s="32" t="n"/>
      <c r="BA184" s="32" t="n"/>
      <c r="BB184" s="32" t="n"/>
      <c r="BC184" s="32" t="n"/>
      <c r="BD184" s="32" t="n"/>
      <c r="BE184" s="32" t="n"/>
      <c r="BF184" s="32" t="n"/>
      <c r="BG184" s="32" t="n"/>
      <c r="BH184" s="32" t="n"/>
      <c r="BI184" s="32" t="n"/>
    </row>
    <row r="185" ht="15.75" customHeight="1" s="252">
      <c r="A185" s="32" t="n"/>
      <c r="B185" s="32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  <c r="Z185" s="32" t="n"/>
      <c r="AA185" s="32" t="n"/>
      <c r="AB185" s="32" t="n"/>
      <c r="AC185" s="32" t="n"/>
      <c r="AD185" s="32" t="n"/>
      <c r="AE185" s="32" t="n"/>
      <c r="AF185" s="32" t="n"/>
      <c r="AG185" s="32" t="n"/>
      <c r="AH185" s="32" t="n"/>
      <c r="AI185" s="32" t="n"/>
      <c r="AJ185" s="32" t="n"/>
      <c r="AK185" s="32" t="n"/>
      <c r="AL185" s="32" t="n"/>
      <c r="AM185" s="32" t="n"/>
      <c r="AN185" s="32" t="n"/>
      <c r="AO185" s="32" t="n"/>
      <c r="AP185" s="32" t="n"/>
      <c r="AQ185" s="32" t="n"/>
      <c r="AR185" s="32" t="n"/>
      <c r="AS185" s="32" t="n"/>
      <c r="AT185" s="32" t="n"/>
      <c r="AU185" s="32" t="n"/>
      <c r="AV185" s="32" t="n"/>
      <c r="AW185" s="32" t="n"/>
      <c r="AX185" s="32" t="n"/>
      <c r="AY185" s="32" t="n"/>
      <c r="AZ185" s="32" t="n"/>
      <c r="BA185" s="32" t="n"/>
      <c r="BB185" s="32" t="n"/>
      <c r="BC185" s="32" t="n"/>
      <c r="BD185" s="32" t="n"/>
      <c r="BE185" s="32" t="n"/>
      <c r="BF185" s="32" t="n"/>
      <c r="BG185" s="32" t="n"/>
      <c r="BH185" s="32" t="n"/>
      <c r="BI185" s="32" t="n"/>
    </row>
    <row r="186" ht="15.75" customHeight="1" s="252">
      <c r="A186" s="32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  <c r="Z186" s="32" t="n"/>
      <c r="AA186" s="32" t="n"/>
      <c r="AB186" s="32" t="n"/>
      <c r="AC186" s="32" t="n"/>
      <c r="AD186" s="32" t="n"/>
      <c r="AE186" s="32" t="n"/>
      <c r="AF186" s="32" t="n"/>
      <c r="AG186" s="32" t="n"/>
      <c r="AH186" s="32" t="n"/>
      <c r="AI186" s="32" t="n"/>
      <c r="AJ186" s="32" t="n"/>
      <c r="AK186" s="32" t="n"/>
      <c r="AL186" s="32" t="n"/>
      <c r="AM186" s="32" t="n"/>
      <c r="AN186" s="32" t="n"/>
      <c r="AO186" s="32" t="n"/>
      <c r="AP186" s="32" t="n"/>
      <c r="AQ186" s="32" t="n"/>
      <c r="AR186" s="32" t="n"/>
      <c r="AS186" s="32" t="n"/>
      <c r="AT186" s="32" t="n"/>
      <c r="AU186" s="32" t="n"/>
      <c r="AV186" s="32" t="n"/>
      <c r="AW186" s="32" t="n"/>
      <c r="AX186" s="32" t="n"/>
      <c r="AY186" s="32" t="n"/>
      <c r="AZ186" s="32" t="n"/>
      <c r="BA186" s="32" t="n"/>
      <c r="BB186" s="32" t="n"/>
      <c r="BC186" s="32" t="n"/>
      <c r="BD186" s="32" t="n"/>
      <c r="BE186" s="32" t="n"/>
      <c r="BF186" s="32" t="n"/>
      <c r="BG186" s="32" t="n"/>
      <c r="BH186" s="32" t="n"/>
      <c r="BI186" s="32" t="n"/>
    </row>
    <row r="187" ht="15.75" customHeight="1" s="252">
      <c r="A187" s="32" t="n"/>
      <c r="B187" s="32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  <c r="Z187" s="32" t="n"/>
      <c r="AA187" s="32" t="n"/>
      <c r="AB187" s="32" t="n"/>
      <c r="AC187" s="32" t="n"/>
      <c r="AD187" s="32" t="n"/>
      <c r="AE187" s="32" t="n"/>
      <c r="AF187" s="32" t="n"/>
      <c r="AG187" s="32" t="n"/>
      <c r="AH187" s="32" t="n"/>
      <c r="AI187" s="32" t="n"/>
      <c r="AJ187" s="32" t="n"/>
      <c r="AK187" s="32" t="n"/>
      <c r="AL187" s="32" t="n"/>
      <c r="AM187" s="32" t="n"/>
      <c r="AN187" s="32" t="n"/>
      <c r="AO187" s="32" t="n"/>
      <c r="AP187" s="32" t="n"/>
      <c r="AQ187" s="32" t="n"/>
      <c r="AR187" s="32" t="n"/>
      <c r="AS187" s="32" t="n"/>
      <c r="AT187" s="32" t="n"/>
      <c r="AU187" s="32" t="n"/>
      <c r="AV187" s="32" t="n"/>
      <c r="AW187" s="32" t="n"/>
      <c r="AX187" s="32" t="n"/>
      <c r="AY187" s="32" t="n"/>
      <c r="AZ187" s="32" t="n"/>
      <c r="BA187" s="32" t="n"/>
      <c r="BB187" s="32" t="n"/>
      <c r="BC187" s="32" t="n"/>
      <c r="BD187" s="32" t="n"/>
      <c r="BE187" s="32" t="n"/>
      <c r="BF187" s="32" t="n"/>
      <c r="BG187" s="32" t="n"/>
      <c r="BH187" s="32" t="n"/>
      <c r="BI187" s="32" t="n"/>
    </row>
    <row r="188" ht="15.75" customHeight="1" s="252">
      <c r="A188" s="32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  <c r="Z188" s="32" t="n"/>
      <c r="AA188" s="32" t="n"/>
      <c r="AB188" s="32" t="n"/>
      <c r="AC188" s="32" t="n"/>
      <c r="AD188" s="32" t="n"/>
      <c r="AE188" s="32" t="n"/>
      <c r="AF188" s="32" t="n"/>
      <c r="AG188" s="32" t="n"/>
      <c r="AH188" s="32" t="n"/>
      <c r="AI188" s="32" t="n"/>
      <c r="AJ188" s="32" t="n"/>
      <c r="AK188" s="32" t="n"/>
      <c r="AL188" s="32" t="n"/>
      <c r="AM188" s="32" t="n"/>
      <c r="AN188" s="32" t="n"/>
      <c r="AO188" s="32" t="n"/>
      <c r="AP188" s="32" t="n"/>
      <c r="AQ188" s="32" t="n"/>
      <c r="AR188" s="32" t="n"/>
      <c r="AS188" s="32" t="n"/>
      <c r="AT188" s="32" t="n"/>
      <c r="AU188" s="32" t="n"/>
      <c r="AV188" s="32" t="n"/>
      <c r="AW188" s="32" t="n"/>
      <c r="AX188" s="32" t="n"/>
      <c r="AY188" s="32" t="n"/>
      <c r="AZ188" s="32" t="n"/>
      <c r="BA188" s="32" t="n"/>
      <c r="BB188" s="32" t="n"/>
      <c r="BC188" s="32" t="n"/>
      <c r="BD188" s="32" t="n"/>
      <c r="BE188" s="32" t="n"/>
      <c r="BF188" s="32" t="n"/>
      <c r="BG188" s="32" t="n"/>
      <c r="BH188" s="32" t="n"/>
      <c r="BI188" s="32" t="n"/>
    </row>
    <row r="189" ht="15.75" customHeight="1" s="252">
      <c r="A189" s="32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  <c r="Z189" s="32" t="n"/>
      <c r="AA189" s="32" t="n"/>
      <c r="AB189" s="32" t="n"/>
      <c r="AC189" s="32" t="n"/>
      <c r="AD189" s="32" t="n"/>
      <c r="AE189" s="32" t="n"/>
      <c r="AF189" s="32" t="n"/>
      <c r="AG189" s="32" t="n"/>
      <c r="AH189" s="32" t="n"/>
      <c r="AI189" s="32" t="n"/>
      <c r="AJ189" s="32" t="n"/>
      <c r="AK189" s="32" t="n"/>
      <c r="AL189" s="32" t="n"/>
      <c r="AM189" s="32" t="n"/>
      <c r="AN189" s="32" t="n"/>
      <c r="AO189" s="32" t="n"/>
      <c r="AP189" s="32" t="n"/>
      <c r="AQ189" s="32" t="n"/>
      <c r="AR189" s="32" t="n"/>
      <c r="AS189" s="32" t="n"/>
      <c r="AT189" s="32" t="n"/>
      <c r="AU189" s="32" t="n"/>
      <c r="AV189" s="32" t="n"/>
      <c r="AW189" s="32" t="n"/>
      <c r="AX189" s="32" t="n"/>
      <c r="AY189" s="32" t="n"/>
      <c r="AZ189" s="32" t="n"/>
      <c r="BA189" s="32" t="n"/>
      <c r="BB189" s="32" t="n"/>
      <c r="BC189" s="32" t="n"/>
      <c r="BD189" s="32" t="n"/>
      <c r="BE189" s="32" t="n"/>
      <c r="BF189" s="32" t="n"/>
      <c r="BG189" s="32" t="n"/>
      <c r="BH189" s="32" t="n"/>
      <c r="BI189" s="32" t="n"/>
    </row>
    <row r="190" ht="15.75" customHeight="1" s="252">
      <c r="A190" s="32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  <c r="Z190" s="32" t="n"/>
      <c r="AA190" s="32" t="n"/>
      <c r="AB190" s="32" t="n"/>
      <c r="AC190" s="32" t="n"/>
      <c r="AD190" s="32" t="n"/>
      <c r="AE190" s="32" t="n"/>
      <c r="AF190" s="32" t="n"/>
      <c r="AG190" s="32" t="n"/>
      <c r="AH190" s="32" t="n"/>
      <c r="AI190" s="32" t="n"/>
      <c r="AJ190" s="32" t="n"/>
      <c r="AK190" s="32" t="n"/>
      <c r="AL190" s="32" t="n"/>
      <c r="AM190" s="32" t="n"/>
      <c r="AN190" s="32" t="n"/>
      <c r="AO190" s="32" t="n"/>
      <c r="AP190" s="32" t="n"/>
      <c r="AQ190" s="32" t="n"/>
      <c r="AR190" s="32" t="n"/>
      <c r="AS190" s="32" t="n"/>
      <c r="AT190" s="32" t="n"/>
      <c r="AU190" s="32" t="n"/>
      <c r="AV190" s="32" t="n"/>
      <c r="AW190" s="32" t="n"/>
      <c r="AX190" s="32" t="n"/>
      <c r="AY190" s="32" t="n"/>
      <c r="AZ190" s="32" t="n"/>
      <c r="BA190" s="32" t="n"/>
      <c r="BB190" s="32" t="n"/>
      <c r="BC190" s="32" t="n"/>
      <c r="BD190" s="32" t="n"/>
      <c r="BE190" s="32" t="n"/>
      <c r="BF190" s="32" t="n"/>
      <c r="BG190" s="32" t="n"/>
      <c r="BH190" s="32" t="n"/>
      <c r="BI190" s="32" t="n"/>
    </row>
    <row r="191" ht="15.75" customHeight="1" s="252">
      <c r="A191" s="32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  <c r="AA191" s="32" t="n"/>
      <c r="AB191" s="32" t="n"/>
      <c r="AC191" s="32" t="n"/>
      <c r="AD191" s="32" t="n"/>
      <c r="AE191" s="32" t="n"/>
      <c r="AF191" s="32" t="n"/>
      <c r="AG191" s="32" t="n"/>
      <c r="AH191" s="32" t="n"/>
      <c r="AI191" s="32" t="n"/>
      <c r="AJ191" s="32" t="n"/>
      <c r="AK191" s="32" t="n"/>
      <c r="AL191" s="32" t="n"/>
      <c r="AM191" s="32" t="n"/>
      <c r="AN191" s="32" t="n"/>
      <c r="AO191" s="32" t="n"/>
      <c r="AP191" s="32" t="n"/>
      <c r="AQ191" s="32" t="n"/>
      <c r="AR191" s="32" t="n"/>
      <c r="AS191" s="32" t="n"/>
      <c r="AT191" s="32" t="n"/>
      <c r="AU191" s="32" t="n"/>
      <c r="AV191" s="32" t="n"/>
      <c r="AW191" s="32" t="n"/>
      <c r="AX191" s="32" t="n"/>
      <c r="AY191" s="32" t="n"/>
      <c r="AZ191" s="32" t="n"/>
      <c r="BA191" s="32" t="n"/>
      <c r="BB191" s="32" t="n"/>
      <c r="BC191" s="32" t="n"/>
      <c r="BD191" s="32" t="n"/>
      <c r="BE191" s="32" t="n"/>
      <c r="BF191" s="32" t="n"/>
      <c r="BG191" s="32" t="n"/>
      <c r="BH191" s="32" t="n"/>
      <c r="BI191" s="32" t="n"/>
    </row>
    <row r="192" ht="15.75" customHeight="1" s="252">
      <c r="A192" s="32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  <c r="Z192" s="32" t="n"/>
      <c r="AA192" s="32" t="n"/>
      <c r="AB192" s="32" t="n"/>
      <c r="AC192" s="32" t="n"/>
      <c r="AD192" s="32" t="n"/>
      <c r="AE192" s="32" t="n"/>
      <c r="AF192" s="32" t="n"/>
      <c r="AG192" s="32" t="n"/>
      <c r="AH192" s="32" t="n"/>
      <c r="AI192" s="32" t="n"/>
      <c r="AJ192" s="32" t="n"/>
      <c r="AK192" s="32" t="n"/>
      <c r="AL192" s="32" t="n"/>
      <c r="AM192" s="32" t="n"/>
      <c r="AN192" s="32" t="n"/>
      <c r="AO192" s="32" t="n"/>
      <c r="AP192" s="32" t="n"/>
      <c r="AQ192" s="32" t="n"/>
      <c r="AR192" s="32" t="n"/>
      <c r="AS192" s="32" t="n"/>
      <c r="AT192" s="32" t="n"/>
      <c r="AU192" s="32" t="n"/>
      <c r="AV192" s="32" t="n"/>
      <c r="AW192" s="32" t="n"/>
      <c r="AX192" s="32" t="n"/>
      <c r="AY192" s="32" t="n"/>
      <c r="AZ192" s="32" t="n"/>
      <c r="BA192" s="32" t="n"/>
      <c r="BB192" s="32" t="n"/>
      <c r="BC192" s="32" t="n"/>
      <c r="BD192" s="32" t="n"/>
      <c r="BE192" s="32" t="n"/>
      <c r="BF192" s="32" t="n"/>
      <c r="BG192" s="32" t="n"/>
      <c r="BH192" s="32" t="n"/>
      <c r="BI192" s="32" t="n"/>
    </row>
    <row r="193" ht="15.75" customHeight="1" s="252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  <c r="Z193" s="32" t="n"/>
      <c r="AA193" s="32" t="n"/>
      <c r="AB193" s="32" t="n"/>
      <c r="AC193" s="32" t="n"/>
      <c r="AD193" s="32" t="n"/>
      <c r="AE193" s="32" t="n"/>
      <c r="AF193" s="32" t="n"/>
      <c r="AG193" s="32" t="n"/>
      <c r="AH193" s="32" t="n"/>
      <c r="AI193" s="32" t="n"/>
      <c r="AJ193" s="32" t="n"/>
      <c r="AK193" s="32" t="n"/>
      <c r="AL193" s="32" t="n"/>
      <c r="AM193" s="32" t="n"/>
      <c r="AN193" s="32" t="n"/>
      <c r="AO193" s="32" t="n"/>
      <c r="AP193" s="32" t="n"/>
      <c r="AQ193" s="32" t="n"/>
      <c r="AR193" s="32" t="n"/>
      <c r="AS193" s="32" t="n"/>
      <c r="AT193" s="32" t="n"/>
      <c r="AU193" s="32" t="n"/>
      <c r="AV193" s="32" t="n"/>
      <c r="AW193" s="32" t="n"/>
      <c r="AX193" s="32" t="n"/>
      <c r="AY193" s="32" t="n"/>
      <c r="AZ193" s="32" t="n"/>
      <c r="BA193" s="32" t="n"/>
      <c r="BB193" s="32" t="n"/>
      <c r="BC193" s="32" t="n"/>
      <c r="BD193" s="32" t="n"/>
      <c r="BE193" s="32" t="n"/>
      <c r="BF193" s="32" t="n"/>
      <c r="BG193" s="32" t="n"/>
      <c r="BH193" s="32" t="n"/>
      <c r="BI193" s="32" t="n"/>
    </row>
    <row r="194" ht="15.75" customHeight="1" s="252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  <c r="Z194" s="32" t="n"/>
      <c r="AA194" s="32" t="n"/>
      <c r="AB194" s="32" t="n"/>
      <c r="AC194" s="32" t="n"/>
      <c r="AD194" s="32" t="n"/>
      <c r="AE194" s="32" t="n"/>
      <c r="AF194" s="32" t="n"/>
      <c r="AG194" s="32" t="n"/>
      <c r="AH194" s="32" t="n"/>
      <c r="AI194" s="32" t="n"/>
      <c r="AJ194" s="32" t="n"/>
      <c r="AK194" s="32" t="n"/>
      <c r="AL194" s="32" t="n"/>
      <c r="AM194" s="32" t="n"/>
      <c r="AN194" s="32" t="n"/>
      <c r="AO194" s="32" t="n"/>
      <c r="AP194" s="32" t="n"/>
      <c r="AQ194" s="32" t="n"/>
      <c r="AR194" s="32" t="n"/>
      <c r="AS194" s="32" t="n"/>
      <c r="AT194" s="32" t="n"/>
      <c r="AU194" s="32" t="n"/>
      <c r="AV194" s="32" t="n"/>
      <c r="AW194" s="32" t="n"/>
      <c r="AX194" s="32" t="n"/>
      <c r="AY194" s="32" t="n"/>
      <c r="AZ194" s="32" t="n"/>
      <c r="BA194" s="32" t="n"/>
      <c r="BB194" s="32" t="n"/>
      <c r="BC194" s="32" t="n"/>
      <c r="BD194" s="32" t="n"/>
      <c r="BE194" s="32" t="n"/>
      <c r="BF194" s="32" t="n"/>
      <c r="BG194" s="32" t="n"/>
      <c r="BH194" s="32" t="n"/>
      <c r="BI194" s="32" t="n"/>
    </row>
    <row r="195" ht="15.75" customHeight="1" s="252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  <c r="Z195" s="32" t="n"/>
      <c r="AA195" s="32" t="n"/>
      <c r="AB195" s="32" t="n"/>
      <c r="AC195" s="32" t="n"/>
      <c r="AD195" s="32" t="n"/>
      <c r="AE195" s="32" t="n"/>
      <c r="AF195" s="32" t="n"/>
      <c r="AG195" s="32" t="n"/>
      <c r="AH195" s="32" t="n"/>
      <c r="AI195" s="32" t="n"/>
      <c r="AJ195" s="32" t="n"/>
      <c r="AK195" s="32" t="n"/>
      <c r="AL195" s="32" t="n"/>
      <c r="AM195" s="32" t="n"/>
      <c r="AN195" s="32" t="n"/>
      <c r="AO195" s="32" t="n"/>
      <c r="AP195" s="32" t="n"/>
      <c r="AQ195" s="32" t="n"/>
      <c r="AR195" s="32" t="n"/>
      <c r="AS195" s="32" t="n"/>
      <c r="AT195" s="32" t="n"/>
      <c r="AU195" s="32" t="n"/>
      <c r="AV195" s="32" t="n"/>
      <c r="AW195" s="32" t="n"/>
      <c r="AX195" s="32" t="n"/>
      <c r="AY195" s="32" t="n"/>
      <c r="AZ195" s="32" t="n"/>
      <c r="BA195" s="32" t="n"/>
      <c r="BB195" s="32" t="n"/>
      <c r="BC195" s="32" t="n"/>
      <c r="BD195" s="32" t="n"/>
      <c r="BE195" s="32" t="n"/>
      <c r="BF195" s="32" t="n"/>
      <c r="BG195" s="32" t="n"/>
      <c r="BH195" s="32" t="n"/>
      <c r="BI195" s="32" t="n"/>
    </row>
    <row r="196" ht="15.75" customHeight="1" s="252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  <c r="Z196" s="32" t="n"/>
      <c r="AA196" s="32" t="n"/>
      <c r="AB196" s="32" t="n"/>
      <c r="AC196" s="32" t="n"/>
      <c r="AD196" s="32" t="n"/>
      <c r="AE196" s="32" t="n"/>
      <c r="AF196" s="32" t="n"/>
      <c r="AG196" s="32" t="n"/>
      <c r="AH196" s="32" t="n"/>
      <c r="AI196" s="32" t="n"/>
      <c r="AJ196" s="32" t="n"/>
      <c r="AK196" s="32" t="n"/>
      <c r="AL196" s="32" t="n"/>
      <c r="AM196" s="32" t="n"/>
      <c r="AN196" s="32" t="n"/>
      <c r="AO196" s="32" t="n"/>
      <c r="AP196" s="32" t="n"/>
      <c r="AQ196" s="32" t="n"/>
      <c r="AR196" s="32" t="n"/>
      <c r="AS196" s="32" t="n"/>
      <c r="AT196" s="32" t="n"/>
      <c r="AU196" s="32" t="n"/>
      <c r="AV196" s="32" t="n"/>
      <c r="AW196" s="32" t="n"/>
      <c r="AX196" s="32" t="n"/>
      <c r="AY196" s="32" t="n"/>
      <c r="AZ196" s="32" t="n"/>
      <c r="BA196" s="32" t="n"/>
      <c r="BB196" s="32" t="n"/>
      <c r="BC196" s="32" t="n"/>
      <c r="BD196" s="32" t="n"/>
      <c r="BE196" s="32" t="n"/>
      <c r="BF196" s="32" t="n"/>
      <c r="BG196" s="32" t="n"/>
      <c r="BH196" s="32" t="n"/>
      <c r="BI196" s="32" t="n"/>
    </row>
    <row r="197" ht="15.75" customHeight="1" s="252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n"/>
      <c r="AA197" s="32" t="n"/>
      <c r="AB197" s="32" t="n"/>
      <c r="AC197" s="32" t="n"/>
      <c r="AD197" s="32" t="n"/>
      <c r="AE197" s="32" t="n"/>
      <c r="AF197" s="32" t="n"/>
      <c r="AG197" s="32" t="n"/>
      <c r="AH197" s="32" t="n"/>
      <c r="AI197" s="32" t="n"/>
      <c r="AJ197" s="32" t="n"/>
      <c r="AK197" s="32" t="n"/>
      <c r="AL197" s="32" t="n"/>
      <c r="AM197" s="32" t="n"/>
      <c r="AN197" s="32" t="n"/>
      <c r="AO197" s="32" t="n"/>
      <c r="AP197" s="32" t="n"/>
      <c r="AQ197" s="32" t="n"/>
      <c r="AR197" s="32" t="n"/>
      <c r="AS197" s="32" t="n"/>
      <c r="AT197" s="32" t="n"/>
      <c r="AU197" s="32" t="n"/>
      <c r="AV197" s="32" t="n"/>
      <c r="AW197" s="32" t="n"/>
      <c r="AX197" s="32" t="n"/>
      <c r="AY197" s="32" t="n"/>
      <c r="AZ197" s="32" t="n"/>
      <c r="BA197" s="32" t="n"/>
      <c r="BB197" s="32" t="n"/>
      <c r="BC197" s="32" t="n"/>
      <c r="BD197" s="32" t="n"/>
      <c r="BE197" s="32" t="n"/>
      <c r="BF197" s="32" t="n"/>
      <c r="BG197" s="32" t="n"/>
      <c r="BH197" s="32" t="n"/>
      <c r="BI197" s="32" t="n"/>
    </row>
    <row r="198" ht="15.75" customHeight="1" s="252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  <c r="AA198" s="32" t="n"/>
      <c r="AB198" s="32" t="n"/>
      <c r="AC198" s="32" t="n"/>
      <c r="AD198" s="32" t="n"/>
      <c r="AE198" s="32" t="n"/>
      <c r="AF198" s="32" t="n"/>
      <c r="AG198" s="32" t="n"/>
      <c r="AH198" s="32" t="n"/>
      <c r="AI198" s="32" t="n"/>
      <c r="AJ198" s="32" t="n"/>
      <c r="AK198" s="32" t="n"/>
      <c r="AL198" s="32" t="n"/>
      <c r="AM198" s="32" t="n"/>
      <c r="AN198" s="32" t="n"/>
      <c r="AO198" s="32" t="n"/>
      <c r="AP198" s="32" t="n"/>
      <c r="AQ198" s="32" t="n"/>
      <c r="AR198" s="32" t="n"/>
      <c r="AS198" s="32" t="n"/>
      <c r="AT198" s="32" t="n"/>
      <c r="AU198" s="32" t="n"/>
      <c r="AV198" s="32" t="n"/>
      <c r="AW198" s="32" t="n"/>
      <c r="AX198" s="32" t="n"/>
      <c r="AY198" s="32" t="n"/>
      <c r="AZ198" s="32" t="n"/>
      <c r="BA198" s="32" t="n"/>
      <c r="BB198" s="32" t="n"/>
      <c r="BC198" s="32" t="n"/>
      <c r="BD198" s="32" t="n"/>
      <c r="BE198" s="32" t="n"/>
      <c r="BF198" s="32" t="n"/>
      <c r="BG198" s="32" t="n"/>
      <c r="BH198" s="32" t="n"/>
      <c r="BI198" s="32" t="n"/>
    </row>
    <row r="199" ht="15.75" customHeight="1" s="252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  <c r="Z199" s="32" t="n"/>
      <c r="AA199" s="32" t="n"/>
      <c r="AB199" s="32" t="n"/>
      <c r="AC199" s="32" t="n"/>
      <c r="AD199" s="32" t="n"/>
      <c r="AE199" s="32" t="n"/>
      <c r="AF199" s="32" t="n"/>
      <c r="AG199" s="32" t="n"/>
      <c r="AH199" s="32" t="n"/>
      <c r="AI199" s="32" t="n"/>
      <c r="AJ199" s="32" t="n"/>
      <c r="AK199" s="32" t="n"/>
      <c r="AL199" s="32" t="n"/>
      <c r="AM199" s="32" t="n"/>
      <c r="AN199" s="32" t="n"/>
      <c r="AO199" s="32" t="n"/>
      <c r="AP199" s="32" t="n"/>
      <c r="AQ199" s="32" t="n"/>
      <c r="AR199" s="32" t="n"/>
      <c r="AS199" s="32" t="n"/>
      <c r="AT199" s="32" t="n"/>
      <c r="AU199" s="32" t="n"/>
      <c r="AV199" s="32" t="n"/>
      <c r="AW199" s="32" t="n"/>
      <c r="AX199" s="32" t="n"/>
      <c r="AY199" s="32" t="n"/>
      <c r="AZ199" s="32" t="n"/>
      <c r="BA199" s="32" t="n"/>
      <c r="BB199" s="32" t="n"/>
      <c r="BC199" s="32" t="n"/>
      <c r="BD199" s="32" t="n"/>
      <c r="BE199" s="32" t="n"/>
      <c r="BF199" s="32" t="n"/>
      <c r="BG199" s="32" t="n"/>
      <c r="BH199" s="32" t="n"/>
      <c r="BI199" s="32" t="n"/>
    </row>
    <row r="200" ht="15.75" customHeight="1" s="252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  <c r="Z200" s="32" t="n"/>
      <c r="AA200" s="32" t="n"/>
      <c r="AB200" s="32" t="n"/>
      <c r="AC200" s="32" t="n"/>
      <c r="AD200" s="32" t="n"/>
      <c r="AE200" s="32" t="n"/>
      <c r="AF200" s="32" t="n"/>
      <c r="AG200" s="32" t="n"/>
      <c r="AH200" s="32" t="n"/>
      <c r="AI200" s="32" t="n"/>
      <c r="AJ200" s="32" t="n"/>
      <c r="AK200" s="32" t="n"/>
      <c r="AL200" s="32" t="n"/>
      <c r="AM200" s="32" t="n"/>
      <c r="AN200" s="32" t="n"/>
      <c r="AO200" s="32" t="n"/>
      <c r="AP200" s="32" t="n"/>
      <c r="AQ200" s="32" t="n"/>
      <c r="AR200" s="32" t="n"/>
      <c r="AS200" s="32" t="n"/>
      <c r="AT200" s="32" t="n"/>
      <c r="AU200" s="32" t="n"/>
      <c r="AV200" s="32" t="n"/>
      <c r="AW200" s="32" t="n"/>
      <c r="AX200" s="32" t="n"/>
      <c r="AY200" s="32" t="n"/>
      <c r="AZ200" s="32" t="n"/>
      <c r="BA200" s="32" t="n"/>
      <c r="BB200" s="32" t="n"/>
      <c r="BC200" s="32" t="n"/>
      <c r="BD200" s="32" t="n"/>
      <c r="BE200" s="32" t="n"/>
      <c r="BF200" s="32" t="n"/>
      <c r="BG200" s="32" t="n"/>
      <c r="BH200" s="32" t="n"/>
      <c r="BI200" s="32" t="n"/>
    </row>
    <row r="201" ht="15.75" customHeight="1" s="252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  <c r="Z201" s="32" t="n"/>
      <c r="AA201" s="32" t="n"/>
      <c r="AB201" s="32" t="n"/>
      <c r="AC201" s="32" t="n"/>
      <c r="AD201" s="32" t="n"/>
      <c r="AE201" s="32" t="n"/>
      <c r="AF201" s="32" t="n"/>
      <c r="AG201" s="32" t="n"/>
      <c r="AH201" s="32" t="n"/>
      <c r="AI201" s="32" t="n"/>
      <c r="AJ201" s="32" t="n"/>
      <c r="AK201" s="32" t="n"/>
      <c r="AL201" s="32" t="n"/>
      <c r="AM201" s="32" t="n"/>
      <c r="AN201" s="32" t="n"/>
      <c r="AO201" s="32" t="n"/>
      <c r="AP201" s="32" t="n"/>
      <c r="AQ201" s="32" t="n"/>
      <c r="AR201" s="32" t="n"/>
      <c r="AS201" s="32" t="n"/>
      <c r="AT201" s="32" t="n"/>
      <c r="AU201" s="32" t="n"/>
      <c r="AV201" s="32" t="n"/>
      <c r="AW201" s="32" t="n"/>
      <c r="AX201" s="32" t="n"/>
      <c r="AY201" s="32" t="n"/>
      <c r="AZ201" s="32" t="n"/>
      <c r="BA201" s="32" t="n"/>
      <c r="BB201" s="32" t="n"/>
      <c r="BC201" s="32" t="n"/>
      <c r="BD201" s="32" t="n"/>
      <c r="BE201" s="32" t="n"/>
      <c r="BF201" s="32" t="n"/>
      <c r="BG201" s="32" t="n"/>
      <c r="BH201" s="32" t="n"/>
      <c r="BI201" s="32" t="n"/>
    </row>
    <row r="202" ht="15.75" customHeight="1" s="252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  <c r="Z202" s="32" t="n"/>
      <c r="AA202" s="32" t="n"/>
      <c r="AB202" s="32" t="n"/>
      <c r="AC202" s="32" t="n"/>
      <c r="AD202" s="32" t="n"/>
      <c r="AE202" s="32" t="n"/>
      <c r="AF202" s="32" t="n"/>
      <c r="AG202" s="32" t="n"/>
      <c r="AH202" s="32" t="n"/>
      <c r="AI202" s="32" t="n"/>
      <c r="AJ202" s="32" t="n"/>
      <c r="AK202" s="32" t="n"/>
      <c r="AL202" s="32" t="n"/>
      <c r="AM202" s="32" t="n"/>
      <c r="AN202" s="32" t="n"/>
      <c r="AO202" s="32" t="n"/>
      <c r="AP202" s="32" t="n"/>
      <c r="AQ202" s="32" t="n"/>
      <c r="AR202" s="32" t="n"/>
      <c r="AS202" s="32" t="n"/>
      <c r="AT202" s="32" t="n"/>
      <c r="AU202" s="32" t="n"/>
      <c r="AV202" s="32" t="n"/>
      <c r="AW202" s="32" t="n"/>
      <c r="AX202" s="32" t="n"/>
      <c r="AY202" s="32" t="n"/>
      <c r="AZ202" s="32" t="n"/>
      <c r="BA202" s="32" t="n"/>
      <c r="BB202" s="32" t="n"/>
      <c r="BC202" s="32" t="n"/>
      <c r="BD202" s="32" t="n"/>
      <c r="BE202" s="32" t="n"/>
      <c r="BF202" s="32" t="n"/>
      <c r="BG202" s="32" t="n"/>
      <c r="BH202" s="32" t="n"/>
      <c r="BI202" s="32" t="n"/>
    </row>
    <row r="203" ht="15.75" customHeight="1" s="252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  <c r="Z203" s="32" t="n"/>
      <c r="AA203" s="32" t="n"/>
      <c r="AB203" s="32" t="n"/>
      <c r="AC203" s="32" t="n"/>
      <c r="AD203" s="32" t="n"/>
      <c r="AE203" s="32" t="n"/>
      <c r="AF203" s="32" t="n"/>
      <c r="AG203" s="32" t="n"/>
      <c r="AH203" s="32" t="n"/>
      <c r="AI203" s="32" t="n"/>
      <c r="AJ203" s="32" t="n"/>
      <c r="AK203" s="32" t="n"/>
      <c r="AL203" s="32" t="n"/>
      <c r="AM203" s="32" t="n"/>
      <c r="AN203" s="32" t="n"/>
      <c r="AO203" s="32" t="n"/>
      <c r="AP203" s="32" t="n"/>
      <c r="AQ203" s="32" t="n"/>
      <c r="AR203" s="32" t="n"/>
      <c r="AS203" s="32" t="n"/>
      <c r="AT203" s="32" t="n"/>
      <c r="AU203" s="32" t="n"/>
      <c r="AV203" s="32" t="n"/>
      <c r="AW203" s="32" t="n"/>
      <c r="AX203" s="32" t="n"/>
      <c r="AY203" s="32" t="n"/>
      <c r="AZ203" s="32" t="n"/>
      <c r="BA203" s="32" t="n"/>
      <c r="BB203" s="32" t="n"/>
      <c r="BC203" s="32" t="n"/>
      <c r="BD203" s="32" t="n"/>
      <c r="BE203" s="32" t="n"/>
      <c r="BF203" s="32" t="n"/>
      <c r="BG203" s="32" t="n"/>
      <c r="BH203" s="32" t="n"/>
      <c r="BI203" s="32" t="n"/>
    </row>
    <row r="204" ht="15.75" customHeight="1" s="252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  <c r="Z204" s="32" t="n"/>
      <c r="AA204" s="32" t="n"/>
      <c r="AB204" s="32" t="n"/>
      <c r="AC204" s="32" t="n"/>
      <c r="AD204" s="32" t="n"/>
      <c r="AE204" s="32" t="n"/>
      <c r="AF204" s="32" t="n"/>
      <c r="AG204" s="32" t="n"/>
      <c r="AH204" s="32" t="n"/>
      <c r="AI204" s="32" t="n"/>
      <c r="AJ204" s="32" t="n"/>
      <c r="AK204" s="32" t="n"/>
      <c r="AL204" s="32" t="n"/>
      <c r="AM204" s="32" t="n"/>
      <c r="AN204" s="32" t="n"/>
      <c r="AO204" s="32" t="n"/>
      <c r="AP204" s="32" t="n"/>
      <c r="AQ204" s="32" t="n"/>
      <c r="AR204" s="32" t="n"/>
      <c r="AS204" s="32" t="n"/>
      <c r="AT204" s="32" t="n"/>
      <c r="AU204" s="32" t="n"/>
      <c r="AV204" s="32" t="n"/>
      <c r="AW204" s="32" t="n"/>
      <c r="AX204" s="32" t="n"/>
      <c r="AY204" s="32" t="n"/>
      <c r="AZ204" s="32" t="n"/>
      <c r="BA204" s="32" t="n"/>
      <c r="BB204" s="32" t="n"/>
      <c r="BC204" s="32" t="n"/>
      <c r="BD204" s="32" t="n"/>
      <c r="BE204" s="32" t="n"/>
      <c r="BF204" s="32" t="n"/>
      <c r="BG204" s="32" t="n"/>
      <c r="BH204" s="32" t="n"/>
      <c r="BI204" s="32" t="n"/>
    </row>
    <row r="205" ht="15.75" customHeight="1" s="252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n"/>
      <c r="AA205" s="32" t="n"/>
      <c r="AB205" s="32" t="n"/>
      <c r="AC205" s="32" t="n"/>
      <c r="AD205" s="32" t="n"/>
      <c r="AE205" s="32" t="n"/>
      <c r="AF205" s="32" t="n"/>
      <c r="AG205" s="32" t="n"/>
      <c r="AH205" s="32" t="n"/>
      <c r="AI205" s="32" t="n"/>
      <c r="AJ205" s="32" t="n"/>
      <c r="AK205" s="32" t="n"/>
      <c r="AL205" s="32" t="n"/>
      <c r="AM205" s="32" t="n"/>
      <c r="AN205" s="32" t="n"/>
      <c r="AO205" s="32" t="n"/>
      <c r="AP205" s="32" t="n"/>
      <c r="AQ205" s="32" t="n"/>
      <c r="AR205" s="32" t="n"/>
      <c r="AS205" s="32" t="n"/>
      <c r="AT205" s="32" t="n"/>
      <c r="AU205" s="32" t="n"/>
      <c r="AV205" s="32" t="n"/>
      <c r="AW205" s="32" t="n"/>
      <c r="AX205" s="32" t="n"/>
      <c r="AY205" s="32" t="n"/>
      <c r="AZ205" s="32" t="n"/>
      <c r="BA205" s="32" t="n"/>
      <c r="BB205" s="32" t="n"/>
      <c r="BC205" s="32" t="n"/>
      <c r="BD205" s="32" t="n"/>
      <c r="BE205" s="32" t="n"/>
      <c r="BF205" s="32" t="n"/>
      <c r="BG205" s="32" t="n"/>
      <c r="BH205" s="32" t="n"/>
      <c r="BI205" s="32" t="n"/>
    </row>
    <row r="206" ht="15.75" customHeight="1" s="252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  <c r="Z206" s="32" t="n"/>
      <c r="AA206" s="32" t="n"/>
      <c r="AB206" s="32" t="n"/>
      <c r="AC206" s="32" t="n"/>
      <c r="AD206" s="32" t="n"/>
      <c r="AE206" s="32" t="n"/>
      <c r="AF206" s="32" t="n"/>
      <c r="AG206" s="32" t="n"/>
      <c r="AH206" s="32" t="n"/>
      <c r="AI206" s="32" t="n"/>
      <c r="AJ206" s="32" t="n"/>
      <c r="AK206" s="32" t="n"/>
      <c r="AL206" s="32" t="n"/>
      <c r="AM206" s="32" t="n"/>
      <c r="AN206" s="32" t="n"/>
      <c r="AO206" s="32" t="n"/>
      <c r="AP206" s="32" t="n"/>
      <c r="AQ206" s="32" t="n"/>
      <c r="AR206" s="32" t="n"/>
      <c r="AS206" s="32" t="n"/>
      <c r="AT206" s="32" t="n"/>
      <c r="AU206" s="32" t="n"/>
      <c r="AV206" s="32" t="n"/>
      <c r="AW206" s="32" t="n"/>
      <c r="AX206" s="32" t="n"/>
      <c r="AY206" s="32" t="n"/>
      <c r="AZ206" s="32" t="n"/>
      <c r="BA206" s="32" t="n"/>
      <c r="BB206" s="32" t="n"/>
      <c r="BC206" s="32" t="n"/>
      <c r="BD206" s="32" t="n"/>
      <c r="BE206" s="32" t="n"/>
      <c r="BF206" s="32" t="n"/>
      <c r="BG206" s="32" t="n"/>
      <c r="BH206" s="32" t="n"/>
      <c r="BI206" s="32" t="n"/>
    </row>
    <row r="207" ht="15.75" customHeight="1" s="252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n"/>
      <c r="AA207" s="32" t="n"/>
      <c r="AB207" s="32" t="n"/>
      <c r="AC207" s="32" t="n"/>
      <c r="AD207" s="32" t="n"/>
      <c r="AE207" s="32" t="n"/>
      <c r="AF207" s="32" t="n"/>
      <c r="AG207" s="32" t="n"/>
      <c r="AH207" s="32" t="n"/>
      <c r="AI207" s="32" t="n"/>
      <c r="AJ207" s="32" t="n"/>
      <c r="AK207" s="32" t="n"/>
      <c r="AL207" s="32" t="n"/>
      <c r="AM207" s="32" t="n"/>
      <c r="AN207" s="32" t="n"/>
      <c r="AO207" s="32" t="n"/>
      <c r="AP207" s="32" t="n"/>
      <c r="AQ207" s="32" t="n"/>
      <c r="AR207" s="32" t="n"/>
      <c r="AS207" s="32" t="n"/>
      <c r="AT207" s="32" t="n"/>
      <c r="AU207" s="32" t="n"/>
      <c r="AV207" s="32" t="n"/>
      <c r="AW207" s="32" t="n"/>
      <c r="AX207" s="32" t="n"/>
      <c r="AY207" s="32" t="n"/>
      <c r="AZ207" s="32" t="n"/>
      <c r="BA207" s="32" t="n"/>
      <c r="BB207" s="32" t="n"/>
      <c r="BC207" s="32" t="n"/>
      <c r="BD207" s="32" t="n"/>
      <c r="BE207" s="32" t="n"/>
      <c r="BF207" s="32" t="n"/>
      <c r="BG207" s="32" t="n"/>
      <c r="BH207" s="32" t="n"/>
      <c r="BI207" s="32" t="n"/>
    </row>
    <row r="208" ht="15.75" customHeight="1" s="252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  <c r="Z208" s="32" t="n"/>
      <c r="AA208" s="32" t="n"/>
      <c r="AB208" s="32" t="n"/>
      <c r="AC208" s="32" t="n"/>
      <c r="AD208" s="32" t="n"/>
      <c r="AE208" s="32" t="n"/>
      <c r="AF208" s="32" t="n"/>
      <c r="AG208" s="32" t="n"/>
      <c r="AH208" s="32" t="n"/>
      <c r="AI208" s="32" t="n"/>
      <c r="AJ208" s="32" t="n"/>
      <c r="AK208" s="32" t="n"/>
      <c r="AL208" s="32" t="n"/>
      <c r="AM208" s="32" t="n"/>
      <c r="AN208" s="32" t="n"/>
      <c r="AO208" s="32" t="n"/>
      <c r="AP208" s="32" t="n"/>
      <c r="AQ208" s="32" t="n"/>
      <c r="AR208" s="32" t="n"/>
      <c r="AS208" s="32" t="n"/>
      <c r="AT208" s="32" t="n"/>
      <c r="AU208" s="32" t="n"/>
      <c r="AV208" s="32" t="n"/>
      <c r="AW208" s="32" t="n"/>
      <c r="AX208" s="32" t="n"/>
      <c r="AY208" s="32" t="n"/>
      <c r="AZ208" s="32" t="n"/>
      <c r="BA208" s="32" t="n"/>
      <c r="BB208" s="32" t="n"/>
      <c r="BC208" s="32" t="n"/>
      <c r="BD208" s="32" t="n"/>
      <c r="BE208" s="32" t="n"/>
      <c r="BF208" s="32" t="n"/>
      <c r="BG208" s="32" t="n"/>
      <c r="BH208" s="32" t="n"/>
      <c r="BI208" s="32" t="n"/>
    </row>
    <row r="209" ht="15.75" customHeight="1" s="252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  <c r="Z209" s="32" t="n"/>
      <c r="AA209" s="32" t="n"/>
      <c r="AB209" s="32" t="n"/>
      <c r="AC209" s="32" t="n"/>
      <c r="AD209" s="32" t="n"/>
      <c r="AE209" s="32" t="n"/>
      <c r="AF209" s="32" t="n"/>
      <c r="AG209" s="32" t="n"/>
      <c r="AH209" s="32" t="n"/>
      <c r="AI209" s="32" t="n"/>
      <c r="AJ209" s="32" t="n"/>
      <c r="AK209" s="32" t="n"/>
      <c r="AL209" s="32" t="n"/>
      <c r="AM209" s="32" t="n"/>
      <c r="AN209" s="32" t="n"/>
      <c r="AO209" s="32" t="n"/>
      <c r="AP209" s="32" t="n"/>
      <c r="AQ209" s="32" t="n"/>
      <c r="AR209" s="32" t="n"/>
      <c r="AS209" s="32" t="n"/>
      <c r="AT209" s="32" t="n"/>
      <c r="AU209" s="32" t="n"/>
      <c r="AV209" s="32" t="n"/>
      <c r="AW209" s="32" t="n"/>
      <c r="AX209" s="32" t="n"/>
      <c r="AY209" s="32" t="n"/>
      <c r="AZ209" s="32" t="n"/>
      <c r="BA209" s="32" t="n"/>
      <c r="BB209" s="32" t="n"/>
      <c r="BC209" s="32" t="n"/>
      <c r="BD209" s="32" t="n"/>
      <c r="BE209" s="32" t="n"/>
      <c r="BF209" s="32" t="n"/>
      <c r="BG209" s="32" t="n"/>
      <c r="BH209" s="32" t="n"/>
      <c r="BI209" s="32" t="n"/>
    </row>
    <row r="210" ht="15.75" customHeight="1" s="252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  <c r="Z210" s="32" t="n"/>
      <c r="AA210" s="32" t="n"/>
      <c r="AB210" s="32" t="n"/>
      <c r="AC210" s="32" t="n"/>
      <c r="AD210" s="32" t="n"/>
      <c r="AE210" s="32" t="n"/>
      <c r="AF210" s="32" t="n"/>
      <c r="AG210" s="32" t="n"/>
      <c r="AH210" s="32" t="n"/>
      <c r="AI210" s="32" t="n"/>
      <c r="AJ210" s="32" t="n"/>
      <c r="AK210" s="32" t="n"/>
      <c r="AL210" s="32" t="n"/>
      <c r="AM210" s="32" t="n"/>
      <c r="AN210" s="32" t="n"/>
      <c r="AO210" s="32" t="n"/>
      <c r="AP210" s="32" t="n"/>
      <c r="AQ210" s="32" t="n"/>
      <c r="AR210" s="32" t="n"/>
      <c r="AS210" s="32" t="n"/>
      <c r="AT210" s="32" t="n"/>
      <c r="AU210" s="32" t="n"/>
      <c r="AV210" s="32" t="n"/>
      <c r="AW210" s="32" t="n"/>
      <c r="AX210" s="32" t="n"/>
      <c r="AY210" s="32" t="n"/>
      <c r="AZ210" s="32" t="n"/>
      <c r="BA210" s="32" t="n"/>
      <c r="BB210" s="32" t="n"/>
      <c r="BC210" s="32" t="n"/>
      <c r="BD210" s="32" t="n"/>
      <c r="BE210" s="32" t="n"/>
      <c r="BF210" s="32" t="n"/>
      <c r="BG210" s="32" t="n"/>
      <c r="BH210" s="32" t="n"/>
      <c r="BI210" s="32" t="n"/>
    </row>
    <row r="211" ht="15.75" customHeight="1" s="252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  <c r="Z211" s="32" t="n"/>
      <c r="AA211" s="32" t="n"/>
      <c r="AB211" s="32" t="n"/>
      <c r="AC211" s="32" t="n"/>
      <c r="AD211" s="32" t="n"/>
      <c r="AE211" s="32" t="n"/>
      <c r="AF211" s="32" t="n"/>
      <c r="AG211" s="32" t="n"/>
      <c r="AH211" s="32" t="n"/>
      <c r="AI211" s="32" t="n"/>
      <c r="AJ211" s="32" t="n"/>
      <c r="AK211" s="32" t="n"/>
      <c r="AL211" s="32" t="n"/>
      <c r="AM211" s="32" t="n"/>
      <c r="AN211" s="32" t="n"/>
      <c r="AO211" s="32" t="n"/>
      <c r="AP211" s="32" t="n"/>
      <c r="AQ211" s="32" t="n"/>
      <c r="AR211" s="32" t="n"/>
      <c r="AS211" s="32" t="n"/>
      <c r="AT211" s="32" t="n"/>
      <c r="AU211" s="32" t="n"/>
      <c r="AV211" s="32" t="n"/>
      <c r="AW211" s="32" t="n"/>
      <c r="AX211" s="32" t="n"/>
      <c r="AY211" s="32" t="n"/>
      <c r="AZ211" s="32" t="n"/>
      <c r="BA211" s="32" t="n"/>
      <c r="BB211" s="32" t="n"/>
      <c r="BC211" s="32" t="n"/>
      <c r="BD211" s="32" t="n"/>
      <c r="BE211" s="32" t="n"/>
      <c r="BF211" s="32" t="n"/>
      <c r="BG211" s="32" t="n"/>
      <c r="BH211" s="32" t="n"/>
      <c r="BI211" s="32" t="n"/>
    </row>
    <row r="212" ht="15.75" customHeight="1" s="252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  <c r="Z212" s="32" t="n"/>
      <c r="AA212" s="32" t="n"/>
      <c r="AB212" s="32" t="n"/>
      <c r="AC212" s="32" t="n"/>
      <c r="AD212" s="32" t="n"/>
      <c r="AE212" s="32" t="n"/>
      <c r="AF212" s="32" t="n"/>
      <c r="AG212" s="32" t="n"/>
      <c r="AH212" s="32" t="n"/>
      <c r="AI212" s="32" t="n"/>
      <c r="AJ212" s="32" t="n"/>
      <c r="AK212" s="32" t="n"/>
      <c r="AL212" s="32" t="n"/>
      <c r="AM212" s="32" t="n"/>
      <c r="AN212" s="32" t="n"/>
      <c r="AO212" s="32" t="n"/>
      <c r="AP212" s="32" t="n"/>
      <c r="AQ212" s="32" t="n"/>
      <c r="AR212" s="32" t="n"/>
      <c r="AS212" s="32" t="n"/>
      <c r="AT212" s="32" t="n"/>
      <c r="AU212" s="32" t="n"/>
      <c r="AV212" s="32" t="n"/>
      <c r="AW212" s="32" t="n"/>
      <c r="AX212" s="32" t="n"/>
      <c r="AY212" s="32" t="n"/>
      <c r="AZ212" s="32" t="n"/>
      <c r="BA212" s="32" t="n"/>
      <c r="BB212" s="32" t="n"/>
      <c r="BC212" s="32" t="n"/>
      <c r="BD212" s="32" t="n"/>
      <c r="BE212" s="32" t="n"/>
      <c r="BF212" s="32" t="n"/>
      <c r="BG212" s="32" t="n"/>
      <c r="BH212" s="32" t="n"/>
      <c r="BI212" s="32" t="n"/>
    </row>
    <row r="213" ht="15.75" customHeight="1" s="252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  <c r="Z213" s="32" t="n"/>
      <c r="AA213" s="32" t="n"/>
      <c r="AB213" s="32" t="n"/>
      <c r="AC213" s="32" t="n"/>
      <c r="AD213" s="32" t="n"/>
      <c r="AE213" s="32" t="n"/>
      <c r="AF213" s="32" t="n"/>
      <c r="AG213" s="32" t="n"/>
      <c r="AH213" s="32" t="n"/>
      <c r="AI213" s="32" t="n"/>
      <c r="AJ213" s="32" t="n"/>
      <c r="AK213" s="32" t="n"/>
      <c r="AL213" s="32" t="n"/>
      <c r="AM213" s="32" t="n"/>
      <c r="AN213" s="32" t="n"/>
      <c r="AO213" s="32" t="n"/>
      <c r="AP213" s="32" t="n"/>
      <c r="AQ213" s="32" t="n"/>
      <c r="AR213" s="32" t="n"/>
      <c r="AS213" s="32" t="n"/>
      <c r="AT213" s="32" t="n"/>
      <c r="AU213" s="32" t="n"/>
      <c r="AV213" s="32" t="n"/>
      <c r="AW213" s="32" t="n"/>
      <c r="AX213" s="32" t="n"/>
      <c r="AY213" s="32" t="n"/>
      <c r="AZ213" s="32" t="n"/>
      <c r="BA213" s="32" t="n"/>
      <c r="BB213" s="32" t="n"/>
      <c r="BC213" s="32" t="n"/>
      <c r="BD213" s="32" t="n"/>
      <c r="BE213" s="32" t="n"/>
      <c r="BF213" s="32" t="n"/>
      <c r="BG213" s="32" t="n"/>
      <c r="BH213" s="32" t="n"/>
      <c r="BI213" s="32" t="n"/>
    </row>
    <row r="214" ht="15.75" customHeight="1" s="252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  <c r="Z214" s="32" t="n"/>
      <c r="AA214" s="32" t="n"/>
      <c r="AB214" s="32" t="n"/>
      <c r="AC214" s="32" t="n"/>
      <c r="AD214" s="32" t="n"/>
      <c r="AE214" s="32" t="n"/>
      <c r="AF214" s="32" t="n"/>
      <c r="AG214" s="32" t="n"/>
      <c r="AH214" s="32" t="n"/>
      <c r="AI214" s="32" t="n"/>
      <c r="AJ214" s="32" t="n"/>
      <c r="AK214" s="32" t="n"/>
      <c r="AL214" s="32" t="n"/>
      <c r="AM214" s="32" t="n"/>
      <c r="AN214" s="32" t="n"/>
      <c r="AO214" s="32" t="n"/>
      <c r="AP214" s="32" t="n"/>
      <c r="AQ214" s="32" t="n"/>
      <c r="AR214" s="32" t="n"/>
      <c r="AS214" s="32" t="n"/>
      <c r="AT214" s="32" t="n"/>
      <c r="AU214" s="32" t="n"/>
      <c r="AV214" s="32" t="n"/>
      <c r="AW214" s="32" t="n"/>
      <c r="AX214" s="32" t="n"/>
      <c r="AY214" s="32" t="n"/>
      <c r="AZ214" s="32" t="n"/>
      <c r="BA214" s="32" t="n"/>
      <c r="BB214" s="32" t="n"/>
      <c r="BC214" s="32" t="n"/>
      <c r="BD214" s="32" t="n"/>
      <c r="BE214" s="32" t="n"/>
      <c r="BF214" s="32" t="n"/>
      <c r="BG214" s="32" t="n"/>
      <c r="BH214" s="32" t="n"/>
      <c r="BI214" s="32" t="n"/>
    </row>
    <row r="215" ht="15.75" customHeight="1" s="252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  <c r="Z215" s="32" t="n"/>
      <c r="AA215" s="32" t="n"/>
      <c r="AB215" s="32" t="n"/>
      <c r="AC215" s="32" t="n"/>
      <c r="AD215" s="32" t="n"/>
      <c r="AE215" s="32" t="n"/>
      <c r="AF215" s="32" t="n"/>
      <c r="AG215" s="32" t="n"/>
      <c r="AH215" s="32" t="n"/>
      <c r="AI215" s="32" t="n"/>
      <c r="AJ215" s="32" t="n"/>
      <c r="AK215" s="32" t="n"/>
      <c r="AL215" s="32" t="n"/>
      <c r="AM215" s="32" t="n"/>
      <c r="AN215" s="32" t="n"/>
      <c r="AO215" s="32" t="n"/>
      <c r="AP215" s="32" t="n"/>
      <c r="AQ215" s="32" t="n"/>
      <c r="AR215" s="32" t="n"/>
      <c r="AS215" s="32" t="n"/>
      <c r="AT215" s="32" t="n"/>
      <c r="AU215" s="32" t="n"/>
      <c r="AV215" s="32" t="n"/>
      <c r="AW215" s="32" t="n"/>
      <c r="AX215" s="32" t="n"/>
      <c r="AY215" s="32" t="n"/>
      <c r="AZ215" s="32" t="n"/>
      <c r="BA215" s="32" t="n"/>
      <c r="BB215" s="32" t="n"/>
      <c r="BC215" s="32" t="n"/>
      <c r="BD215" s="32" t="n"/>
      <c r="BE215" s="32" t="n"/>
      <c r="BF215" s="32" t="n"/>
      <c r="BG215" s="32" t="n"/>
      <c r="BH215" s="32" t="n"/>
      <c r="BI215" s="32" t="n"/>
    </row>
    <row r="216" ht="15.75" customHeight="1" s="252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  <c r="Z216" s="32" t="n"/>
      <c r="AA216" s="32" t="n"/>
      <c r="AB216" s="32" t="n"/>
      <c r="AC216" s="32" t="n"/>
      <c r="AD216" s="32" t="n"/>
      <c r="AE216" s="32" t="n"/>
      <c r="AF216" s="32" t="n"/>
      <c r="AG216" s="32" t="n"/>
      <c r="AH216" s="32" t="n"/>
      <c r="AI216" s="32" t="n"/>
      <c r="AJ216" s="32" t="n"/>
      <c r="AK216" s="32" t="n"/>
      <c r="AL216" s="32" t="n"/>
      <c r="AM216" s="32" t="n"/>
      <c r="AN216" s="32" t="n"/>
      <c r="AO216" s="32" t="n"/>
      <c r="AP216" s="32" t="n"/>
      <c r="AQ216" s="32" t="n"/>
      <c r="AR216" s="32" t="n"/>
      <c r="AS216" s="32" t="n"/>
      <c r="AT216" s="32" t="n"/>
      <c r="AU216" s="32" t="n"/>
      <c r="AV216" s="32" t="n"/>
      <c r="AW216" s="32" t="n"/>
      <c r="AX216" s="32" t="n"/>
      <c r="AY216" s="32" t="n"/>
      <c r="AZ216" s="32" t="n"/>
      <c r="BA216" s="32" t="n"/>
      <c r="BB216" s="32" t="n"/>
      <c r="BC216" s="32" t="n"/>
      <c r="BD216" s="32" t="n"/>
      <c r="BE216" s="32" t="n"/>
      <c r="BF216" s="32" t="n"/>
      <c r="BG216" s="32" t="n"/>
      <c r="BH216" s="32" t="n"/>
      <c r="BI216" s="32" t="n"/>
    </row>
    <row r="217" ht="15.75" customHeight="1" s="252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  <c r="Z217" s="32" t="n"/>
      <c r="AA217" s="32" t="n"/>
      <c r="AB217" s="32" t="n"/>
      <c r="AC217" s="32" t="n"/>
      <c r="AD217" s="32" t="n"/>
      <c r="AE217" s="32" t="n"/>
      <c r="AF217" s="32" t="n"/>
      <c r="AG217" s="32" t="n"/>
      <c r="AH217" s="32" t="n"/>
      <c r="AI217" s="32" t="n"/>
      <c r="AJ217" s="32" t="n"/>
      <c r="AK217" s="32" t="n"/>
      <c r="AL217" s="32" t="n"/>
      <c r="AM217" s="32" t="n"/>
      <c r="AN217" s="32" t="n"/>
      <c r="AO217" s="32" t="n"/>
      <c r="AP217" s="32" t="n"/>
      <c r="AQ217" s="32" t="n"/>
      <c r="AR217" s="32" t="n"/>
      <c r="AS217" s="32" t="n"/>
      <c r="AT217" s="32" t="n"/>
      <c r="AU217" s="32" t="n"/>
      <c r="AV217" s="32" t="n"/>
      <c r="AW217" s="32" t="n"/>
      <c r="AX217" s="32" t="n"/>
      <c r="AY217" s="32" t="n"/>
      <c r="AZ217" s="32" t="n"/>
      <c r="BA217" s="32" t="n"/>
      <c r="BB217" s="32" t="n"/>
      <c r="BC217" s="32" t="n"/>
      <c r="BD217" s="32" t="n"/>
      <c r="BE217" s="32" t="n"/>
      <c r="BF217" s="32" t="n"/>
      <c r="BG217" s="32" t="n"/>
      <c r="BH217" s="32" t="n"/>
      <c r="BI217" s="32" t="n"/>
    </row>
    <row r="218" ht="15.75" customHeight="1" s="252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  <c r="Z218" s="32" t="n"/>
      <c r="AA218" s="32" t="n"/>
      <c r="AB218" s="32" t="n"/>
      <c r="AC218" s="32" t="n"/>
      <c r="AD218" s="32" t="n"/>
      <c r="AE218" s="32" t="n"/>
      <c r="AF218" s="32" t="n"/>
      <c r="AG218" s="32" t="n"/>
      <c r="AH218" s="32" t="n"/>
      <c r="AI218" s="32" t="n"/>
      <c r="AJ218" s="32" t="n"/>
      <c r="AK218" s="32" t="n"/>
      <c r="AL218" s="32" t="n"/>
      <c r="AM218" s="32" t="n"/>
      <c r="AN218" s="32" t="n"/>
      <c r="AO218" s="32" t="n"/>
      <c r="AP218" s="32" t="n"/>
      <c r="AQ218" s="32" t="n"/>
      <c r="AR218" s="32" t="n"/>
      <c r="AS218" s="32" t="n"/>
      <c r="AT218" s="32" t="n"/>
      <c r="AU218" s="32" t="n"/>
      <c r="AV218" s="32" t="n"/>
      <c r="AW218" s="32" t="n"/>
      <c r="AX218" s="32" t="n"/>
      <c r="AY218" s="32" t="n"/>
      <c r="AZ218" s="32" t="n"/>
      <c r="BA218" s="32" t="n"/>
      <c r="BB218" s="32" t="n"/>
      <c r="BC218" s="32" t="n"/>
      <c r="BD218" s="32" t="n"/>
      <c r="BE218" s="32" t="n"/>
      <c r="BF218" s="32" t="n"/>
      <c r="BG218" s="32" t="n"/>
      <c r="BH218" s="32" t="n"/>
      <c r="BI218" s="32" t="n"/>
    </row>
    <row r="219" ht="15.75" customHeight="1" s="252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  <c r="Z219" s="32" t="n"/>
      <c r="AA219" s="32" t="n"/>
      <c r="AB219" s="32" t="n"/>
      <c r="AC219" s="32" t="n"/>
      <c r="AD219" s="32" t="n"/>
      <c r="AE219" s="32" t="n"/>
      <c r="AF219" s="32" t="n"/>
      <c r="AG219" s="32" t="n"/>
      <c r="AH219" s="32" t="n"/>
      <c r="AI219" s="32" t="n"/>
      <c r="AJ219" s="32" t="n"/>
      <c r="AK219" s="32" t="n"/>
      <c r="AL219" s="32" t="n"/>
      <c r="AM219" s="32" t="n"/>
      <c r="AN219" s="32" t="n"/>
      <c r="AO219" s="32" t="n"/>
      <c r="AP219" s="32" t="n"/>
      <c r="AQ219" s="32" t="n"/>
      <c r="AR219" s="32" t="n"/>
      <c r="AS219" s="32" t="n"/>
      <c r="AT219" s="32" t="n"/>
      <c r="AU219" s="32" t="n"/>
      <c r="AV219" s="32" t="n"/>
      <c r="AW219" s="32" t="n"/>
      <c r="AX219" s="32" t="n"/>
      <c r="AY219" s="32" t="n"/>
      <c r="AZ219" s="32" t="n"/>
      <c r="BA219" s="32" t="n"/>
      <c r="BB219" s="32" t="n"/>
      <c r="BC219" s="32" t="n"/>
      <c r="BD219" s="32" t="n"/>
      <c r="BE219" s="32" t="n"/>
      <c r="BF219" s="32" t="n"/>
      <c r="BG219" s="32" t="n"/>
      <c r="BH219" s="32" t="n"/>
      <c r="BI219" s="32" t="n"/>
    </row>
    <row r="220" ht="15.75" customHeight="1" s="252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  <c r="Z220" s="32" t="n"/>
      <c r="AA220" s="32" t="n"/>
      <c r="AB220" s="32" t="n"/>
      <c r="AC220" s="32" t="n"/>
      <c r="AD220" s="32" t="n"/>
      <c r="AE220" s="32" t="n"/>
      <c r="AF220" s="32" t="n"/>
      <c r="AG220" s="32" t="n"/>
      <c r="AH220" s="32" t="n"/>
      <c r="AI220" s="32" t="n"/>
      <c r="AJ220" s="32" t="n"/>
      <c r="AK220" s="32" t="n"/>
      <c r="AL220" s="32" t="n"/>
      <c r="AM220" s="32" t="n"/>
      <c r="AN220" s="32" t="n"/>
      <c r="AO220" s="32" t="n"/>
      <c r="AP220" s="32" t="n"/>
      <c r="AQ220" s="32" t="n"/>
      <c r="AR220" s="32" t="n"/>
      <c r="AS220" s="32" t="n"/>
      <c r="AT220" s="32" t="n"/>
      <c r="AU220" s="32" t="n"/>
      <c r="AV220" s="32" t="n"/>
      <c r="AW220" s="32" t="n"/>
      <c r="AX220" s="32" t="n"/>
      <c r="AY220" s="32" t="n"/>
      <c r="AZ220" s="32" t="n"/>
      <c r="BA220" s="32" t="n"/>
      <c r="BB220" s="32" t="n"/>
      <c r="BC220" s="32" t="n"/>
      <c r="BD220" s="32" t="n"/>
      <c r="BE220" s="32" t="n"/>
      <c r="BF220" s="32" t="n"/>
      <c r="BG220" s="32" t="n"/>
      <c r="BH220" s="32" t="n"/>
      <c r="BI220" s="32" t="n"/>
    </row>
    <row r="221" ht="15.75" customHeight="1" s="252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  <c r="Z221" s="32" t="n"/>
      <c r="AA221" s="32" t="n"/>
      <c r="AB221" s="32" t="n"/>
      <c r="AC221" s="32" t="n"/>
      <c r="AD221" s="32" t="n"/>
      <c r="AE221" s="32" t="n"/>
      <c r="AF221" s="32" t="n"/>
      <c r="AG221" s="32" t="n"/>
      <c r="AH221" s="32" t="n"/>
      <c r="AI221" s="32" t="n"/>
      <c r="AJ221" s="32" t="n"/>
      <c r="AK221" s="32" t="n"/>
      <c r="AL221" s="32" t="n"/>
      <c r="AM221" s="32" t="n"/>
      <c r="AN221" s="32" t="n"/>
      <c r="AO221" s="32" t="n"/>
      <c r="AP221" s="32" t="n"/>
      <c r="AQ221" s="32" t="n"/>
      <c r="AR221" s="32" t="n"/>
      <c r="AS221" s="32" t="n"/>
      <c r="AT221" s="32" t="n"/>
      <c r="AU221" s="32" t="n"/>
      <c r="AV221" s="32" t="n"/>
      <c r="AW221" s="32" t="n"/>
      <c r="AX221" s="32" t="n"/>
      <c r="AY221" s="32" t="n"/>
      <c r="AZ221" s="32" t="n"/>
      <c r="BA221" s="32" t="n"/>
      <c r="BB221" s="32" t="n"/>
      <c r="BC221" s="32" t="n"/>
      <c r="BD221" s="32" t="n"/>
      <c r="BE221" s="32" t="n"/>
      <c r="BF221" s="32" t="n"/>
      <c r="BG221" s="32" t="n"/>
      <c r="BH221" s="32" t="n"/>
      <c r="BI221" s="32" t="n"/>
    </row>
    <row r="222" ht="15.75" customHeight="1" s="252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  <c r="Z222" s="32" t="n"/>
      <c r="AA222" s="32" t="n"/>
      <c r="AB222" s="32" t="n"/>
      <c r="AC222" s="32" t="n"/>
      <c r="AD222" s="32" t="n"/>
      <c r="AE222" s="32" t="n"/>
      <c r="AF222" s="32" t="n"/>
      <c r="AG222" s="32" t="n"/>
      <c r="AH222" s="32" t="n"/>
      <c r="AI222" s="32" t="n"/>
      <c r="AJ222" s="32" t="n"/>
      <c r="AK222" s="32" t="n"/>
      <c r="AL222" s="32" t="n"/>
      <c r="AM222" s="32" t="n"/>
      <c r="AN222" s="32" t="n"/>
      <c r="AO222" s="32" t="n"/>
      <c r="AP222" s="32" t="n"/>
      <c r="AQ222" s="32" t="n"/>
      <c r="AR222" s="32" t="n"/>
      <c r="AS222" s="32" t="n"/>
      <c r="AT222" s="32" t="n"/>
      <c r="AU222" s="32" t="n"/>
      <c r="AV222" s="32" t="n"/>
      <c r="AW222" s="32" t="n"/>
      <c r="AX222" s="32" t="n"/>
      <c r="AY222" s="32" t="n"/>
      <c r="AZ222" s="32" t="n"/>
      <c r="BA222" s="32" t="n"/>
      <c r="BB222" s="32" t="n"/>
      <c r="BC222" s="32" t="n"/>
      <c r="BD222" s="32" t="n"/>
      <c r="BE222" s="32" t="n"/>
      <c r="BF222" s="32" t="n"/>
      <c r="BG222" s="32" t="n"/>
      <c r="BH222" s="32" t="n"/>
      <c r="BI222" s="32" t="n"/>
    </row>
    <row r="223" ht="15.75" customHeight="1" s="252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  <c r="Z223" s="32" t="n"/>
      <c r="AA223" s="32" t="n"/>
      <c r="AB223" s="32" t="n"/>
      <c r="AC223" s="32" t="n"/>
      <c r="AD223" s="32" t="n"/>
      <c r="AE223" s="32" t="n"/>
      <c r="AF223" s="32" t="n"/>
      <c r="AG223" s="32" t="n"/>
      <c r="AH223" s="32" t="n"/>
      <c r="AI223" s="32" t="n"/>
      <c r="AJ223" s="32" t="n"/>
      <c r="AK223" s="32" t="n"/>
      <c r="AL223" s="32" t="n"/>
      <c r="AM223" s="32" t="n"/>
      <c r="AN223" s="32" t="n"/>
      <c r="AO223" s="32" t="n"/>
      <c r="AP223" s="32" t="n"/>
      <c r="AQ223" s="32" t="n"/>
      <c r="AR223" s="32" t="n"/>
      <c r="AS223" s="32" t="n"/>
      <c r="AT223" s="32" t="n"/>
      <c r="AU223" s="32" t="n"/>
      <c r="AV223" s="32" t="n"/>
      <c r="AW223" s="32" t="n"/>
      <c r="AX223" s="32" t="n"/>
      <c r="AY223" s="32" t="n"/>
      <c r="AZ223" s="32" t="n"/>
      <c r="BA223" s="32" t="n"/>
      <c r="BB223" s="32" t="n"/>
      <c r="BC223" s="32" t="n"/>
      <c r="BD223" s="32" t="n"/>
      <c r="BE223" s="32" t="n"/>
      <c r="BF223" s="32" t="n"/>
      <c r="BG223" s="32" t="n"/>
      <c r="BH223" s="32" t="n"/>
      <c r="BI223" s="32" t="n"/>
    </row>
    <row r="224" ht="15.75" customHeight="1" s="252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  <c r="Z224" s="32" t="n"/>
      <c r="AA224" s="32" t="n"/>
      <c r="AB224" s="32" t="n"/>
      <c r="AC224" s="32" t="n"/>
      <c r="AD224" s="32" t="n"/>
      <c r="AE224" s="32" t="n"/>
      <c r="AF224" s="32" t="n"/>
      <c r="AG224" s="32" t="n"/>
      <c r="AH224" s="32" t="n"/>
      <c r="AI224" s="32" t="n"/>
      <c r="AJ224" s="32" t="n"/>
      <c r="AK224" s="32" t="n"/>
      <c r="AL224" s="32" t="n"/>
      <c r="AM224" s="32" t="n"/>
      <c r="AN224" s="32" t="n"/>
      <c r="AO224" s="32" t="n"/>
      <c r="AP224" s="32" t="n"/>
      <c r="AQ224" s="32" t="n"/>
      <c r="AR224" s="32" t="n"/>
      <c r="AS224" s="32" t="n"/>
      <c r="AT224" s="32" t="n"/>
      <c r="AU224" s="32" t="n"/>
      <c r="AV224" s="32" t="n"/>
      <c r="AW224" s="32" t="n"/>
      <c r="AX224" s="32" t="n"/>
      <c r="AY224" s="32" t="n"/>
      <c r="AZ224" s="32" t="n"/>
      <c r="BA224" s="32" t="n"/>
      <c r="BB224" s="32" t="n"/>
      <c r="BC224" s="32" t="n"/>
      <c r="BD224" s="32" t="n"/>
      <c r="BE224" s="32" t="n"/>
      <c r="BF224" s="32" t="n"/>
      <c r="BG224" s="32" t="n"/>
      <c r="BH224" s="32" t="n"/>
      <c r="BI224" s="32" t="n"/>
    </row>
    <row r="225" ht="15.75" customHeight="1" s="252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  <c r="Z225" s="32" t="n"/>
      <c r="AA225" s="32" t="n"/>
      <c r="AB225" s="32" t="n"/>
      <c r="AC225" s="32" t="n"/>
      <c r="AD225" s="32" t="n"/>
      <c r="AE225" s="32" t="n"/>
      <c r="AF225" s="32" t="n"/>
      <c r="AG225" s="32" t="n"/>
      <c r="AH225" s="32" t="n"/>
      <c r="AI225" s="32" t="n"/>
      <c r="AJ225" s="32" t="n"/>
      <c r="AK225" s="32" t="n"/>
      <c r="AL225" s="32" t="n"/>
      <c r="AM225" s="32" t="n"/>
      <c r="AN225" s="32" t="n"/>
      <c r="AO225" s="32" t="n"/>
      <c r="AP225" s="32" t="n"/>
      <c r="AQ225" s="32" t="n"/>
      <c r="AR225" s="32" t="n"/>
      <c r="AS225" s="32" t="n"/>
      <c r="AT225" s="32" t="n"/>
      <c r="AU225" s="32" t="n"/>
      <c r="AV225" s="32" t="n"/>
      <c r="AW225" s="32" t="n"/>
      <c r="AX225" s="32" t="n"/>
      <c r="AY225" s="32" t="n"/>
      <c r="AZ225" s="32" t="n"/>
      <c r="BA225" s="32" t="n"/>
      <c r="BB225" s="32" t="n"/>
      <c r="BC225" s="32" t="n"/>
      <c r="BD225" s="32" t="n"/>
      <c r="BE225" s="32" t="n"/>
      <c r="BF225" s="32" t="n"/>
      <c r="BG225" s="32" t="n"/>
      <c r="BH225" s="32" t="n"/>
      <c r="BI225" s="32" t="n"/>
    </row>
    <row r="226" ht="15.75" customHeight="1" s="252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  <c r="Z226" s="32" t="n"/>
      <c r="AA226" s="32" t="n"/>
      <c r="AB226" s="32" t="n"/>
      <c r="AC226" s="32" t="n"/>
      <c r="AD226" s="32" t="n"/>
      <c r="AE226" s="32" t="n"/>
      <c r="AF226" s="32" t="n"/>
      <c r="AG226" s="32" t="n"/>
      <c r="AH226" s="32" t="n"/>
      <c r="AI226" s="32" t="n"/>
      <c r="AJ226" s="32" t="n"/>
      <c r="AK226" s="32" t="n"/>
      <c r="AL226" s="32" t="n"/>
      <c r="AM226" s="32" t="n"/>
      <c r="AN226" s="32" t="n"/>
      <c r="AO226" s="32" t="n"/>
      <c r="AP226" s="32" t="n"/>
      <c r="AQ226" s="32" t="n"/>
      <c r="AR226" s="32" t="n"/>
      <c r="AS226" s="32" t="n"/>
      <c r="AT226" s="32" t="n"/>
      <c r="AU226" s="32" t="n"/>
      <c r="AV226" s="32" t="n"/>
      <c r="AW226" s="32" t="n"/>
      <c r="AX226" s="32" t="n"/>
      <c r="AY226" s="32" t="n"/>
      <c r="AZ226" s="32" t="n"/>
      <c r="BA226" s="32" t="n"/>
      <c r="BB226" s="32" t="n"/>
      <c r="BC226" s="32" t="n"/>
      <c r="BD226" s="32" t="n"/>
      <c r="BE226" s="32" t="n"/>
      <c r="BF226" s="32" t="n"/>
      <c r="BG226" s="32" t="n"/>
      <c r="BH226" s="32" t="n"/>
      <c r="BI226" s="32" t="n"/>
    </row>
    <row r="227" ht="15.75" customHeight="1" s="252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  <c r="AA227" s="32" t="n"/>
      <c r="AB227" s="32" t="n"/>
      <c r="AC227" s="32" t="n"/>
      <c r="AD227" s="32" t="n"/>
      <c r="AE227" s="32" t="n"/>
      <c r="AF227" s="32" t="n"/>
      <c r="AG227" s="32" t="n"/>
      <c r="AH227" s="32" t="n"/>
      <c r="AI227" s="32" t="n"/>
      <c r="AJ227" s="32" t="n"/>
      <c r="AK227" s="32" t="n"/>
      <c r="AL227" s="32" t="n"/>
      <c r="AM227" s="32" t="n"/>
      <c r="AN227" s="32" t="n"/>
      <c r="AO227" s="32" t="n"/>
      <c r="AP227" s="32" t="n"/>
      <c r="AQ227" s="32" t="n"/>
      <c r="AR227" s="32" t="n"/>
      <c r="AS227" s="32" t="n"/>
      <c r="AT227" s="32" t="n"/>
      <c r="AU227" s="32" t="n"/>
      <c r="AV227" s="32" t="n"/>
      <c r="AW227" s="32" t="n"/>
      <c r="AX227" s="32" t="n"/>
      <c r="AY227" s="32" t="n"/>
      <c r="AZ227" s="32" t="n"/>
      <c r="BA227" s="32" t="n"/>
      <c r="BB227" s="32" t="n"/>
      <c r="BC227" s="32" t="n"/>
      <c r="BD227" s="32" t="n"/>
      <c r="BE227" s="32" t="n"/>
      <c r="BF227" s="32" t="n"/>
      <c r="BG227" s="32" t="n"/>
      <c r="BH227" s="32" t="n"/>
      <c r="BI227" s="32" t="n"/>
    </row>
    <row r="228" ht="15.75" customHeight="1" s="252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  <c r="AA228" s="32" t="n"/>
      <c r="AB228" s="32" t="n"/>
      <c r="AC228" s="32" t="n"/>
      <c r="AD228" s="32" t="n"/>
      <c r="AE228" s="32" t="n"/>
      <c r="AF228" s="32" t="n"/>
      <c r="AG228" s="32" t="n"/>
      <c r="AH228" s="32" t="n"/>
      <c r="AI228" s="32" t="n"/>
      <c r="AJ228" s="32" t="n"/>
      <c r="AK228" s="32" t="n"/>
      <c r="AL228" s="32" t="n"/>
      <c r="AM228" s="32" t="n"/>
      <c r="AN228" s="32" t="n"/>
      <c r="AO228" s="32" t="n"/>
      <c r="AP228" s="32" t="n"/>
      <c r="AQ228" s="32" t="n"/>
      <c r="AR228" s="32" t="n"/>
      <c r="AS228" s="32" t="n"/>
      <c r="AT228" s="32" t="n"/>
      <c r="AU228" s="32" t="n"/>
      <c r="AV228" s="32" t="n"/>
      <c r="AW228" s="32" t="n"/>
      <c r="AX228" s="32" t="n"/>
      <c r="AY228" s="32" t="n"/>
      <c r="AZ228" s="32" t="n"/>
      <c r="BA228" s="32" t="n"/>
      <c r="BB228" s="32" t="n"/>
      <c r="BC228" s="32" t="n"/>
      <c r="BD228" s="32" t="n"/>
      <c r="BE228" s="32" t="n"/>
      <c r="BF228" s="32" t="n"/>
      <c r="BG228" s="32" t="n"/>
      <c r="BH228" s="32" t="n"/>
      <c r="BI228" s="32" t="n"/>
    </row>
    <row r="229" ht="15.75" customHeight="1" s="252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  <c r="Z229" s="32" t="n"/>
      <c r="AA229" s="32" t="n"/>
      <c r="AB229" s="32" t="n"/>
      <c r="AC229" s="32" t="n"/>
      <c r="AD229" s="32" t="n"/>
      <c r="AE229" s="32" t="n"/>
      <c r="AF229" s="32" t="n"/>
      <c r="AG229" s="32" t="n"/>
      <c r="AH229" s="32" t="n"/>
      <c r="AI229" s="32" t="n"/>
      <c r="AJ229" s="32" t="n"/>
      <c r="AK229" s="32" t="n"/>
      <c r="AL229" s="32" t="n"/>
      <c r="AM229" s="32" t="n"/>
      <c r="AN229" s="32" t="n"/>
      <c r="AO229" s="32" t="n"/>
      <c r="AP229" s="32" t="n"/>
      <c r="AQ229" s="32" t="n"/>
      <c r="AR229" s="32" t="n"/>
      <c r="AS229" s="32" t="n"/>
      <c r="AT229" s="32" t="n"/>
      <c r="AU229" s="32" t="n"/>
      <c r="AV229" s="32" t="n"/>
      <c r="AW229" s="32" t="n"/>
      <c r="AX229" s="32" t="n"/>
      <c r="AY229" s="32" t="n"/>
      <c r="AZ229" s="32" t="n"/>
      <c r="BA229" s="32" t="n"/>
      <c r="BB229" s="32" t="n"/>
      <c r="BC229" s="32" t="n"/>
      <c r="BD229" s="32" t="n"/>
      <c r="BE229" s="32" t="n"/>
      <c r="BF229" s="32" t="n"/>
      <c r="BG229" s="32" t="n"/>
      <c r="BH229" s="32" t="n"/>
      <c r="BI229" s="32" t="n"/>
    </row>
    <row r="230" ht="15.75" customHeight="1" s="252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  <c r="Z230" s="32" t="n"/>
      <c r="AA230" s="32" t="n"/>
      <c r="AB230" s="32" t="n"/>
      <c r="AC230" s="32" t="n"/>
      <c r="AD230" s="32" t="n"/>
      <c r="AE230" s="32" t="n"/>
      <c r="AF230" s="32" t="n"/>
      <c r="AG230" s="32" t="n"/>
      <c r="AH230" s="32" t="n"/>
      <c r="AI230" s="32" t="n"/>
      <c r="AJ230" s="32" t="n"/>
      <c r="AK230" s="32" t="n"/>
      <c r="AL230" s="32" t="n"/>
      <c r="AM230" s="32" t="n"/>
      <c r="AN230" s="32" t="n"/>
      <c r="AO230" s="32" t="n"/>
      <c r="AP230" s="32" t="n"/>
      <c r="AQ230" s="32" t="n"/>
      <c r="AR230" s="32" t="n"/>
      <c r="AS230" s="32" t="n"/>
      <c r="AT230" s="32" t="n"/>
      <c r="AU230" s="32" t="n"/>
      <c r="AV230" s="32" t="n"/>
      <c r="AW230" s="32" t="n"/>
      <c r="AX230" s="32" t="n"/>
      <c r="AY230" s="32" t="n"/>
      <c r="AZ230" s="32" t="n"/>
      <c r="BA230" s="32" t="n"/>
      <c r="BB230" s="32" t="n"/>
      <c r="BC230" s="32" t="n"/>
      <c r="BD230" s="32" t="n"/>
      <c r="BE230" s="32" t="n"/>
      <c r="BF230" s="32" t="n"/>
      <c r="BG230" s="32" t="n"/>
      <c r="BH230" s="32" t="n"/>
      <c r="BI230" s="32" t="n"/>
    </row>
    <row r="231" ht="15.75" customHeight="1" s="252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  <c r="Z231" s="32" t="n"/>
      <c r="AA231" s="32" t="n"/>
      <c r="AB231" s="32" t="n"/>
      <c r="AC231" s="32" t="n"/>
      <c r="AD231" s="32" t="n"/>
      <c r="AE231" s="32" t="n"/>
      <c r="AF231" s="32" t="n"/>
      <c r="AG231" s="32" t="n"/>
      <c r="AH231" s="32" t="n"/>
      <c r="AI231" s="32" t="n"/>
      <c r="AJ231" s="32" t="n"/>
      <c r="AK231" s="32" t="n"/>
      <c r="AL231" s="32" t="n"/>
      <c r="AM231" s="32" t="n"/>
      <c r="AN231" s="32" t="n"/>
      <c r="AO231" s="32" t="n"/>
      <c r="AP231" s="32" t="n"/>
      <c r="AQ231" s="32" t="n"/>
      <c r="AR231" s="32" t="n"/>
      <c r="AS231" s="32" t="n"/>
      <c r="AT231" s="32" t="n"/>
      <c r="AU231" s="32" t="n"/>
      <c r="AV231" s="32" t="n"/>
      <c r="AW231" s="32" t="n"/>
      <c r="AX231" s="32" t="n"/>
      <c r="AY231" s="32" t="n"/>
      <c r="AZ231" s="32" t="n"/>
      <c r="BA231" s="32" t="n"/>
      <c r="BB231" s="32" t="n"/>
      <c r="BC231" s="32" t="n"/>
      <c r="BD231" s="32" t="n"/>
      <c r="BE231" s="32" t="n"/>
      <c r="BF231" s="32" t="n"/>
      <c r="BG231" s="32" t="n"/>
      <c r="BH231" s="32" t="n"/>
      <c r="BI231" s="32" t="n"/>
    </row>
    <row r="232" ht="15.75" customHeight="1" s="252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  <c r="AA232" s="32" t="n"/>
      <c r="AB232" s="32" t="n"/>
      <c r="AC232" s="32" t="n"/>
      <c r="AD232" s="32" t="n"/>
      <c r="AE232" s="32" t="n"/>
      <c r="AF232" s="32" t="n"/>
      <c r="AG232" s="32" t="n"/>
      <c r="AH232" s="32" t="n"/>
      <c r="AI232" s="32" t="n"/>
      <c r="AJ232" s="32" t="n"/>
      <c r="AK232" s="32" t="n"/>
      <c r="AL232" s="32" t="n"/>
      <c r="AM232" s="32" t="n"/>
      <c r="AN232" s="32" t="n"/>
      <c r="AO232" s="32" t="n"/>
      <c r="AP232" s="32" t="n"/>
      <c r="AQ232" s="32" t="n"/>
      <c r="AR232" s="32" t="n"/>
      <c r="AS232" s="32" t="n"/>
      <c r="AT232" s="32" t="n"/>
      <c r="AU232" s="32" t="n"/>
      <c r="AV232" s="32" t="n"/>
      <c r="AW232" s="32" t="n"/>
      <c r="AX232" s="32" t="n"/>
      <c r="AY232" s="32" t="n"/>
      <c r="AZ232" s="32" t="n"/>
      <c r="BA232" s="32" t="n"/>
      <c r="BB232" s="32" t="n"/>
      <c r="BC232" s="32" t="n"/>
      <c r="BD232" s="32" t="n"/>
      <c r="BE232" s="32" t="n"/>
      <c r="BF232" s="32" t="n"/>
      <c r="BG232" s="32" t="n"/>
      <c r="BH232" s="32" t="n"/>
      <c r="BI232" s="32" t="n"/>
    </row>
    <row r="233" ht="15.75" customHeight="1" s="252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  <c r="AA233" s="32" t="n"/>
      <c r="AB233" s="32" t="n"/>
      <c r="AC233" s="32" t="n"/>
      <c r="AD233" s="32" t="n"/>
      <c r="AE233" s="32" t="n"/>
      <c r="AF233" s="32" t="n"/>
      <c r="AG233" s="32" t="n"/>
      <c r="AH233" s="32" t="n"/>
      <c r="AI233" s="32" t="n"/>
      <c r="AJ233" s="32" t="n"/>
      <c r="AK233" s="32" t="n"/>
      <c r="AL233" s="32" t="n"/>
      <c r="AM233" s="32" t="n"/>
      <c r="AN233" s="32" t="n"/>
      <c r="AO233" s="32" t="n"/>
      <c r="AP233" s="32" t="n"/>
      <c r="AQ233" s="32" t="n"/>
      <c r="AR233" s="32" t="n"/>
      <c r="AS233" s="32" t="n"/>
      <c r="AT233" s="32" t="n"/>
      <c r="AU233" s="32" t="n"/>
      <c r="AV233" s="32" t="n"/>
      <c r="AW233" s="32" t="n"/>
      <c r="AX233" s="32" t="n"/>
      <c r="AY233" s="32" t="n"/>
      <c r="AZ233" s="32" t="n"/>
      <c r="BA233" s="32" t="n"/>
      <c r="BB233" s="32" t="n"/>
      <c r="BC233" s="32" t="n"/>
      <c r="BD233" s="32" t="n"/>
      <c r="BE233" s="32" t="n"/>
      <c r="BF233" s="32" t="n"/>
      <c r="BG233" s="32" t="n"/>
      <c r="BH233" s="32" t="n"/>
      <c r="BI233" s="32" t="n"/>
    </row>
    <row r="234" ht="15.75" customHeight="1" s="252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  <c r="Z234" s="32" t="n"/>
      <c r="AA234" s="32" t="n"/>
      <c r="AB234" s="32" t="n"/>
      <c r="AC234" s="32" t="n"/>
      <c r="AD234" s="32" t="n"/>
      <c r="AE234" s="32" t="n"/>
      <c r="AF234" s="32" t="n"/>
      <c r="AG234" s="32" t="n"/>
      <c r="AH234" s="32" t="n"/>
      <c r="AI234" s="32" t="n"/>
      <c r="AJ234" s="32" t="n"/>
      <c r="AK234" s="32" t="n"/>
      <c r="AL234" s="32" t="n"/>
      <c r="AM234" s="32" t="n"/>
      <c r="AN234" s="32" t="n"/>
      <c r="AO234" s="32" t="n"/>
      <c r="AP234" s="32" t="n"/>
      <c r="AQ234" s="32" t="n"/>
      <c r="AR234" s="32" t="n"/>
      <c r="AS234" s="32" t="n"/>
      <c r="AT234" s="32" t="n"/>
      <c r="AU234" s="32" t="n"/>
      <c r="AV234" s="32" t="n"/>
      <c r="AW234" s="32" t="n"/>
      <c r="AX234" s="32" t="n"/>
      <c r="AY234" s="32" t="n"/>
      <c r="AZ234" s="32" t="n"/>
      <c r="BA234" s="32" t="n"/>
      <c r="BB234" s="32" t="n"/>
      <c r="BC234" s="32" t="n"/>
      <c r="BD234" s="32" t="n"/>
      <c r="BE234" s="32" t="n"/>
      <c r="BF234" s="32" t="n"/>
      <c r="BG234" s="32" t="n"/>
      <c r="BH234" s="32" t="n"/>
      <c r="BI234" s="32" t="n"/>
    </row>
    <row r="235" ht="15.75" customHeight="1" s="252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  <c r="Z235" s="32" t="n"/>
      <c r="AA235" s="32" t="n"/>
      <c r="AB235" s="32" t="n"/>
      <c r="AC235" s="32" t="n"/>
      <c r="AD235" s="32" t="n"/>
      <c r="AE235" s="32" t="n"/>
      <c r="AF235" s="32" t="n"/>
      <c r="AG235" s="32" t="n"/>
      <c r="AH235" s="32" t="n"/>
      <c r="AI235" s="32" t="n"/>
      <c r="AJ235" s="32" t="n"/>
      <c r="AK235" s="32" t="n"/>
      <c r="AL235" s="32" t="n"/>
      <c r="AM235" s="32" t="n"/>
      <c r="AN235" s="32" t="n"/>
      <c r="AO235" s="32" t="n"/>
      <c r="AP235" s="32" t="n"/>
      <c r="AQ235" s="32" t="n"/>
      <c r="AR235" s="32" t="n"/>
      <c r="AS235" s="32" t="n"/>
      <c r="AT235" s="32" t="n"/>
      <c r="AU235" s="32" t="n"/>
      <c r="AV235" s="32" t="n"/>
      <c r="AW235" s="32" t="n"/>
      <c r="AX235" s="32" t="n"/>
      <c r="AY235" s="32" t="n"/>
      <c r="AZ235" s="32" t="n"/>
      <c r="BA235" s="32" t="n"/>
      <c r="BB235" s="32" t="n"/>
      <c r="BC235" s="32" t="n"/>
      <c r="BD235" s="32" t="n"/>
      <c r="BE235" s="32" t="n"/>
      <c r="BF235" s="32" t="n"/>
      <c r="BG235" s="32" t="n"/>
      <c r="BH235" s="32" t="n"/>
      <c r="BI235" s="32" t="n"/>
    </row>
    <row r="236" ht="15.75" customHeight="1" s="252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  <c r="Z236" s="32" t="n"/>
      <c r="AA236" s="32" t="n"/>
      <c r="AB236" s="32" t="n"/>
      <c r="AC236" s="32" t="n"/>
      <c r="AD236" s="32" t="n"/>
      <c r="AE236" s="32" t="n"/>
      <c r="AF236" s="32" t="n"/>
      <c r="AG236" s="32" t="n"/>
      <c r="AH236" s="32" t="n"/>
      <c r="AI236" s="32" t="n"/>
      <c r="AJ236" s="32" t="n"/>
      <c r="AK236" s="32" t="n"/>
      <c r="AL236" s="32" t="n"/>
      <c r="AM236" s="32" t="n"/>
      <c r="AN236" s="32" t="n"/>
      <c r="AO236" s="32" t="n"/>
      <c r="AP236" s="32" t="n"/>
      <c r="AQ236" s="32" t="n"/>
      <c r="AR236" s="32" t="n"/>
      <c r="AS236" s="32" t="n"/>
      <c r="AT236" s="32" t="n"/>
      <c r="AU236" s="32" t="n"/>
      <c r="AV236" s="32" t="n"/>
      <c r="AW236" s="32" t="n"/>
      <c r="AX236" s="32" t="n"/>
      <c r="AY236" s="32" t="n"/>
      <c r="AZ236" s="32" t="n"/>
      <c r="BA236" s="32" t="n"/>
      <c r="BB236" s="32" t="n"/>
      <c r="BC236" s="32" t="n"/>
      <c r="BD236" s="32" t="n"/>
      <c r="BE236" s="32" t="n"/>
      <c r="BF236" s="32" t="n"/>
      <c r="BG236" s="32" t="n"/>
      <c r="BH236" s="32" t="n"/>
      <c r="BI236" s="32" t="n"/>
    </row>
    <row r="237" ht="15.75" customHeight="1" s="252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n"/>
      <c r="AA237" s="32" t="n"/>
      <c r="AB237" s="32" t="n"/>
      <c r="AC237" s="32" t="n"/>
      <c r="AD237" s="32" t="n"/>
      <c r="AE237" s="32" t="n"/>
      <c r="AF237" s="32" t="n"/>
      <c r="AG237" s="32" t="n"/>
      <c r="AH237" s="32" t="n"/>
      <c r="AI237" s="32" t="n"/>
      <c r="AJ237" s="32" t="n"/>
      <c r="AK237" s="32" t="n"/>
      <c r="AL237" s="32" t="n"/>
      <c r="AM237" s="32" t="n"/>
      <c r="AN237" s="32" t="n"/>
      <c r="AO237" s="32" t="n"/>
      <c r="AP237" s="32" t="n"/>
      <c r="AQ237" s="32" t="n"/>
      <c r="AR237" s="32" t="n"/>
      <c r="AS237" s="32" t="n"/>
      <c r="AT237" s="32" t="n"/>
      <c r="AU237" s="32" t="n"/>
      <c r="AV237" s="32" t="n"/>
      <c r="AW237" s="32" t="n"/>
      <c r="AX237" s="32" t="n"/>
      <c r="AY237" s="32" t="n"/>
      <c r="AZ237" s="32" t="n"/>
      <c r="BA237" s="32" t="n"/>
      <c r="BB237" s="32" t="n"/>
      <c r="BC237" s="32" t="n"/>
      <c r="BD237" s="32" t="n"/>
      <c r="BE237" s="32" t="n"/>
      <c r="BF237" s="32" t="n"/>
      <c r="BG237" s="32" t="n"/>
      <c r="BH237" s="32" t="n"/>
      <c r="BI237" s="32" t="n"/>
    </row>
    <row r="238" ht="15.75" customHeight="1" s="252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  <c r="Z238" s="32" t="n"/>
      <c r="AA238" s="32" t="n"/>
      <c r="AB238" s="32" t="n"/>
      <c r="AC238" s="32" t="n"/>
      <c r="AD238" s="32" t="n"/>
      <c r="AE238" s="32" t="n"/>
      <c r="AF238" s="32" t="n"/>
      <c r="AG238" s="32" t="n"/>
      <c r="AH238" s="32" t="n"/>
      <c r="AI238" s="32" t="n"/>
      <c r="AJ238" s="32" t="n"/>
      <c r="AK238" s="32" t="n"/>
      <c r="AL238" s="32" t="n"/>
      <c r="AM238" s="32" t="n"/>
      <c r="AN238" s="32" t="n"/>
      <c r="AO238" s="32" t="n"/>
      <c r="AP238" s="32" t="n"/>
      <c r="AQ238" s="32" t="n"/>
      <c r="AR238" s="32" t="n"/>
      <c r="AS238" s="32" t="n"/>
      <c r="AT238" s="32" t="n"/>
      <c r="AU238" s="32" t="n"/>
      <c r="AV238" s="32" t="n"/>
      <c r="AW238" s="32" t="n"/>
      <c r="AX238" s="32" t="n"/>
      <c r="AY238" s="32" t="n"/>
      <c r="AZ238" s="32" t="n"/>
      <c r="BA238" s="32" t="n"/>
      <c r="BB238" s="32" t="n"/>
      <c r="BC238" s="32" t="n"/>
      <c r="BD238" s="32" t="n"/>
      <c r="BE238" s="32" t="n"/>
      <c r="BF238" s="32" t="n"/>
      <c r="BG238" s="32" t="n"/>
      <c r="BH238" s="32" t="n"/>
      <c r="BI238" s="32" t="n"/>
    </row>
    <row r="239" ht="15.75" customHeight="1" s="252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  <c r="Z239" s="32" t="n"/>
      <c r="AA239" s="32" t="n"/>
      <c r="AB239" s="32" t="n"/>
      <c r="AC239" s="32" t="n"/>
      <c r="AD239" s="32" t="n"/>
      <c r="AE239" s="32" t="n"/>
      <c r="AF239" s="32" t="n"/>
      <c r="AG239" s="32" t="n"/>
      <c r="AH239" s="32" t="n"/>
      <c r="AI239" s="32" t="n"/>
      <c r="AJ239" s="32" t="n"/>
      <c r="AK239" s="32" t="n"/>
      <c r="AL239" s="32" t="n"/>
      <c r="AM239" s="32" t="n"/>
      <c r="AN239" s="32" t="n"/>
      <c r="AO239" s="32" t="n"/>
      <c r="AP239" s="32" t="n"/>
      <c r="AQ239" s="32" t="n"/>
      <c r="AR239" s="32" t="n"/>
      <c r="AS239" s="32" t="n"/>
      <c r="AT239" s="32" t="n"/>
      <c r="AU239" s="32" t="n"/>
      <c r="AV239" s="32" t="n"/>
      <c r="AW239" s="32" t="n"/>
      <c r="AX239" s="32" t="n"/>
      <c r="AY239" s="32" t="n"/>
      <c r="AZ239" s="32" t="n"/>
      <c r="BA239" s="32" t="n"/>
      <c r="BB239" s="32" t="n"/>
      <c r="BC239" s="32" t="n"/>
      <c r="BD239" s="32" t="n"/>
      <c r="BE239" s="32" t="n"/>
      <c r="BF239" s="32" t="n"/>
      <c r="BG239" s="32" t="n"/>
      <c r="BH239" s="32" t="n"/>
      <c r="BI239" s="32" t="n"/>
    </row>
    <row r="240" ht="15.75" customHeight="1" s="252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n"/>
      <c r="AA240" s="32" t="n"/>
      <c r="AB240" s="32" t="n"/>
      <c r="AC240" s="32" t="n"/>
      <c r="AD240" s="32" t="n"/>
      <c r="AE240" s="32" t="n"/>
      <c r="AF240" s="32" t="n"/>
      <c r="AG240" s="32" t="n"/>
      <c r="AH240" s="32" t="n"/>
      <c r="AI240" s="32" t="n"/>
      <c r="AJ240" s="32" t="n"/>
      <c r="AK240" s="32" t="n"/>
      <c r="AL240" s="32" t="n"/>
      <c r="AM240" s="32" t="n"/>
      <c r="AN240" s="32" t="n"/>
      <c r="AO240" s="32" t="n"/>
      <c r="AP240" s="32" t="n"/>
      <c r="AQ240" s="32" t="n"/>
      <c r="AR240" s="32" t="n"/>
      <c r="AS240" s="32" t="n"/>
      <c r="AT240" s="32" t="n"/>
      <c r="AU240" s="32" t="n"/>
      <c r="AV240" s="32" t="n"/>
      <c r="AW240" s="32" t="n"/>
      <c r="AX240" s="32" t="n"/>
      <c r="AY240" s="32" t="n"/>
      <c r="AZ240" s="32" t="n"/>
      <c r="BA240" s="32" t="n"/>
      <c r="BB240" s="32" t="n"/>
      <c r="BC240" s="32" t="n"/>
      <c r="BD240" s="32" t="n"/>
      <c r="BE240" s="32" t="n"/>
      <c r="BF240" s="32" t="n"/>
      <c r="BG240" s="32" t="n"/>
      <c r="BH240" s="32" t="n"/>
      <c r="BI240" s="32" t="n"/>
    </row>
    <row r="241" ht="15.75" customHeight="1" s="252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  <c r="Z241" s="32" t="n"/>
      <c r="AA241" s="32" t="n"/>
      <c r="AB241" s="32" t="n"/>
      <c r="AC241" s="32" t="n"/>
      <c r="AD241" s="32" t="n"/>
      <c r="AE241" s="32" t="n"/>
      <c r="AF241" s="32" t="n"/>
      <c r="AG241" s="32" t="n"/>
      <c r="AH241" s="32" t="n"/>
      <c r="AI241" s="32" t="n"/>
      <c r="AJ241" s="32" t="n"/>
      <c r="AK241" s="32" t="n"/>
      <c r="AL241" s="32" t="n"/>
      <c r="AM241" s="32" t="n"/>
      <c r="AN241" s="32" t="n"/>
      <c r="AO241" s="32" t="n"/>
      <c r="AP241" s="32" t="n"/>
      <c r="AQ241" s="32" t="n"/>
      <c r="AR241" s="32" t="n"/>
      <c r="AS241" s="32" t="n"/>
      <c r="AT241" s="32" t="n"/>
      <c r="AU241" s="32" t="n"/>
      <c r="AV241" s="32" t="n"/>
      <c r="AW241" s="32" t="n"/>
      <c r="AX241" s="32" t="n"/>
      <c r="AY241" s="32" t="n"/>
      <c r="AZ241" s="32" t="n"/>
      <c r="BA241" s="32" t="n"/>
      <c r="BB241" s="32" t="n"/>
      <c r="BC241" s="32" t="n"/>
      <c r="BD241" s="32" t="n"/>
      <c r="BE241" s="32" t="n"/>
      <c r="BF241" s="32" t="n"/>
      <c r="BG241" s="32" t="n"/>
      <c r="BH241" s="32" t="n"/>
      <c r="BI241" s="32" t="n"/>
    </row>
    <row r="242" ht="15.75" customHeight="1" s="252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  <c r="AA242" s="32" t="n"/>
      <c r="AB242" s="32" t="n"/>
      <c r="AC242" s="32" t="n"/>
      <c r="AD242" s="32" t="n"/>
      <c r="AE242" s="32" t="n"/>
      <c r="AF242" s="32" t="n"/>
      <c r="AG242" s="32" t="n"/>
      <c r="AH242" s="32" t="n"/>
      <c r="AI242" s="32" t="n"/>
      <c r="AJ242" s="32" t="n"/>
      <c r="AK242" s="32" t="n"/>
      <c r="AL242" s="32" t="n"/>
      <c r="AM242" s="32" t="n"/>
      <c r="AN242" s="32" t="n"/>
      <c r="AO242" s="32" t="n"/>
      <c r="AP242" s="32" t="n"/>
      <c r="AQ242" s="32" t="n"/>
      <c r="AR242" s="32" t="n"/>
      <c r="AS242" s="32" t="n"/>
      <c r="AT242" s="32" t="n"/>
      <c r="AU242" s="32" t="n"/>
      <c r="AV242" s="32" t="n"/>
      <c r="AW242" s="32" t="n"/>
      <c r="AX242" s="32" t="n"/>
      <c r="AY242" s="32" t="n"/>
      <c r="AZ242" s="32" t="n"/>
      <c r="BA242" s="32" t="n"/>
      <c r="BB242" s="32" t="n"/>
      <c r="BC242" s="32" t="n"/>
      <c r="BD242" s="32" t="n"/>
      <c r="BE242" s="32" t="n"/>
      <c r="BF242" s="32" t="n"/>
      <c r="BG242" s="32" t="n"/>
      <c r="BH242" s="32" t="n"/>
      <c r="BI242" s="32" t="n"/>
    </row>
    <row r="243" ht="15.75" customHeight="1" s="252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  <c r="Z243" s="32" t="n"/>
      <c r="AA243" s="32" t="n"/>
      <c r="AB243" s="32" t="n"/>
      <c r="AC243" s="32" t="n"/>
      <c r="AD243" s="32" t="n"/>
      <c r="AE243" s="32" t="n"/>
      <c r="AF243" s="32" t="n"/>
      <c r="AG243" s="32" t="n"/>
      <c r="AH243" s="32" t="n"/>
      <c r="AI243" s="32" t="n"/>
      <c r="AJ243" s="32" t="n"/>
      <c r="AK243" s="32" t="n"/>
      <c r="AL243" s="32" t="n"/>
      <c r="AM243" s="32" t="n"/>
      <c r="AN243" s="32" t="n"/>
      <c r="AO243" s="32" t="n"/>
      <c r="AP243" s="32" t="n"/>
      <c r="AQ243" s="32" t="n"/>
      <c r="AR243" s="32" t="n"/>
      <c r="AS243" s="32" t="n"/>
      <c r="AT243" s="32" t="n"/>
      <c r="AU243" s="32" t="n"/>
      <c r="AV243" s="32" t="n"/>
      <c r="AW243" s="32" t="n"/>
      <c r="AX243" s="32" t="n"/>
      <c r="AY243" s="32" t="n"/>
      <c r="AZ243" s="32" t="n"/>
      <c r="BA243" s="32" t="n"/>
      <c r="BB243" s="32" t="n"/>
      <c r="BC243" s="32" t="n"/>
      <c r="BD243" s="32" t="n"/>
      <c r="BE243" s="32" t="n"/>
      <c r="BF243" s="32" t="n"/>
      <c r="BG243" s="32" t="n"/>
      <c r="BH243" s="32" t="n"/>
      <c r="BI243" s="32" t="n"/>
    </row>
    <row r="244" ht="15.75" customHeight="1" s="252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  <c r="AA244" s="32" t="n"/>
      <c r="AB244" s="32" t="n"/>
      <c r="AC244" s="32" t="n"/>
      <c r="AD244" s="32" t="n"/>
      <c r="AE244" s="32" t="n"/>
      <c r="AF244" s="32" t="n"/>
      <c r="AG244" s="32" t="n"/>
      <c r="AH244" s="32" t="n"/>
      <c r="AI244" s="32" t="n"/>
      <c r="AJ244" s="32" t="n"/>
      <c r="AK244" s="32" t="n"/>
      <c r="AL244" s="32" t="n"/>
      <c r="AM244" s="32" t="n"/>
      <c r="AN244" s="32" t="n"/>
      <c r="AO244" s="32" t="n"/>
      <c r="AP244" s="32" t="n"/>
      <c r="AQ244" s="32" t="n"/>
      <c r="AR244" s="32" t="n"/>
      <c r="AS244" s="32" t="n"/>
      <c r="AT244" s="32" t="n"/>
      <c r="AU244" s="32" t="n"/>
      <c r="AV244" s="32" t="n"/>
      <c r="AW244" s="32" t="n"/>
      <c r="AX244" s="32" t="n"/>
      <c r="AY244" s="32" t="n"/>
      <c r="AZ244" s="32" t="n"/>
      <c r="BA244" s="32" t="n"/>
      <c r="BB244" s="32" t="n"/>
      <c r="BC244" s="32" t="n"/>
      <c r="BD244" s="32" t="n"/>
      <c r="BE244" s="32" t="n"/>
      <c r="BF244" s="32" t="n"/>
      <c r="BG244" s="32" t="n"/>
      <c r="BH244" s="32" t="n"/>
      <c r="BI244" s="32" t="n"/>
    </row>
    <row r="245" ht="15.75" customHeight="1" s="252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  <c r="Z245" s="32" t="n"/>
      <c r="AA245" s="32" t="n"/>
      <c r="AB245" s="32" t="n"/>
      <c r="AC245" s="32" t="n"/>
      <c r="AD245" s="32" t="n"/>
      <c r="AE245" s="32" t="n"/>
      <c r="AF245" s="32" t="n"/>
      <c r="AG245" s="32" t="n"/>
      <c r="AH245" s="32" t="n"/>
      <c r="AI245" s="32" t="n"/>
      <c r="AJ245" s="32" t="n"/>
      <c r="AK245" s="32" t="n"/>
      <c r="AL245" s="32" t="n"/>
      <c r="AM245" s="32" t="n"/>
      <c r="AN245" s="32" t="n"/>
      <c r="AO245" s="32" t="n"/>
      <c r="AP245" s="32" t="n"/>
      <c r="AQ245" s="32" t="n"/>
      <c r="AR245" s="32" t="n"/>
      <c r="AS245" s="32" t="n"/>
      <c r="AT245" s="32" t="n"/>
      <c r="AU245" s="32" t="n"/>
      <c r="AV245" s="32" t="n"/>
      <c r="AW245" s="32" t="n"/>
      <c r="AX245" s="32" t="n"/>
      <c r="AY245" s="32" t="n"/>
      <c r="AZ245" s="32" t="n"/>
      <c r="BA245" s="32" t="n"/>
      <c r="BB245" s="32" t="n"/>
      <c r="BC245" s="32" t="n"/>
      <c r="BD245" s="32" t="n"/>
      <c r="BE245" s="32" t="n"/>
      <c r="BF245" s="32" t="n"/>
      <c r="BG245" s="32" t="n"/>
      <c r="BH245" s="32" t="n"/>
      <c r="BI245" s="32" t="n"/>
    </row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BN67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baseColWidth="8" defaultColWidth="12.63" defaultRowHeight="15" customHeight="1" outlineLevelRow="1"/>
  <cols>
    <col width="17.38" customWidth="1" style="252" min="1" max="1"/>
    <col width="12.63" customWidth="1" style="252" min="2" max="5"/>
    <col width="24.75" customWidth="1" style="252" min="6" max="6"/>
    <col width="15.88" customWidth="1" style="252" min="7" max="7"/>
    <col width="21.63" customWidth="1" style="252" min="8" max="8"/>
    <col width="12.63" customWidth="1" style="252" min="9" max="9"/>
    <col width="10.5" customWidth="1" style="252" min="11" max="12"/>
    <col width="16.88" customWidth="1" style="252" min="18" max="18"/>
    <col width="26.13" customWidth="1" style="252" min="22" max="22"/>
    <col width="19.5" customWidth="1" style="252" min="32" max="32"/>
    <col width="13.88" customWidth="1" style="252" min="33" max="34"/>
  </cols>
  <sheetData>
    <row r="1" outlineLevel="1" ht="15.75" customHeight="1" s="252">
      <c r="A1" s="107" t="inlineStr">
        <is>
          <t>AUM Before</t>
        </is>
      </c>
      <c r="B1" s="108" t="n"/>
      <c r="C1" s="108" t="n"/>
      <c r="D1" s="109" t="n">
        <v>0</v>
      </c>
      <c r="E1" s="109">
        <f>(D3*8.5%/12/30*14)+D3</f>
        <v/>
      </c>
      <c r="F1" s="109" t="n">
        <v>136384.9</v>
      </c>
      <c r="G1" s="109" t="n">
        <v>995679.39</v>
      </c>
      <c r="H1" s="109" t="n">
        <v>1243863</v>
      </c>
      <c r="I1" s="109" t="n">
        <v>1827189</v>
      </c>
      <c r="J1" s="109" t="n">
        <v>1828196</v>
      </c>
      <c r="K1" s="109" t="n">
        <v>1975715</v>
      </c>
      <c r="L1" s="109" t="n">
        <v>2004890</v>
      </c>
      <c r="M1" s="109" t="n">
        <v>2124583</v>
      </c>
      <c r="N1" s="109" t="n">
        <v>2138665</v>
      </c>
      <c r="O1" s="109" t="n">
        <v>2153219</v>
      </c>
      <c r="P1" s="109" t="n">
        <v>2155208</v>
      </c>
      <c r="Q1" s="109" t="n">
        <v>2159126</v>
      </c>
      <c r="R1" s="109" t="n">
        <v>2181753</v>
      </c>
      <c r="S1" s="109" t="n">
        <v>2156595</v>
      </c>
      <c r="T1" s="109" t="n">
        <v>2259974</v>
      </c>
      <c r="U1" s="109" t="n">
        <v>2374584</v>
      </c>
      <c r="V1" s="109" t="n">
        <v>2375129</v>
      </c>
      <c r="W1" s="109" t="n">
        <v>2261906</v>
      </c>
      <c r="X1" s="109" t="n">
        <v>2300362</v>
      </c>
      <c r="Y1" s="109" t="n">
        <v>3141094</v>
      </c>
      <c r="Z1" s="109" t="n">
        <v>3096047</v>
      </c>
      <c r="AA1" s="109" t="n">
        <v>3402181</v>
      </c>
      <c r="AB1" s="109" t="n">
        <v>3357086</v>
      </c>
      <c r="AC1" s="109" t="n">
        <v>3407816</v>
      </c>
      <c r="AD1" s="109" t="n">
        <v>3337879</v>
      </c>
      <c r="AE1" s="109" t="n">
        <v>3444580</v>
      </c>
      <c r="AF1" s="109" t="n">
        <v>3448495</v>
      </c>
      <c r="AG1" s="109" t="n">
        <v>3302426</v>
      </c>
      <c r="AH1" s="109" t="n">
        <v>3307337</v>
      </c>
      <c r="AI1" s="109" t="n">
        <v>3194608</v>
      </c>
      <c r="AJ1" s="109" t="n">
        <v>7402657</v>
      </c>
      <c r="AK1" s="109" t="n">
        <v>8003972</v>
      </c>
      <c r="AL1" s="109" t="n">
        <v>8420322</v>
      </c>
      <c r="AM1" s="109" t="n">
        <v>8420322</v>
      </c>
      <c r="AN1" s="109" t="n">
        <v>9133049</v>
      </c>
      <c r="AO1" s="109" t="n">
        <v>9113619</v>
      </c>
      <c r="AP1" s="109" t="n">
        <v>9672597</v>
      </c>
      <c r="AQ1" s="109" t="n">
        <v>9801255</v>
      </c>
      <c r="AR1" s="109" t="n">
        <v>10325522</v>
      </c>
      <c r="AS1" s="109" t="n">
        <v>10336447</v>
      </c>
      <c r="AT1" s="109" t="n">
        <v>10436447</v>
      </c>
      <c r="AU1" s="37" t="n"/>
      <c r="AV1" s="37" t="n"/>
      <c r="AW1" s="37" t="n"/>
      <c r="AX1" s="37" t="n"/>
      <c r="AY1" s="37" t="n"/>
      <c r="AZ1" s="37" t="n"/>
      <c r="BA1" s="37" t="n"/>
      <c r="BB1" s="37" t="n"/>
      <c r="BC1" s="37" t="n"/>
      <c r="BD1" s="37" t="n"/>
      <c r="BE1" s="37" t="n"/>
      <c r="BF1" s="37" t="n"/>
      <c r="BG1" s="37" t="n"/>
      <c r="BH1" s="37" t="n"/>
      <c r="BI1" s="37" t="n"/>
      <c r="BJ1" s="37" t="n"/>
      <c r="BK1" s="37" t="n"/>
      <c r="BL1" s="37" t="n"/>
      <c r="BM1" s="37" t="n"/>
      <c r="BN1" s="37" t="n"/>
    </row>
    <row r="2" outlineLevel="1" ht="15.75" customHeight="1" s="252">
      <c r="A2" s="107" t="inlineStr">
        <is>
          <t>Top Up / Withdrawals</t>
        </is>
      </c>
      <c r="B2" s="108" t="n"/>
      <c r="C2" s="108" t="n"/>
      <c r="D2" s="110">
        <f>SUMIFS(Investments!$D:$D,Investments!$C:$C,"USDT",Investments!$A:$A,D$8)</f>
        <v/>
      </c>
      <c r="E2" s="110">
        <f>SUMIFS(Investments!$D:$D,Investments!$C:$C,"USDT",Investments!$A:$A,E$8)</f>
        <v/>
      </c>
      <c r="F2" s="110">
        <f>SUMIFS(Investments!$D:$D,Investments!$C:$C,"USDT",Investments!$A:$A,F$8)</f>
        <v/>
      </c>
      <c r="G2" s="110">
        <f>SUMIFS(Investments!$D:$D,Investments!$C:$C,"USDT",Investments!$A:$A,G$8)</f>
        <v/>
      </c>
      <c r="H2" s="110">
        <f>SUMIFS(Investments!$D:$D,Investments!$C:$C,"USDT",Investments!$A:$A,H$8)</f>
        <v/>
      </c>
      <c r="I2" s="110">
        <f>SUMIFS(Investments!$D:$D,Investments!$C:$C,"USDT",Investments!$A:$A,I$8)</f>
        <v/>
      </c>
      <c r="J2" s="110">
        <f>SUMIFS(Investments!$D:$D,Investments!$C:$C,"USDT",Investments!$A:$A,J$8)</f>
        <v/>
      </c>
      <c r="K2" s="110">
        <f>SUMIFS(Investments!$D:$D,Investments!$C:$C,"USDT",Investments!$A:$A,K$8)</f>
        <v/>
      </c>
      <c r="L2" s="110">
        <f>SUMIFS(Investments!$D:$D,Investments!$C:$C,"USDT",Investments!$A:$A,L$8)</f>
        <v/>
      </c>
      <c r="M2" s="110">
        <f>SUMIFS(Investments!$D:$D,Investments!$C:$C,"USDT",Investments!$A:$A,M$8)</f>
        <v/>
      </c>
      <c r="N2" s="110">
        <f>SUMIFS(Investments!$D:$D,Investments!$C:$C,"USDT",Investments!$A:$A,N$8)</f>
        <v/>
      </c>
      <c r="O2" s="110">
        <f>SUMIFS(Investments!$D:$D,Investments!$C:$C,"USDT",Investments!$A:$A,O$8)</f>
        <v/>
      </c>
      <c r="P2" s="110">
        <f>SUMIFS(Investments!$D:$D,Investments!$C:$C,"USDT",Investments!$A:$A,P$8)</f>
        <v/>
      </c>
      <c r="Q2" s="110">
        <f>SUMIFS(Investments!$D:$D,Investments!$C:$C,"USDT",Investments!$A:$A,Q$8)</f>
        <v/>
      </c>
      <c r="R2" s="110">
        <f>SUMIFS(Investments!$D:$D,Investments!$C:$C,"USDT",Investments!$A:$A,R$8)</f>
        <v/>
      </c>
      <c r="S2" s="110">
        <f>SUMIFS(Investments!$D:$D,Investments!$C:$C,"USDT",Investments!$A:$A,S$8)</f>
        <v/>
      </c>
      <c r="T2" s="110">
        <f>SUMIFS(Investments!$D:$D,Investments!$C:$C,"USDT",Investments!$A:$A,T$8)</f>
        <v/>
      </c>
      <c r="U2" s="110">
        <f>SUMIFS(Investments!$D:$D,Investments!$C:$C,"USDT",Investments!$A:$A,U$8)</f>
        <v/>
      </c>
      <c r="V2" s="110">
        <f>SUMIFS(Investments!$D:$D,Investments!$C:$C,"USDT",Investments!$A:$A,V$8)</f>
        <v/>
      </c>
      <c r="W2" s="110">
        <f>SUMIFS(Investments!$D:$D,Investments!$C:$C,"USDT",Investments!$A:$A,W$8)</f>
        <v/>
      </c>
      <c r="X2" s="110">
        <f>SUMIFS(Investments!$D:$D,Investments!$C:$C,"USDT",Investments!$A:$A,X$8)</f>
        <v/>
      </c>
      <c r="Y2" s="110">
        <f>SUMIFS(Investments!$D:$D,Investments!$C:$C,"USDT",Investments!$A:$A,Y$8)</f>
        <v/>
      </c>
      <c r="Z2" s="110">
        <f>SUMIFS(Investments!$D:$D,Investments!$C:$C,"USDT",Investments!$A:$A,Z$8)</f>
        <v/>
      </c>
      <c r="AA2" s="110">
        <f>SUMIFS(Investments!$D:$D,Investments!$C:$C,"USDT",Investments!$A:$A,AA$8)</f>
        <v/>
      </c>
      <c r="AB2" s="110">
        <f>SUMIFS(Investments!$D:$D,Investments!$C:$C,"USDT",Investments!$A:$A,AB$8)</f>
        <v/>
      </c>
      <c r="AC2" s="110">
        <f>SUMIFS(Investments!$D:$D,Investments!$C:$C,"USDT",Investments!$A:$A,AC$8)</f>
        <v/>
      </c>
      <c r="AD2" s="110">
        <f>SUMIFS(Investments!$D:$D,Investments!$C:$C,"USDT",Investments!$A:$A,AD$8)</f>
        <v/>
      </c>
      <c r="AE2" s="110">
        <f>SUMIFS(Investments!$D:$D,Investments!$C:$C,"USDT",Investments!$A:$A,AE$8)</f>
        <v/>
      </c>
      <c r="AF2" s="110">
        <f>SUMIFS(Investments!$D:$D,Investments!$C:$C,"USDT",Investments!$A:$A,AF$8)</f>
        <v/>
      </c>
      <c r="AG2" s="110">
        <f>SUMIFS(Investments!$D:$D,Investments!$C:$C,"USDT",Investments!$A:$A,AG$8)</f>
        <v/>
      </c>
      <c r="AH2" s="110">
        <f>SUMIFS(Investments!$D:$D,Investments!$C:$C,"USDT",Investments!$A:$A,AH$8)</f>
        <v/>
      </c>
      <c r="AI2" s="110">
        <f>SUMIFS(Investments!$D:$D,Investments!$C:$C,"USDT",Investments!$A:$A,AI$8)</f>
        <v/>
      </c>
      <c r="AJ2" s="110">
        <f>SUMIFS(Investments!$D:$D,Investments!$C:$C,"USDT",Investments!$A:$A,AJ$8)</f>
        <v/>
      </c>
      <c r="AK2" s="110">
        <f>SUMIFS(Investments!$D:$D,Investments!$C:$C,"USDT",Investments!$A:$A,AK$8)</f>
        <v/>
      </c>
      <c r="AL2" s="110">
        <f>SUMIFS(Investments!$D:$D,Investments!$C:$C,"USDT",Investments!$A:$A,AL$8)</f>
        <v/>
      </c>
      <c r="AM2" s="110">
        <f>SUMIFS(Investments!$D:$D,Investments!$C:$C,"USDT",Investments!$A:$A,AM$8)</f>
        <v/>
      </c>
      <c r="AN2" s="110">
        <f>SUMIFS(Investments!$D:$D,Investments!$C:$C,"USDT",Investments!$A:$A,AN$8)</f>
        <v/>
      </c>
      <c r="AO2" s="110">
        <f>SUMIFS(Investments!$D:$D,Investments!$C:$C,"USDT",Investments!$A:$A,AO$8)</f>
        <v/>
      </c>
      <c r="AP2" s="110">
        <f>SUMIFS(Investments!$D:$D,Investments!$C:$C,"USDT",Investments!$A:$A,AP$8)</f>
        <v/>
      </c>
      <c r="AQ2" s="110">
        <f>SUMIFS(Investments!$D:$D,Investments!$C:$C,"USDT",Investments!$A:$A,AQ$8)</f>
        <v/>
      </c>
      <c r="AR2" s="110">
        <f>SUMIFS(Investments!$D:$D,Investments!$C:$C,"USDT",Investments!$A:$A,AR$8)</f>
        <v/>
      </c>
      <c r="AS2" s="110">
        <f>SUMIFS(Investments!$D:$D,Investments!$C:$C,"USDT",Investments!$A:$A,AS$8)</f>
        <v/>
      </c>
      <c r="AT2" s="110">
        <f>SUMIFS(Investments!$D:$D,Investments!$C:$C,"USDT",Investments!$A:$A,AT$8)</f>
        <v/>
      </c>
      <c r="AU2" s="37" t="n"/>
      <c r="AV2" s="37" t="n"/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  <c r="BN2" s="37" t="n"/>
    </row>
    <row r="3" outlineLevel="1" ht="15.75" customHeight="1" s="252">
      <c r="A3" s="107" t="inlineStr">
        <is>
          <t>AUM After</t>
        </is>
      </c>
      <c r="B3" s="108" t="n"/>
      <c r="C3" s="108" t="n"/>
      <c r="D3" s="111">
        <f>D1+D2</f>
        <v/>
      </c>
      <c r="E3" s="111">
        <f>E1+E2</f>
        <v/>
      </c>
      <c r="F3" s="111">
        <f>F1+F2</f>
        <v/>
      </c>
      <c r="G3" s="111">
        <f>G1+G2</f>
        <v/>
      </c>
      <c r="H3" s="111">
        <f>H1+H2</f>
        <v/>
      </c>
      <c r="I3" s="111">
        <f>I1+I2</f>
        <v/>
      </c>
      <c r="J3" s="111">
        <f>J1+J2</f>
        <v/>
      </c>
      <c r="K3" s="111">
        <f>K1+K2</f>
        <v/>
      </c>
      <c r="L3" s="111">
        <f>L1+L2</f>
        <v/>
      </c>
      <c r="M3" s="111">
        <f>M1+M2</f>
        <v/>
      </c>
      <c r="N3" s="111">
        <f>N1+N2</f>
        <v/>
      </c>
      <c r="O3" s="111">
        <f>O1+O2</f>
        <v/>
      </c>
      <c r="P3" s="111">
        <f>P1+P2</f>
        <v/>
      </c>
      <c r="Q3" s="111">
        <f>Q1+Q2</f>
        <v/>
      </c>
      <c r="R3" s="111">
        <f>R1+R2</f>
        <v/>
      </c>
      <c r="S3" s="111">
        <f>S1+S2</f>
        <v/>
      </c>
      <c r="T3" s="111">
        <f>T1+T2</f>
        <v/>
      </c>
      <c r="U3" s="111">
        <f>U1+U2</f>
        <v/>
      </c>
      <c r="V3" s="111">
        <f>V1+V2</f>
        <v/>
      </c>
      <c r="W3" s="111">
        <f>W1+W2</f>
        <v/>
      </c>
      <c r="X3" s="111">
        <f>X1+X2</f>
        <v/>
      </c>
      <c r="Y3" s="111">
        <f>Y1+Y2</f>
        <v/>
      </c>
      <c r="Z3" s="111">
        <f>Z1+Z2</f>
        <v/>
      </c>
      <c r="AA3" s="111">
        <f>AA1+AA2</f>
        <v/>
      </c>
      <c r="AB3" s="111">
        <f>AB1+AB2</f>
        <v/>
      </c>
      <c r="AC3" s="111">
        <f>AC1+AC2</f>
        <v/>
      </c>
      <c r="AD3" s="111">
        <f>AD1+AD2</f>
        <v/>
      </c>
      <c r="AE3" s="111">
        <f>AE1+AE2</f>
        <v/>
      </c>
      <c r="AF3" s="111">
        <f>AF1+AF2</f>
        <v/>
      </c>
      <c r="AG3" s="111">
        <f>AG1+AG2</f>
        <v/>
      </c>
      <c r="AH3" s="111">
        <f>AH1+AH2</f>
        <v/>
      </c>
      <c r="AI3" s="111">
        <f>AI1+AI2</f>
        <v/>
      </c>
      <c r="AJ3" s="111">
        <f>AJ1+AJ2</f>
        <v/>
      </c>
      <c r="AK3" s="111">
        <f>AK1+AK2</f>
        <v/>
      </c>
      <c r="AL3" s="111">
        <f>AL1+AL2</f>
        <v/>
      </c>
      <c r="AM3" s="111">
        <f>AM1+AM2</f>
        <v/>
      </c>
      <c r="AN3" s="111">
        <f>AN1+AN2</f>
        <v/>
      </c>
      <c r="AO3" s="111">
        <f>AO1+AO2</f>
        <v/>
      </c>
      <c r="AP3" s="111">
        <f>AP1+AP2</f>
        <v/>
      </c>
      <c r="AQ3" s="111">
        <f>AQ1+AQ2</f>
        <v/>
      </c>
      <c r="AR3" s="111">
        <f>AR1+AR2</f>
        <v/>
      </c>
      <c r="AS3" s="111">
        <f>AS1+AS2</f>
        <v/>
      </c>
      <c r="AT3" s="111">
        <f>AT1+AT2</f>
        <v/>
      </c>
      <c r="AU3" s="37" t="n"/>
      <c r="AV3" s="37" t="n"/>
      <c r="AW3" s="37" t="n"/>
      <c r="AX3" s="37" t="n"/>
      <c r="AY3" s="37" t="n"/>
      <c r="AZ3" s="37" t="n"/>
      <c r="BA3" s="37" t="n"/>
      <c r="BB3" s="37" t="n"/>
      <c r="BC3" s="37" t="n"/>
      <c r="BD3" s="37" t="n"/>
      <c r="BE3" s="37" t="n"/>
      <c r="BF3" s="37" t="n"/>
      <c r="BG3" s="37" t="n"/>
      <c r="BH3" s="37" t="n"/>
      <c r="BI3" s="37" t="n"/>
      <c r="BJ3" s="37" t="n"/>
      <c r="BK3" s="37" t="n"/>
      <c r="BL3" s="37" t="n"/>
      <c r="BM3" s="37" t="n"/>
      <c r="BN3" s="37" t="n"/>
    </row>
    <row r="4" outlineLevel="1" ht="15.75" customHeight="1" s="252">
      <c r="A4" s="107" t="inlineStr">
        <is>
          <t>Gross Performance</t>
        </is>
      </c>
      <c r="B4" s="108" t="n"/>
      <c r="C4" s="108" t="n"/>
      <c r="D4" s="112" t="n">
        <v>1</v>
      </c>
      <c r="E4" s="113">
        <f>(E1*$D$4/D3)-100%</f>
        <v/>
      </c>
      <c r="F4" s="113">
        <f>(F1*$D$4/E1)-100%</f>
        <v/>
      </c>
      <c r="G4" s="113">
        <f>(G1*$D$4/F3)-100%</f>
        <v/>
      </c>
      <c r="H4" s="113">
        <f>(H1*$D$4/G3)-100%</f>
        <v/>
      </c>
      <c r="I4" s="113">
        <f>(I1*$D$4/H3)-100%</f>
        <v/>
      </c>
      <c r="J4" s="113">
        <f>(J1*$D$4/I1)-100%</f>
        <v/>
      </c>
      <c r="K4" s="113">
        <f>(K1*$D$4/J3)-100%</f>
        <v/>
      </c>
      <c r="L4" s="113">
        <f>(L1*$D$4/K3)-100%</f>
        <v/>
      </c>
      <c r="M4" s="113">
        <f>(M1*$D$4/L3)-100%</f>
        <v/>
      </c>
      <c r="N4" s="113">
        <f>(N1*$D$4/M1)-100%</f>
        <v/>
      </c>
      <c r="O4" s="113">
        <f>(O1*$D$4/N3)-100%</f>
        <v/>
      </c>
      <c r="P4" s="113">
        <f>(P1*$D$4/O1)-100%</f>
        <v/>
      </c>
      <c r="Q4" s="113">
        <f>(Q1*$D$4/P3)-100%</f>
        <v/>
      </c>
      <c r="R4" s="113">
        <f>(R1*$D$4/Q3)-100%</f>
        <v/>
      </c>
      <c r="S4" s="113">
        <f>(S1*$D$4/R3)-100%</f>
        <v/>
      </c>
      <c r="T4" s="113">
        <f>(T1*$D$4/S3)-100%</f>
        <v/>
      </c>
      <c r="U4" s="113">
        <f>(U1*$D$4/T3)-100%</f>
        <v/>
      </c>
      <c r="V4" s="113">
        <f>(V1*$D$4/U1)-100%</f>
        <v/>
      </c>
      <c r="W4" s="113">
        <f>(W1*$D$4/V3)-100%</f>
        <v/>
      </c>
      <c r="X4" s="113">
        <f>(X1*$D$4/W3)-100%</f>
        <v/>
      </c>
      <c r="Y4" s="113">
        <f>(Y1*$D$4/X3)-100%</f>
        <v/>
      </c>
      <c r="Z4" s="113">
        <f>(Z1*$D$4/Y3)-100%</f>
        <v/>
      </c>
      <c r="AA4" s="113">
        <f>(AA1*$D$4/Z3)-100%</f>
        <v/>
      </c>
      <c r="AB4" s="113">
        <f>(AB1*$D$4/AA3)-100%</f>
        <v/>
      </c>
      <c r="AC4" s="113">
        <f>(AC1*$D$4/AB3)-100%</f>
        <v/>
      </c>
      <c r="AD4" s="113">
        <f>(AD1*$D$4/AC3)-100%</f>
        <v/>
      </c>
      <c r="AE4" s="113">
        <f>(AE1*$D$4/AD3)-100%</f>
        <v/>
      </c>
      <c r="AF4" s="113">
        <f>(AF1*$D$4/AE1)-100%</f>
        <v/>
      </c>
      <c r="AG4" s="113">
        <f>(AG1*$D$4/AF3)-100%</f>
        <v/>
      </c>
      <c r="AH4" s="113">
        <f>(AH1-AG3)/AG3</f>
        <v/>
      </c>
      <c r="AI4" s="113">
        <f>(AI1-AH3)/AH3</f>
        <v/>
      </c>
      <c r="AJ4" s="113">
        <f>(AJ1-AI3)/AI3</f>
        <v/>
      </c>
      <c r="AK4" s="113">
        <f>(AK1-AJ3)/AJ3</f>
        <v/>
      </c>
      <c r="AL4" s="113">
        <f>(AL1-AK3)/AK3</f>
        <v/>
      </c>
      <c r="AM4" s="113">
        <f>(AM1-AL3)/AL3</f>
        <v/>
      </c>
      <c r="AN4" s="113">
        <f>(AN1-AM3)/AM3</f>
        <v/>
      </c>
      <c r="AO4" s="113">
        <f>(AO1-AN3)/AN3</f>
        <v/>
      </c>
      <c r="AP4" s="113">
        <f>(AP1-AO3)/AO3</f>
        <v/>
      </c>
      <c r="AQ4" s="113">
        <f>(AQ1-AP3)/AP3</f>
        <v/>
      </c>
      <c r="AR4" s="113">
        <f>(AR1-AQ3)/AQ3</f>
        <v/>
      </c>
      <c r="AS4" s="113">
        <f>(AS1-AR3)/AR3</f>
        <v/>
      </c>
      <c r="AT4" s="113">
        <f>(AT1-AS3)/AS3</f>
        <v/>
      </c>
      <c r="AU4" s="37" t="n"/>
      <c r="AV4" s="37" t="n"/>
      <c r="AW4" s="37" t="n"/>
      <c r="AX4" s="37" t="n"/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37" t="n"/>
      <c r="BN4" s="37" t="n"/>
    </row>
    <row r="5" outlineLevel="1" ht="15.75" customHeight="1" s="252">
      <c r="A5" s="107" t="inlineStr">
        <is>
          <t>Net Performance</t>
        </is>
      </c>
      <c r="B5" s="108" t="n"/>
      <c r="C5" s="108" t="n"/>
      <c r="D5" s="108" t="n"/>
      <c r="E5" s="113">
        <f>E4*0.8</f>
        <v/>
      </c>
      <c r="F5" s="113">
        <f>F4*0.8</f>
        <v/>
      </c>
      <c r="G5" s="113">
        <f>G4*0.8</f>
        <v/>
      </c>
      <c r="H5" s="113">
        <f>H4*0.8</f>
        <v/>
      </c>
      <c r="I5" s="113">
        <f>I4*0.8</f>
        <v/>
      </c>
      <c r="J5" s="113">
        <f>J4*0.8</f>
        <v/>
      </c>
      <c r="K5" s="113">
        <f>K4*0.8</f>
        <v/>
      </c>
      <c r="L5" s="113">
        <f>L4*0.8</f>
        <v/>
      </c>
      <c r="M5" s="113">
        <f>M4*0.8</f>
        <v/>
      </c>
      <c r="N5" s="113">
        <f>N4*0.8</f>
        <v/>
      </c>
      <c r="O5" s="113">
        <f>O4*0.8</f>
        <v/>
      </c>
      <c r="P5" s="113">
        <f>P4*0.8</f>
        <v/>
      </c>
      <c r="Q5" s="113">
        <f>Q4*0.8</f>
        <v/>
      </c>
      <c r="R5" s="113">
        <f>R4*0.8</f>
        <v/>
      </c>
      <c r="S5" s="113">
        <f>S4*0.8</f>
        <v/>
      </c>
      <c r="T5" s="113">
        <f>T4*0.8</f>
        <v/>
      </c>
      <c r="U5" s="113">
        <f>U4*0.8</f>
        <v/>
      </c>
      <c r="V5" s="113">
        <f>V4*0.8</f>
        <v/>
      </c>
      <c r="W5" s="113">
        <f>W4*0.8</f>
        <v/>
      </c>
      <c r="X5" s="113">
        <f>X4*0.8</f>
        <v/>
      </c>
      <c r="Y5" s="113">
        <f>Y4*0.8</f>
        <v/>
      </c>
      <c r="Z5" s="113">
        <f>Z4*0.8</f>
        <v/>
      </c>
      <c r="AA5" s="113">
        <f>AA4*0.8</f>
        <v/>
      </c>
      <c r="AB5" s="113">
        <f>AB4*0.8</f>
        <v/>
      </c>
      <c r="AC5" s="113">
        <f>AC4*0.8</f>
        <v/>
      </c>
      <c r="AD5" s="113">
        <f>AD4*0.8</f>
        <v/>
      </c>
      <c r="AE5" s="113">
        <f>AE4*0.8</f>
        <v/>
      </c>
      <c r="AF5" s="113">
        <f>AF4*0.8</f>
        <v/>
      </c>
      <c r="AG5" s="113">
        <f>AG4*0.8</f>
        <v/>
      </c>
      <c r="AH5" s="113">
        <f>AH4*0.8</f>
        <v/>
      </c>
      <c r="AI5" s="113">
        <f>AI4*0.8</f>
        <v/>
      </c>
      <c r="AJ5" s="113">
        <f>AJ4*0.8</f>
        <v/>
      </c>
      <c r="AK5" s="113">
        <f>AK4*0.8</f>
        <v/>
      </c>
      <c r="AL5" s="113">
        <f>AL4*0.8</f>
        <v/>
      </c>
      <c r="AM5" s="113">
        <f>AM4*0.8</f>
        <v/>
      </c>
      <c r="AN5" s="113">
        <f>AN4*0.8</f>
        <v/>
      </c>
      <c r="AO5" s="113">
        <f>AO4*0.8</f>
        <v/>
      </c>
      <c r="AP5" s="113">
        <f>AP4*0.8</f>
        <v/>
      </c>
      <c r="AQ5" s="113">
        <f>AQ4*0.8</f>
        <v/>
      </c>
      <c r="AR5" s="113">
        <f>AR4*0.8</f>
        <v/>
      </c>
      <c r="AS5" s="113">
        <f>AS4*0.8</f>
        <v/>
      </c>
      <c r="AT5" s="113">
        <f>AT4*0.8</f>
        <v/>
      </c>
      <c r="AU5" s="37" t="n"/>
      <c r="AV5" s="37" t="n"/>
      <c r="AW5" s="37" t="n"/>
      <c r="AX5" s="37" t="n"/>
      <c r="AY5" s="37" t="n"/>
      <c r="AZ5" s="37" t="n"/>
      <c r="BA5" s="37" t="n"/>
      <c r="BB5" s="37" t="n"/>
      <c r="BC5" s="37" t="n"/>
      <c r="BD5" s="37" t="n"/>
      <c r="BE5" s="37" t="n"/>
      <c r="BF5" s="37" t="n"/>
      <c r="BG5" s="37" t="n"/>
      <c r="BH5" s="37" t="n"/>
      <c r="BI5" s="37" t="n"/>
      <c r="BJ5" s="37" t="n"/>
      <c r="BK5" s="37" t="n"/>
      <c r="BL5" s="37" t="n"/>
      <c r="BM5" s="37" t="n"/>
      <c r="BN5" s="37" t="n"/>
    </row>
    <row r="6" outlineLevel="1" ht="15.75" customHeight="1" s="252">
      <c r="A6" s="107" t="inlineStr">
        <is>
          <t>Yearly APY</t>
        </is>
      </c>
      <c r="B6" s="108" t="n"/>
      <c r="C6" s="108" t="n"/>
      <c r="D6" s="108" t="n"/>
      <c r="E6" s="113">
        <f>E4*12</f>
        <v/>
      </c>
      <c r="F6" s="113">
        <f>F4*12</f>
        <v/>
      </c>
      <c r="G6" s="113">
        <f>G4*12</f>
        <v/>
      </c>
      <c r="H6" s="113">
        <f>H4*12</f>
        <v/>
      </c>
      <c r="I6" s="113">
        <f>I4*12</f>
        <v/>
      </c>
      <c r="J6" s="113">
        <f>J4*12</f>
        <v/>
      </c>
      <c r="K6" s="113">
        <f>K4*12</f>
        <v/>
      </c>
      <c r="L6" s="113">
        <f>L4*12</f>
        <v/>
      </c>
      <c r="M6" s="113">
        <f>M4*12</f>
        <v/>
      </c>
      <c r="N6" s="113">
        <f>N4*12</f>
        <v/>
      </c>
      <c r="O6" s="113">
        <f>O4*12</f>
        <v/>
      </c>
      <c r="P6" s="113">
        <f>P4*12</f>
        <v/>
      </c>
      <c r="Q6" s="113">
        <f>Q4*12</f>
        <v/>
      </c>
      <c r="R6" s="113">
        <f>R4*12</f>
        <v/>
      </c>
      <c r="S6" s="113">
        <f>S4*12</f>
        <v/>
      </c>
      <c r="T6" s="113">
        <f>T4*12</f>
        <v/>
      </c>
      <c r="U6" s="113">
        <f>U4*12</f>
        <v/>
      </c>
      <c r="V6" s="113">
        <f>V4*12</f>
        <v/>
      </c>
      <c r="W6" s="113">
        <f>W4*12</f>
        <v/>
      </c>
      <c r="X6" s="113">
        <f>X4*12</f>
        <v/>
      </c>
      <c r="Y6" s="113">
        <f>Y4*12</f>
        <v/>
      </c>
      <c r="Z6" s="113">
        <f>Z4*12</f>
        <v/>
      </c>
      <c r="AA6" s="113">
        <f>AA4*12</f>
        <v/>
      </c>
      <c r="AB6" s="113">
        <f>AB4*12</f>
        <v/>
      </c>
      <c r="AC6" s="113">
        <f>AC4*12</f>
        <v/>
      </c>
      <c r="AD6" s="113">
        <f>AD4*12</f>
        <v/>
      </c>
      <c r="AE6" s="113">
        <f>AE4*12</f>
        <v/>
      </c>
      <c r="AF6" s="113">
        <f>AF4*12</f>
        <v/>
      </c>
      <c r="AG6" s="113">
        <f>AG4*12</f>
        <v/>
      </c>
      <c r="AH6" s="113">
        <f>AH4*12</f>
        <v/>
      </c>
      <c r="AI6" s="113">
        <f>AI4*12</f>
        <v/>
      </c>
      <c r="AJ6" s="113">
        <f>AJ4*12</f>
        <v/>
      </c>
      <c r="AK6" s="113">
        <f>AK4*12</f>
        <v/>
      </c>
      <c r="AL6" s="113">
        <f>AL4*12</f>
        <v/>
      </c>
      <c r="AM6" s="113">
        <f>AM4*12</f>
        <v/>
      </c>
      <c r="AN6" s="113">
        <f>AN4*12</f>
        <v/>
      </c>
      <c r="AO6" s="113">
        <f>AO4*12</f>
        <v/>
      </c>
      <c r="AP6" s="113">
        <f>AP4*12</f>
        <v/>
      </c>
      <c r="AQ6" s="113">
        <f>AQ4*12</f>
        <v/>
      </c>
      <c r="AR6" s="113">
        <f>AR4*12</f>
        <v/>
      </c>
      <c r="AS6" s="113">
        <f>AS4*12</f>
        <v/>
      </c>
      <c r="AT6" s="113">
        <f>AT4*12</f>
        <v/>
      </c>
      <c r="AU6" s="37" t="n"/>
      <c r="AV6" s="37" t="n"/>
      <c r="AW6" s="37" t="n"/>
      <c r="AX6" s="37" t="n"/>
      <c r="AY6" s="37" t="n"/>
      <c r="AZ6" s="37" t="n"/>
      <c r="BA6" s="37" t="n"/>
      <c r="BB6" s="37" t="n"/>
      <c r="BC6" s="37" t="n"/>
      <c r="BD6" s="37" t="n"/>
      <c r="BE6" s="37" t="n"/>
      <c r="BF6" s="37" t="n"/>
      <c r="BG6" s="37" t="n"/>
      <c r="BH6" s="37" t="n"/>
      <c r="BI6" s="37" t="n"/>
      <c r="BJ6" s="37" t="n"/>
      <c r="BK6" s="37" t="n"/>
      <c r="BL6" s="37" t="n"/>
      <c r="BM6" s="37" t="n"/>
      <c r="BN6" s="37" t="n"/>
    </row>
    <row r="7" outlineLevel="1" ht="15.75" customHeight="1" s="252">
      <c r="A7" s="114" t="inlineStr">
        <is>
          <t>Comments</t>
        </is>
      </c>
      <c r="B7" s="115" t="n"/>
      <c r="C7" s="115" t="n"/>
      <c r="D7" s="115" t="inlineStr">
        <is>
          <t>Babak invest 135,726.75</t>
        </is>
      </c>
      <c r="E7" s="115" t="n"/>
      <c r="F7" s="115" t="inlineStr">
        <is>
          <t>julien grunebaum : 109392
daniele francilia : 109776
pierre bezencon : 109333
matthew beatty : 255504
bo kriek : 273807</t>
        </is>
      </c>
      <c r="G7" s="115" t="inlineStr">
        <is>
          <t>Dario: 199,659.72
Babak: 46,955.28</t>
        </is>
      </c>
      <c r="H7" s="115" t="inlineStr">
        <is>
          <t>alain bensimon : 136737
anne cecile noique : 222687
terance chen : 219747</t>
        </is>
      </c>
      <c r="I7" s="115" t="n"/>
      <c r="J7" s="115" t="inlineStr">
        <is>
          <t>INDIGO Ventures: $130,000
Babak top-up: $10,000</t>
        </is>
      </c>
      <c r="K7" s="115" t="inlineStr">
        <is>
          <t>Matthew Beatty: +25,900 USDC</t>
        </is>
      </c>
      <c r="L7" s="116" t="inlineStr">
        <is>
          <t>INDIGO Main Fund: +$111,370</t>
        </is>
      </c>
      <c r="M7" s="115" t="n"/>
      <c r="N7" s="116" t="inlineStr">
        <is>
          <t>Babak top-up: $10,000</t>
        </is>
      </c>
      <c r="O7" s="115" t="n"/>
      <c r="P7" s="116" t="inlineStr">
        <is>
          <t>INDIGO Ventures: $-100,000
Sacha Oshry: +$100,000</t>
        </is>
      </c>
      <c r="Q7" s="116" t="inlineStr">
        <is>
          <t>Babak top-up: $20,000</t>
        </is>
      </c>
      <c r="R7" s="116" t="inlineStr">
        <is>
          <t>Ventures withdrawal : $32,594.55
Ventures Top-up : $5,000
Total : - $27,594.55</t>
        </is>
      </c>
      <c r="S7" s="116" t="inlineStr">
        <is>
          <t>Invest HALLEY86 : $99,990</t>
        </is>
      </c>
      <c r="T7" s="116" t="inlineStr">
        <is>
          <t>Jose Molla USDT 97,695.00
Babak Eftekhari USDT 10,450.00</t>
        </is>
      </c>
      <c r="U7" s="115" t="n"/>
      <c r="V7" s="116" t="inlineStr">
        <is>
          <t>INDIGO LP Account worth : 113 867.78
Withdraw INDIGO LP : 113 841.65
INDIGO take the delta : 26.13</t>
        </is>
      </c>
      <c r="W7" s="116" t="inlineStr">
        <is>
          <t>Matthew Beatty  USDT  35,300.00</t>
        </is>
      </c>
      <c r="X7" s="116" t="inlineStr">
        <is>
          <t>Monica Levy Chicheportiche  USDT  840,168.03</t>
        </is>
      </c>
      <c r="Y7" s="116" t="inlineStr">
        <is>
          <t>Jose Molla USDT -50000</t>
        </is>
      </c>
      <c r="Z7" s="116" t="inlineStr">
        <is>
          <t>Nath &amp; Thomas        USDT        299,915.77</t>
        </is>
      </c>
      <c r="AA7" s="116" t="inlineStr">
        <is>
          <t>Jose Molla        USDT        -47,908.00</t>
        </is>
      </c>
      <c r="AB7" s="116" t="inlineStr">
        <is>
          <t>Valeria Cruz        USDT        50000</t>
        </is>
      </c>
      <c r="AC7" s="116" t="inlineStr">
        <is>
          <t>Matthew Beatty USDT 18000
Nath &amp; Thomas USDT -87,937.00</t>
        </is>
      </c>
      <c r="AD7" s="116" t="inlineStr">
        <is>
          <t>Rabih Mokbel        USDT        100,000.00</t>
        </is>
      </c>
      <c r="AE7" s="115" t="n"/>
      <c r="AF7" s="116" t="inlineStr">
        <is>
          <t>Nath &amp; Thomas withdrawal : -213,501.60
Thomas Puech investment : 106,750.80</t>
        </is>
      </c>
      <c r="AG7" s="115" t="n"/>
      <c r="AH7" s="116" t="inlineStr">
        <is>
          <t>INDIGO Ventures : -5,115.04
Daniele Francilla : -114,867.59</t>
        </is>
      </c>
      <c r="AI7" s="116" t="inlineStr">
        <is>
          <t>Sam Johnson        USDT        4,200,000.00</t>
        </is>
      </c>
      <c r="AJ7" s="116" t="inlineStr">
        <is>
          <t>Sam Johnson        USDT        600,000.00</t>
        </is>
      </c>
      <c r="AK7" s="116" t="inlineStr">
        <is>
          <t>Sam Johnson        USDT        400,000.00</t>
        </is>
      </c>
      <c r="AL7" s="116" t="n"/>
      <c r="AM7" s="116" t="inlineStr">
        <is>
          <t>Sam Johnson        USDT        750,000.00
Thomas Puech        USDT      -47,373.77</t>
        </is>
      </c>
      <c r="AN7" s="116" t="inlineStr">
        <is>
          <t>Indigo Fees        USDT        -20,000.00</t>
        </is>
      </c>
      <c r="AO7" s="116" t="inlineStr">
        <is>
          <t>Sam Johnson        USDT        550,000.00</t>
        </is>
      </c>
      <c r="AP7" s="116" t="n"/>
      <c r="AQ7" s="116" t="inlineStr">
        <is>
          <t>Sam Johnson        USDT        500,000.00</t>
        </is>
      </c>
      <c r="AR7" s="116" t="n"/>
      <c r="AS7" s="116" t="n"/>
      <c r="AT7" s="116" t="n"/>
      <c r="AU7" s="117" t="n"/>
      <c r="AV7" s="117" t="n"/>
      <c r="AW7" s="117" t="n"/>
      <c r="AX7" s="117" t="n"/>
      <c r="AY7" s="117" t="n"/>
      <c r="AZ7" s="117" t="n"/>
      <c r="BA7" s="117" t="n"/>
      <c r="BB7" s="117" t="n"/>
      <c r="BC7" s="117" t="n"/>
      <c r="BD7" s="117" t="n"/>
      <c r="BE7" s="117" t="n"/>
      <c r="BF7" s="117" t="n"/>
      <c r="BG7" s="117" t="n"/>
      <c r="BH7" s="117" t="n"/>
      <c r="BI7" s="117" t="n"/>
      <c r="BJ7" s="117" t="n"/>
      <c r="BK7" s="117" t="n"/>
      <c r="BL7" s="117" t="n"/>
      <c r="BM7" s="117" t="n"/>
      <c r="BN7" s="117" t="n"/>
    </row>
    <row r="8" ht="15.75" customHeight="1" s="252">
      <c r="A8" s="118" t="inlineStr">
        <is>
          <t>Investors</t>
        </is>
      </c>
      <c r="B8" s="107" t="inlineStr">
        <is>
          <t>Fees</t>
        </is>
      </c>
      <c r="C8" s="119" t="inlineStr">
        <is>
          <t>IB</t>
        </is>
      </c>
      <c r="D8" s="120" t="n">
        <v>45824</v>
      </c>
      <c r="E8" s="121" t="n">
        <v>45839</v>
      </c>
      <c r="F8" s="120" t="n">
        <v>45852</v>
      </c>
      <c r="G8" s="120" t="n">
        <v>45857</v>
      </c>
      <c r="H8" s="120" t="n">
        <v>45861</v>
      </c>
      <c r="I8" s="121" t="n">
        <v>45869</v>
      </c>
      <c r="J8" s="120" t="n">
        <v>45873</v>
      </c>
      <c r="K8" s="120" t="n">
        <v>45883</v>
      </c>
      <c r="L8" s="120" t="n">
        <v>45888</v>
      </c>
      <c r="M8" s="121" t="n">
        <v>45901</v>
      </c>
      <c r="N8" s="120" t="n">
        <v>45924</v>
      </c>
      <c r="O8" s="121" t="n">
        <v>45930</v>
      </c>
      <c r="P8" s="120" t="n">
        <v>45936</v>
      </c>
      <c r="Q8" s="120" t="n">
        <v>45939</v>
      </c>
      <c r="R8" s="120" t="n">
        <v>45943</v>
      </c>
      <c r="S8" s="120" t="n">
        <v>45945</v>
      </c>
      <c r="T8" s="120" t="n">
        <v>45953</v>
      </c>
      <c r="U8" s="121" t="n">
        <v>45961</v>
      </c>
      <c r="V8" s="120" t="n">
        <v>45964</v>
      </c>
      <c r="W8" s="120" t="n">
        <v>45965</v>
      </c>
      <c r="X8" s="120" t="n">
        <v>45968</v>
      </c>
      <c r="Y8" s="120" t="n">
        <v>45969</v>
      </c>
      <c r="Z8" s="120" t="n">
        <v>45974</v>
      </c>
      <c r="AA8" s="120" t="n">
        <v>45982</v>
      </c>
      <c r="AB8" s="120" t="n">
        <v>45986</v>
      </c>
      <c r="AC8" s="120" t="n">
        <v>45987</v>
      </c>
      <c r="AD8" s="120" t="n">
        <v>45988</v>
      </c>
      <c r="AE8" s="121" t="n">
        <v>45991</v>
      </c>
      <c r="AF8" s="120" t="n">
        <v>45999</v>
      </c>
      <c r="AG8" s="121" t="n">
        <v>46023</v>
      </c>
      <c r="AH8" s="120" t="n">
        <v>46030</v>
      </c>
      <c r="AI8" s="120" t="n">
        <v>46041</v>
      </c>
      <c r="AJ8" s="120" t="n">
        <v>46048</v>
      </c>
      <c r="AK8" s="120" t="n">
        <v>46050</v>
      </c>
      <c r="AL8" s="121" t="n">
        <v>46054</v>
      </c>
      <c r="AM8" s="120" t="n">
        <v>46055</v>
      </c>
      <c r="AN8" s="120" t="n">
        <v>46059</v>
      </c>
      <c r="AO8" s="120" t="n">
        <v>46061</v>
      </c>
      <c r="AP8" s="120" t="n">
        <v>46066</v>
      </c>
      <c r="AQ8" s="120" t="n">
        <v>46076</v>
      </c>
      <c r="AR8" s="121" t="n">
        <v>46081</v>
      </c>
      <c r="AS8" s="120" t="n">
        <v>46086</v>
      </c>
      <c r="AT8" s="120" t="n">
        <v>46089</v>
      </c>
      <c r="AU8" s="122" t="n"/>
      <c r="AV8" s="122" t="n"/>
      <c r="AW8" s="122" t="n"/>
      <c r="AX8" s="122" t="n"/>
      <c r="AY8" s="122" t="n"/>
      <c r="AZ8" s="122" t="n"/>
      <c r="BA8" s="122" t="n"/>
      <c r="BB8" s="122" t="n"/>
      <c r="BC8" s="122" t="n"/>
      <c r="BD8" s="122" t="n"/>
      <c r="BE8" s="122" t="n"/>
      <c r="BF8" s="122" t="n"/>
      <c r="BG8" s="122" t="n"/>
      <c r="BH8" s="122" t="n"/>
      <c r="BI8" s="122" t="n"/>
      <c r="BJ8" s="122" t="n"/>
      <c r="BK8" s="122" t="n"/>
      <c r="BL8" s="122" t="n"/>
      <c r="BM8" s="122" t="n"/>
      <c r="BN8" s="122" t="n"/>
    </row>
    <row r="9" ht="15.75" customHeight="1" s="252">
      <c r="A9" s="123" t="inlineStr">
        <is>
          <t>Indigo Fees</t>
        </is>
      </c>
      <c r="B9" s="113" t="n">
        <v>0</v>
      </c>
      <c r="C9" s="113" t="n"/>
      <c r="D9" s="124" t="n">
        <v>0</v>
      </c>
      <c r="E9" s="124">
        <f>D9*$E$4*1+D9+(D12*$E$4*$B$12)+(D13*$E$4*$B$13)</f>
        <v/>
      </c>
      <c r="F9" s="124">
        <f>E9*$F$4*1+E9+(E10*$F$4*B10)+(E12*$F$4*$B$12)+(E13*$F$4*$B$13)+(E14*$F$4*$B$14)+(E15*$F$4*$B$15)+(E16*$F$4*$B$16)+(E11*$F$4*$B$11)</f>
        <v/>
      </c>
      <c r="G9" s="124">
        <f>F9*$G$4*1+F9+(F10*$G$4*B10)+(F12*$G$4*$B$12)+(F13*$G$4*$B$13)+(F14*$G$4*$B$14)+(F15*$G$4*$B$15)+(F16*$G$4*$B$16)+(F17*$G$4*$B$17)+(F11*$G$4*$B$11)</f>
        <v/>
      </c>
      <c r="H9" s="124">
        <f>G9*$H$4*1+G9+(G10*$H$4*B10)+(G12*$H$4*$B$12)+(G13*$H$4*$B$13)+(G14*$H$4*$B$14)+(G15*$H$4*$B$15)+(G16*$H$4*$B$16)+(G17*$H$4*$B$17)+(G18*$H$4*$B$18)+(G19*$H$4*$B$19)+(G20*$H$4*$B$20)+(G11*$H$4*$B$11)</f>
        <v/>
      </c>
      <c r="I9" s="124">
        <f>H9*$I$4*1+H9+(H10*$I$4*B10)+(H12*$I$4*$B$12)+(H13*$I$4*$B$13)+(H14*$I$4*$B$14)+(H15*$I$4*$B$15)+(H16*$I$4*$B$16)+(H17*$I$4*$B$17)+(H18*$I$4*$B$18)+(H19*$I$4*$B$19)+(H20*$I$4*$B$20)+(H11*$I$4*$B$11)</f>
        <v/>
      </c>
      <c r="J9" s="124">
        <f>I9*$J$4*1+I9+(I10*$J$4*$B$10)+(I12*$J$4*$B$12)+(I13*$J$4*$B$13)+(I14*$J$4*$B$14)+(I15*$J$4*$B$15)+(I16*$J$4*$B$16)+(I17*$J$4*$B$17)+(I18*$J$4*$B$18)+(I19*$J$4*$B$19)+(I20*$J$4*$B$20)+(I11*$J$4*$B$11)</f>
        <v/>
      </c>
      <c r="K9" s="124">
        <f>J9*$K$4*1+J9+(J10*$K$4*$B$10)+(J12*$K$4*$B$12)+(J13*$K$4*$B$13)+(J14*$K$4*$B$14)+(J15*$K$4*$B$15)+(J16*$K$4*$B$16)+(J17*$K$4*$B$17)+(J18*$K$4*$B$18)+(J19*$K$4*$B$19)+(J20*$K$4*$B$20)+(J11*$K$4*$B$11)</f>
        <v/>
      </c>
      <c r="L9" s="124">
        <f>K9*$L$4*1+K9+(K10*$L$4*$B$10)+(K12*$L$4*$B$12)+(K13*$L$4*$B$13)+(K14*$L$4*$B$14)+(K15*$L$4*$B$15)+(K16*$L$4*$B$16)+(K17*$L$4*$B$17)+(K18*$L$4*$B$18)+(K19*$L$4*$B$19)+(K20*$L$4*$B$20)+(K21*$L$4*$B$21)+(K22*$L$4*$B$22)+(K11*$L$4*$B$11)</f>
        <v/>
      </c>
      <c r="M9" s="124">
        <f>L9*$M$4*1+L9+(L10*$M$4*$B$10)+(L12*$M$4*$B$12)+(L13*$M$4*$B$13)+(L14*$M$4*$B$14)+(L15*$M$4*$B$15)+(L16*$M$4*$B$16)+(L17*$M$4*$B$17)+(L18*$M$4*$B$18)+(L19*$M$4*$B$19)+(L20*$M$4*$B$20)+(L21*$M$4*$B$21)+(L22*$M$4*$B$22)+(L11*$M$4*$B$11)</f>
        <v/>
      </c>
      <c r="N9" s="124">
        <f>M9*$N$4*1+M9+(M10*$N$4*$B$10)+(M12*$N$4*$B$12)+(M13*$N$4*$B$13)+(M14*$N$4*$B$14)+(M15*$N$4*$B$15)+(M16*$N$4*$B$16)+(M17*$N$4*$B$17)+(M18*$N$4*$B$18)+(M19*$N$4*$B$19)+(M20*$N$4*$B$20)+(M21*$N$4*$B$21)+(M22*$N$4*$B$22)+(M11*$N$4*$B$11)</f>
        <v/>
      </c>
      <c r="O9" s="124">
        <f>N9*$O$4*1+N9+(N10*$O$4*$B$10)+(N12*$O$4*$B$12)+(N13*$O$4*$B$13)+(N14*$O$4*$B$14)+(N15*$O$4*$B$15)+(N16*$O$4*$B$16)+(N17*$O$4*$B$17)+(N18*$O$4*$B$18)+(N19*$O$4*$B$19)+(N20*$O$4*$B$20)+(N21*$O$4*$B$21)+(N22*$O$4*$B$22)+(N11*$O$4*$B$11)</f>
        <v/>
      </c>
      <c r="P9" s="124">
        <f>O9*$P$4*1+O9+(O10*$P$4*$B$10)+(O12*$P$4*$B$12)+(O13*$P$4*$B$13)+(O14*$P$4*$B$14)+(O15*$P$4*$B$15)+(O16*$P$4*$B$16)+(O17*$P$4*$B$17)+(O18*$P$4*$B$18)+(O19*$P$4*$B$19)+(O20*$P$4*$B$20)+(O21*$P$4*$B$21)+(O22*$P$4*$B$22)+(O11*$P$4*$B$11)</f>
        <v/>
      </c>
      <c r="Q9" s="124">
        <f>P9*$Q$4*1+P9+(P10*$Q$4*$B$10)+(P12*$Q$4*$B$12)+(P13*$Q$4*$B$13)+(P14*$Q$4*$B$14)+(P15*$Q$4*$B$15)+(P16*$Q$4*$B$16)+(P17*$Q$4*$B$17)+(P18*$Q$4*$B$18)+(P19*$Q$4*$B$19)+(P20*$Q$4*$B$20)+(P21*$Q$4*$B$21)+(P22*$Q$4*$B$22)+(P11*$Q$4*$B$11)+(P23*$Q$4*$B$23)</f>
        <v/>
      </c>
      <c r="R9" s="124">
        <f>Q9*$R$4*1+Q9+(Q10*$R$4*$B$10)+(Q12*$R$4*$B$12)+(Q13*$R$4*$B$13)+(Q14*$R$4*$B$14)+(Q15*$R$4*$B$15)+(Q16*$R$4*$B$16)+(Q17*$R$4*$B$17)+(Q18*$R$4*$B$18)+(Q19*$R$4*$B$19)+(Q20*$R$4*$B$20)+(Q21*$R$4*$B$21)+(Q22*$R$4*$B$22)+(Q11*$R$4*$B$11)+(Q23*$R$4*$B$23)</f>
        <v/>
      </c>
      <c r="S9" s="124">
        <f>R9*$S$4*1+R9+(R10*$S$4*$B$10)+(R12*$S$4*$B$12)+(R13*$S$4*$B$13)+(R14*$S$4*$B$14)+(R15*$S$4*$B$15)+(R16*$S$4*$B$16)+(R17*$S$4*$B$17)+(R18*$S$4*$B$18)+(R19*$S$4*$B$19)+(R20*$S$4*$B$20)+(R21*$S$4*$B$21)+(R22*$S$4*$B$22)+(R11*$S$4*$B$11)+(R23*$S$4*$B$23)+(R24*$S$4*$B$24)</f>
        <v/>
      </c>
      <c r="T9" s="124">
        <f>S9*$T$4*1+S9+(S10*$T$4*$B$10)+(S12*$T$4*$B$12)+(S13*$T$4*$B$13)+(S14*$T$4*$B$14)+(S15*$T$4*$B$15)+(S16*$T$4*$B$16)+(S17*$T$4*$B$17)+(S18*$T$4*$B$18)+(S19*$T$4*$B$19)+(S20*$T$4*$B$20)+(S21*$T$4*$B$21)+(S22*$T$4*$B$22)+(S11*$T$4*$B$11)+(S23*$T$4*$B$23)+(S24*$T$4*$B$24)</f>
        <v/>
      </c>
      <c r="U9" s="124">
        <f>T9*$U$4*1+T9+(T10*$U$4*$B$10)+(T12*$U$4*$B$12)+(T13*$U$4*$B$13)+(T14*$U$4*$B$14)+(T15*$U$4*$B$15)+(T16*$U$4*$B$16)+(T17*$U$4*$B$17)+(T18*$U$4*$B$18)+(T19*$U$4*$B$19)+(T20*$U$4*$B$20)+(T21*$U$4*$B$21)+(T22*$U$4*$B$22)+(T11*$U$4*$B$11)+(T23*$U$4*$B$23)+(T24*$U$4*$B$24)+(T25*$U$4*$B$25)</f>
        <v/>
      </c>
      <c r="V9" s="124">
        <f>U9*$V$4*1+U9+(U10*$V$4*$B$10)+(U12*$V$4*$B$12)+(U13*$V$4*$B$13)+(U14*$V$4*$B$14)+(U15*$V$4*$B$15)+(U16*$V$4*$B$16)+(U17*$V$4*$B$17)+(U18*$V$4*$B$18)+(U19*$V$4*$B$19)+(U20*$V$4*$B$20)+(U21*$V$4*$B$21)+(U22*$V$4*$B$22)+(U11*$V$4*$B$11)+(U23*$V$4*$B$23)+(U24*$V$4*$B$24)+(U25*$V$4*$B$25)+(U22*$V$4*(1-$B22)+U22)-113841.65</f>
        <v/>
      </c>
      <c r="W9" s="124">
        <f>V9*$W$4*1+V9+(V10*$W$4*$B$10)+(V12*$W$4*$B$12)+(V13*$W$4*$B$13)+(V14*$W$4*$B$14)+(V15*$W$4*$B$15)+(V16*$W$4*$B$16)+(V17*$W$4*$B$17)+(V18*$W$4*$B$18)+(V19*$W$4*$B$19)+(V20*$W$4*$B$20)+(V21*$W$4*$B$21)+(V22*$W$4*$B$22)+(V11*$W$4*$B$11)+(V23*$W$4*$B$23)+(V24*$W$4*$B$24)+(V25*$W$4*$B$25)</f>
        <v/>
      </c>
      <c r="X9" s="124">
        <f>W9*$X$4*1+W9+(W10*$X$4*$B$10)+(W12*$X$4*$B$12)+(W13*$X$4*$B$13)+(W14*$X$4*$B$14)+(W15*$X$4*$B$15)+(W16*$X$4*$B$16)+(W17*$X$4*$B$17)+(W18*$X$4*$B$18)+(W19*$X$4*$B$19)+(W20*$X$4*$B$20)+(W21*$X$4*$B$21)+(W22*$X$4*$B$22)+(W11*$X$4*$B$11)+(W23*$X$4*$B$23)+(W24*$X$4*$B$24)+(W25*$X$4*$B$25)+(W26*$X$4*$B$26)</f>
        <v/>
      </c>
      <c r="Y9" s="124">
        <f>X9*$Y$4*1+X9+(X10*$Y$4*$B$10)+(X12*$Y$4*$B$12)+(X13*$Y$4*$B$13)+(X14*$Y$4*$B$14)+(X15*$Y$4*$B$15)+(X16*$Y$4*$B$16)+(X17*$Y$4*$B$17)+(X18*$Y$4*$B$18)+(X19*$Y$4*$B$19)+(X20*$Y$4*$B$20)+(X21*$Y$4*$B$21)+(X22*$Y$4*$B$22)+(X11*$Y$4*$B$11)+(X23*$Y$4*$B$23)+(X24*$Y$4*$B$24)+(X25*$Y$4*$B$25)+(X26*$Y$4*$B$26)</f>
        <v/>
      </c>
      <c r="Z9" s="124">
        <f>Y9*$Z$4*1+Y9+(Y10*$Z$4*$B$10)+(Y12*$Z$4*$B$12)+(Y13*$Z$4*$B$13)+(Y14*$Z$4*$B$14)+(Y15*$Z$4*$B$15)+(Y16*$Z$4*$B$16)+(Y17*$Z$4*$B$17)+(Y18*$Z$4*$B$18)+(Y19*$Z$4*$B$19)+(Y20*$Z$4*$B$20)+(Y21*$Z$4*$B$21)+(Y22*$Z$4*$B$22)+(Y11*$Z$4*$B$11)+(Y23*$Z$4*$B$23)+(Y24*$Z$4*$B$24)+(Y25*$Z$4*$B$25)+(Y26*$Z$4*$B$26)+(Y27*$Z$4*$B$27)+(Y28*$Z$4*$B$28)</f>
        <v/>
      </c>
      <c r="AA9" s="124">
        <f>Z9*$AA$4*1+Z9+(Z10*$AA$4*$B$10)+(Z12*$AA$4*$B$12)+(Z13*$AA$4*$B$13)+(Z14*$AA$4*$B$14)+(Z15*$AA$4*$B$15)+(Z16*$AA$4*$B$16)+(Z17*$AA$4*$B$17)+(Z18*$AA$4*$B$18)+(Z19*$AA$4*$B$19)+(Z20*$AA$4*$B$20)+(Z21*$AA$4*$B$21)+(Z22*$AA$4*$B$22)+(Z11*$AA$4*$B$11)+(Z23*$AA$4*$B$23)+(Z24*$AA$4*$B$24)+(Z25*$AA$4*$B$25)+(Z26*$AA$4*$B$26)+(Z27*$AA$4*$B$27)+(Z28*$AA$4*$B$28)+(Z29*$AA$4*$B$29)+(Z30*$AA$4*$B$30)</f>
        <v/>
      </c>
      <c r="AB9" s="124">
        <f>AA9*$AB$4*1+AA9+(AA10*$AB$4*$B$10)+(AA12*$AB$4*$B$12)+(AA13*$AB$4*$B$13)+(AA14*$AB$4*$B$14)+(AA15*$AB$4*$B$15)+(AA16*$AB$4*$B$16)+(AA17*$AB$4*$B$17)+(AA18*$AB$4*$B$18)+(AA19*$AB$4*$B$19)+(AA20*$AB$4*$B$20)+(AA21*$AB$4*$B$21)+(AA22*$AB$4*$B$22)+(AA11*$AB$4*$B$11)+(AA23*$AB$4*$B$23)+(AA24*$AB$4*$B$24)+(AA25*$AB$4*$B$25)+(AA26*$AB$4*$B$26)+(AA27*$AB$4*$B$27)+(AA28*$AB$4*$B$28)+(AA29*$AB$4*$B$29)+(AA30*$AB$4*$B$30)</f>
        <v/>
      </c>
      <c r="AC9" s="124">
        <f>AB9*$AC$4*1+AB9+(AB10*$AC$4*$B$10)+(AB12*$AC$4*$B$12)+(AB13*$AC$4*$B$13)+(AB14*$AC$4*$B$14)+(AB15*$AC$4*$B$15)+(AB16*$AC$4*$B$16)+(AB17*$AC$4*$B$17)+(AB18*$AC$4*$B$18)+(AB19*$AC$4*$B$19)+(AB20*$AC$4*$B$20)+(AB21*$AC$4*$B$21)+(AB22*$AC$4*$B$22)+(AB11*$AC$4*$B$11)+(AB23*$AC$4*$B$23)+(AB24*$AC$4*$B$24)+(AB25*$AC$4*$B$25)+(AB26*$AC$4*$B$26)+(AB27*$AC$4*$B$27)+(AB28*$AC$4*$B$28)+(AB29*$AC$4*$B$29)+(AB30*$AC$4*$B$30)+(AB31*$AC$4*$B$31)+(AB32*$AC$4*$B$32)</f>
        <v/>
      </c>
      <c r="AD9" s="124">
        <f>AC9*$AD$4*1+AC9+(AC10*$AD$4*$B$10)+(AC12*$AD$4*$B$12)+(AC13*$AD$4*$B$13)+(AC14*$AD$4*$B$14)+(AC15*$AD$4*$B$15)+(AC16*$AD$4*$B$16)+(AC17*$AD$4*$B$17)+(AC18*$AD$4*$B$18)+(AC19*$AD$4*$B$19)+(AC20*$AD$4*$B$20)+(AC21*$AD$4*$B$21)+(AC22*$AD$4*$B$22)+(AC11*$AD$4*$B$11)+(AC23*$AD$4*$B$23)+(AC24*$AD$4*$B$24)+(AC25*$AD$4*$B$25)+(AC26*$AD$4*$B$26)+(AC27*$AD$4*$B$27)+(AC28*$AD$4*$B$28)+(AC29*$AD$4*$B$29)+(AC30*$AD$4*$B$30)+(AC31*$AD$4*$B$31)+(AC32*$AD$4*$B$32)</f>
        <v/>
      </c>
      <c r="AE9" s="124">
        <f>AD9*$AE$4*1+AD9+(AD10*$AE$4*$B$10)+(AD12*$AE$4*$B$12)+(AD13*$AE$4*$B$13)+(AD14*$AE$4*$B$14)+(AD15*$AE$4*$B$15)+(AD16*$AE$4*$B$16)+(AD17*$AE$4*$B$17)+(AD18*$AE$4*$B$18)+(AD19*$AE$4*$B$19)+(AD20*$AE$4*$B$20)+(AD21*$AE$4*$B$21)+(AD22*$AE$4*$B$22)+(AD11*$AE$4*$B$11)+(AD23*$AE$4*$B$23)+(AD24*$AE$4*$B$24)+(AD25*$AE$4*$B$25)+(AD26*$AE$4*$B$26)+(AD27*$AE$4*$B$27)+(AD28*$AE$4*$B$28)+(AD29*$AE$4*$B$29)+(AD30*$AE$4*$B$30)+(AD31*$AE$4*$B$31)+(AD32*$AE$4*$B$32)</f>
        <v/>
      </c>
      <c r="AF9" s="124">
        <f>AE9*$AF$4*1+AE9+(AE10*$AF$4*$B$10)+(AE12*$AF$4*$B$12)+(AE13*$AF$4*$B$13)+(AE14*$AF$4*$B$14)+(AE15*$AF$4*$B$15)+(AE16*$AF$4*$B$16)+(AE17*$AF$4*$B$17)+(AE18*$AF$4*$B$18)+(AE19*$AF$4*$B$19)+(AE20*$AF$4*$B$20)+(AE21*$AF$4*$B$21)+(AE22*$AF$4*$B$22)+(AE11*$AF$4*$B$11)+(AE23*$AF$4*$B$23)+(AE24*$AF$4*$B$24)+(AE25*$AF$4*$B$25)+(AE26*$AF$4*$B$26)+(AE27*$AF$4*$B$27)+(AE28*$AF$4*$B$28)+(AE29*$AF$4*$B$29)+(AE30*$AF$4*$B$30)+(AE31*$AF$4*$B$31)+(AE32*$AF$4*$B$32)+(AE33*$AF$4*$B$33)+(AE27*$AF$4*(1-$B27)+AE27)-213501.6</f>
        <v/>
      </c>
      <c r="AG9" s="124">
        <f>AF9*$AG$4*1+AF9+(AF10*$AG$4*$B$10)+(AF12*$AG$4*$B$12)+(AF13*$AG$4*$B$13)+(AF14*$AG$4*$B$14)+(AF15*$AG$4*$B$15)+(AF16*$AG$4*$B$16)+(AF17*$AG$4*$B$17)+(AF18*$AG$4*$B$18)+(AF19*$AG$4*$B$19)+(AF20*$AG$4*$B$20)+(AF21*$AG$4*$B$21)+(AF22*$AG$4*$B$22)+(AF11*$AG$4*$B$11)+(AF23*$AG$4*$B$23)+(AF24*$AG$4*$B$24)+(AF25*$AG$4*$B$25)+(AF26*$AG$4*$B$26)+(AF27*$AG$4*$B$27)+(AF28*$AG$4*$B$28)+(AF29*$AG$4*$B$29)+(AF30*$AG$4*$B$30)+(AF31*$AG$4*$B$31)+(AF32*$AG$4*$B$32)+(AF33*$AG$4*$B$33)</f>
        <v/>
      </c>
      <c r="AH9" s="124">
        <f>AG9*AH$4*1+AG9+(AG10*AH$4*$B$10)+(AG12*AH$4*$B$12)+(AG13*AH$4*$B$13)+(AG14*AH$4*$B$14)+(AG15*AH$4*$B$15)+(AG16*AH$4*$B$16)+(AG17*AH$4*$B$17)+(AG18*AH$4*$B$18)+(AG19*AH$4*$B$19)+(AG20*AH$4*$B$20)+(AG21*AH$4*$B$21)+(AG22*AH$4*$B$22)+(AG11*AH$4*$B$11)+(AG23*AH$4*$B$23)+(AG24*AH$4*$B$24)+(AG25*AH$4*$B$25)+(AG26*AH$4*$B$26)+(AG27*AH$4*$B$27)+(AG28*AH$4*$B$28)+(AG29*AH$4*$B$29)+(AG30*AH$4*$B$30)+(AG31*AH$4*$B$31)+(AG32*AH$4*$B$32)+(AG33*AH$4*$B$33)+SUMIFS(Investments!$D:$D,Investments!$B:$B,$A9,Investments!$C:$C,"USDT",Investments!$A:$A,AH$8)+AG13*AH$4*(1-$B13)+AG13-114867.59+AG21*AH$4*(1-$B21)+AG21-5115.04</f>
        <v/>
      </c>
      <c r="AI9" s="124">
        <f>AH9*AI$4*1+AH9+(AH10*AI$4*$B$10)+(AH12*AI$4*$B$12)+(AH13*AI$4*$B$13)+(AH14*AI$4*$B$14)+(AH15*AI$4*$B$15)+(AH16*AI$4*$B$16)+(AH17*AI$4*$B$17)+(AH18*AI$4*$B$18)+(AH19*AI$4*$B$19)+(AH20*AI$4*$B$20)+(AH21*AI$4*$B$21)+(AH22*AI$4*$B$22)+(AH11*AI$4*$B$11)+(AH23*AI$4*$B$23)+(AH24*AI$4*$B$24)+(AH25*AI$4*$B$25)+(AH26*AI$4*$B$26)+(AH27*AI$4*$B$27)+(AH28*AI$4*$B$28)+(AH29*AI$4*$B$29)+(AH30*AI$4*$B$30)+(AH31*AI$4*$B$31)+(AH32*AI$4*$B$32)+(AH33*AI$4*$B$33)+SUMIFS(Investments!$D:$D,Investments!$B:$B,$A9,Investments!$C:$C,"USDT",Investments!$A:$A,AI$8)</f>
        <v/>
      </c>
      <c r="AJ9" s="124">
        <f>AI9*AJ$4*1+AI9+(AI10*AJ$4*$B$10)+(AI12*AJ$4*$B$12)+(AI13*AJ$4*$B$13)+(AI14*AJ$4*$B$14)+(AI15*AJ$4*$B$15)+(AI16*AJ$4*$B$16)+(AI17*AJ$4*$B$17)+(AI18*AJ$4*$B$18)+(AI19*AJ$4*$B$19)+(AI20*AJ$4*$B$20)+(AI21*AJ$4*$B$21)+(AI22*AJ$4*$B$22)+(AI11*AJ$4*$B$11)+(AI23*AJ$4*$B$23)+(AI24*AJ$4*$B$24)+(AI25*AJ$4*$B$25)+(AI26*AJ$4*$B$26)+(AI27*AJ$4*$B$27)+(AI28*AJ$4*$B$28)+(AI29*AJ$4*$B$29)+(AI30*AJ$4*$B$30)+(AI31*AJ$4*$B$31)+(AI32*AJ$4*$B$32)+(AI33*AJ$4*$B$33)+SUMIFS(Investments!$D:$D,Investments!$B:$B,$A9,Investments!$C:$C,"USDT",Investments!$A:$A,AJ$8)</f>
        <v/>
      </c>
      <c r="AK9" s="124">
        <f>AJ9*AK$4*1+AJ9+(AJ10*AK$4*$B$10)+(AJ12*AK$4*$B$12)+(AJ13*AK$4*$B$13)+(AJ14*AK$4*$B$14)+(AJ15*AK$4*$B$15)+(AJ16*AK$4*$B$16)+(AJ17*AK$4*$B$17)+(AJ18*AK$4*$B$18)+(AJ19*AK$4*$B$19)+(AJ20*AK$4*$B$20)+(AJ21*AK$4*$B$21)+(AJ22*AK$4*$B$22)+(AJ11*AK$4*$B$11)+(AJ23*AK$4*$B$23)+(AJ24*AK$4*$B$24)+(AJ25*AK$4*$B$25)+(AJ26*AK$4*$B$26)+(AJ27*AK$4*$B$27)+(AJ28*AK$4*$B$28)+(AJ29*AK$4*$B$29)+(AJ30*AK$4*$B$30)+(AJ31*AK$4*$B$31)+(AJ32*AK$4*$B$32)+(AJ33*AK$4*$B$33)+SUMIFS(Investments!$D:$D,Investments!$B:$B,$A9,Investments!$C:$C,"USDT",Investments!$A:$A,AK$8)</f>
        <v/>
      </c>
      <c r="AL9" s="124">
        <f>AK9*AL$4*1+AK9+(AK10*AL$4*$B$10)+(AK12*AL$4*$B$12)+(AK13*AL$4*$B$13)+(AK14*AL$4*$B$14)+(AK15*AL$4*$B$15)+(AK16*AL$4*$B$16)+(AK17*AL$4*$B$17)+(AK18*AL$4*$B$18)+(AK19*AL$4*$B$19)+(AK20*AL$4*$B$20)+(AK21*AL$4*$B$21)+(AK22*AL$4*$B$22)+(AK11*AL$4*$B$11)+(AK23*AL$4*$B$23)+(AK24*AL$4*$B$24)+(AK25*AL$4*$B$25)+(AK26*AL$4*$B$26)+(AK27*AL$4*$B$27)+(AK28*AL$4*$B$28)+(AK29*AL$4*$B$29)+(AK30*AL$4*$B$30)+(AK31*AL$4*$B$31)+(AK32*AL$4*$B$32)+(AK33*AL$4*$B$33)+SUMIFS(Investments!$D:$D,Investments!$B:$B,$A9,Investments!$C:$C,"USDT",Investments!$A:$A,AL$8)</f>
        <v/>
      </c>
      <c r="AM9" s="124">
        <f>AL9*AM$4*1+AL9+(AL10*AM$4*$B$10)+(AL12*AM$4*$B$12)+(AL13*AM$4*$B$13)+(AL14*AM$4*$B$14)+(AL15*AM$4*$B$15)+(AL16*AM$4*$B$16)+(AL17*AM$4*$B$17)+(AL18*AM$4*$B$18)+(AL19*AM$4*$B$19)+(AL20*AM$4*$B$20)+(AL21*AM$4*$B$21)+(AL22*AM$4*$B$22)+(AL11*AM$4*$B$11)+(AL23*AM$4*$B$23)+(AL24*AM$4*$B$24)+(AL25*AM$4*$B$25)+(AL26*AM$4*$B$26)+(AL27*AM$4*$B$27)+(AL28*AM$4*$B$28)+(AL29*AM$4*$B$29)+(AL30*AM$4*$B$30)+(AL31*AM$4*$B$31)+(AL32*AM$4*$B$32)+(AL33*AM$4*$B$33)+(AL33*AM$4*(1-$B33)+AL33)-47373.77+SUMIFS(Investments!$D:$D,Investments!$B:$B,$A9,Investments!$C:$C,"USDT",Investments!$A:$A,AM$8)</f>
        <v/>
      </c>
      <c r="AN9" s="124">
        <f>AM9*AN$4*1+AM9+(AM10*AN$4*$B$10)+(AM12*AN$4*$B$12)+(AM13*AN$4*$B$13)+(AM14*AN$4*$B$14)+(AM15*AN$4*$B$15)+(AM16*AN$4*$B$16)+(AM17*AN$4*$B$17)+(AM18*AN$4*$B$18)+(AM19*AN$4*$B$19)+(AM20*AN$4*$B$20)+(AM21*AN$4*$B$21)+(AM22*AN$4*$B$22)+(AM11*AN$4*$B$11)+(AM23*AN$4*$B$23)+(AM24*AN$4*$B$24)+(AM25*AN$4*$B$25)+(AM26*AN$4*$B$26)+(AM27*AN$4*$B$27)+(AM28*AN$4*$B$28)+(AM29*AN$4*$B$29)+(AM30*AN$4*$B$30)+(AM31*AN$4*$B$31)+(AM32*AN$4*$B$32)+(AM33*AN$4*$B$33)+SUMIFS(Investments!$D:$D,Investments!$B:$B,$A9,Investments!$C:$C,"USDT",Investments!$A:$A,AN$8)</f>
        <v/>
      </c>
      <c r="AO9" s="124">
        <f>AN9*AO$4*1+AN9+(AN10*AO$4*$B$10)+(AN12*AO$4*$B$12)+(AN13*AO$4*$B$13)+(AN14*AO$4*$B$14)+(AN15*AO$4*$B$15)+(AN16*AO$4*$B$16)+(AN17*AO$4*$B$17)+(AN18*AO$4*$B$18)+(AN19*AO$4*$B$19)+(AN20*AO$4*$B$20)+(AN21*AO$4*$B$21)+(AN22*AO$4*$B$22)+(AN11*AO$4*$B$11)+(AN23*AO$4*$B$23)+(AN24*AO$4*$B$24)+(AN25*AO$4*$B$25)+(AN26*AO$4*$B$26)+(AN27*AO$4*$B$27)+(AN28*AO$4*$B$28)+(AN29*AO$4*$B$29)+(AN30*AO$4*$B$30)+(AN31*AO$4*$B$31)+(AN32*AO$4*$B$32)+(AN33*AO$4*$B$33)+SUMIFS(Investments!$D:$D,Investments!$B:$B,$A9,Investments!$C:$C,"USDT",Investments!$A:$A,AO$8)</f>
        <v/>
      </c>
      <c r="AP9" s="124">
        <f>AO9*AP$4*1+AO9+(AO10*AP$4*$B$10)+(AO12*AP$4*$B$12)+(AO13*AP$4*$B$13)+(AO14*AP$4*$B$14)+(AO15*AP$4*$B$15)+(AO16*AP$4*$B$16)+(AO17*AP$4*$B$17)+(AO18*AP$4*$B$18)+(AO19*AP$4*$B$19)+(AO20*AP$4*$B$20)+(AO21*AP$4*$B$21)+(AO22*AP$4*$B$22)+(AO11*AP$4*$B$11)+(AO23*AP$4*$B$23)+(AO24*AP$4*$B$24)+(AO25*AP$4*$B$25)+(AO26*AP$4*$B$26)+(AO27*AP$4*$B$27)+(AO28*AP$4*$B$28)+(AO29*AP$4*$B$29)+(AO30*AP$4*$B$30)+(AO31*AP$4*$B$31)+(AO32*AP$4*$B$32)+(AO33*AP$4*$B$33)+SUMIFS(Investments!$D:$D,Investments!$B:$B,$A9,Investments!$C:$C,"USDT",Investments!$A:$A,AP$8)</f>
        <v/>
      </c>
      <c r="AQ9" s="124">
        <f>AP9*AQ$4*1+AP9+(AP10*AQ$4*$B$10)+(AP12*AQ$4*$B$12)+(AP13*AQ$4*$B$13)+(AP14*AQ$4*$B$14)+(AP15*AQ$4*$B$15)+(AP16*AQ$4*$B$16)+(AP17*AQ$4*$B$17)+(AP18*AQ$4*$B$18)+(AP19*AQ$4*$B$19)+(AP20*AQ$4*$B$20)+(AP21*AQ$4*$B$21)+(AP22*AQ$4*$B$22)+(AP11*AQ$4*$B$11)+(AP23*AQ$4*$B$23)+(AP24*AQ$4*$B$24)+(AP25*AQ$4*$B$25)+(AP26*AQ$4*$B$26)+(AP27*AQ$4*$B$27)+(AP28*AQ$4*$B$28)+(AP29*AQ$4*$B$29)+(AP30*AQ$4*$B$30)+(AP31*AQ$4*$B$31)+(AP32*AQ$4*$B$32)+(AP33*AQ$4*$B$33)+SUMIFS(Investments!$D:$D,Investments!$B:$B,$A9,Investments!$C:$C,"USDT",Investments!$A:$A,AQ$8)</f>
        <v/>
      </c>
      <c r="AR9" s="124">
        <f>AQ9*AR$4*1+AQ9+(AQ10*AR$4*$B$10)+(AQ12*AR$4*$B$12)+(AQ13*AR$4*$B$13)+(AQ14*AR$4*$B$14)+(AQ15*AR$4*$B$15)+(AQ16*AR$4*$B$16)+(AQ17*AR$4*$B$17)+(AQ18*AR$4*$B$18)+(AQ19*AR$4*$B$19)+(AQ20*AR$4*$B$20)+(AQ21*AR$4*$B$21)+(AQ22*AR$4*$B$22)+(AQ11*AR$4*$B$11)+(AQ23*AR$4*$B$23)+(AQ24*AR$4*$B$24)+(AQ25*AR$4*$B$25)+(AQ26*AR$4*$B$26)+(AQ27*AR$4*$B$27)+(AQ28*AR$4*$B$28)+(AQ29*AR$4*$B$29)+(AQ30*AR$4*$B$30)+(AQ31*AR$4*$B$31)+(AQ32*AR$4*$B$32)+(AQ33*AR$4*$B$33)+SUMIFS(Investments!$D:$D,Investments!$B:$B,$A9,Investments!$C:$C,"USDT",Investments!$A:$A,AR$8)</f>
        <v/>
      </c>
      <c r="AS9" s="124">
        <f>AR9*AS$4*1+AR9+(AR10*AS$4*$B$10)+(AR12*AS$4*$B$12)+(AR13*AS$4*$B$13)+(AR14*AS$4*$B$14)+(AR15*AS$4*$B$15)+(AR16*AS$4*$B$16)+(AR17*AS$4*$B$17)+(AR18*AS$4*$B$18)+(AR19*AS$4*$B$19)+(AR20*AS$4*$B$20)+(AR21*AS$4*$B$21)+(AR22*AS$4*$B$22)+(AR11*AS$4*$B$11)+(AR23*AS$4*$B$23)+(AR24*AS$4*$B$24)+(AR25*AS$4*$B$25)+(AR26*AS$4*$B$26)+(AR27*AS$4*$B$27)+(AR28*AS$4*$B$28)+(AR29*AS$4*$B$29)+(AR30*AS$4*$B$30)+(AR31*AS$4*$B$31)+(AR32*AS$4*$B$32)+(AR33*AS$4*$B$33)+SUMIFS(Investments!$D:$D,Investments!$B:$B,$A9,Investments!$C:$C,"USDT",Investments!$A:$A,AS$8)</f>
        <v/>
      </c>
      <c r="AT9" s="124">
        <f>AS9*AT$4*1+AS9+(AS10*AT$4*$B$10)+(AS12*AT$4*$B$12)+(AS13*AT$4*$B$13)+(AS14*AT$4*$B$14)+(AS15*AT$4*$B$15)+(AS16*AT$4*$B$16)+(AS17*AT$4*$B$17)+(AS18*AT$4*$B$18)+(AS19*AT$4*$B$19)+(AS20*AT$4*$B$20)+(AS21*AT$4*$B$21)+(AS22*AT$4*$B$22)+(AS11*AT$4*$B$11)+(AS23*AT$4*$B$23)+(AS24*AT$4*$B$24)+(AS25*AT$4*$B$25)+(AS26*AT$4*$B$26)+(AS27*AT$4*$B$27)+(AS28*AT$4*$B$28)+(AS29*AT$4*$B$29)+(AS30*AT$4*$B$30)+(AS31*AT$4*$B$31)+(AS32*AT$4*$B$32)+(AS33*AT$4*$B$33)+SUMIFS(Investments!$D:$D,Investments!$B:$B,$A9,Investments!$C:$C,"USDT",Investments!$A:$A,AT$8)+(AS28*AT$4*(1-$B28-$C28)+AS28)-7045353.8</f>
        <v/>
      </c>
      <c r="AU9" s="125" t="n"/>
      <c r="AV9" s="125" t="n"/>
      <c r="AW9" s="125" t="n"/>
      <c r="AX9" s="125" t="n"/>
      <c r="AY9" s="125" t="n"/>
      <c r="AZ9" s="125" t="n"/>
      <c r="BA9" s="125" t="n"/>
      <c r="BB9" s="125" t="n"/>
      <c r="BC9" s="125" t="n"/>
      <c r="BD9" s="125" t="n"/>
      <c r="BE9" s="125" t="n"/>
      <c r="BF9" s="125" t="n"/>
      <c r="BG9" s="125" t="n"/>
      <c r="BH9" s="125" t="n"/>
      <c r="BI9" s="125" t="n"/>
      <c r="BJ9" s="125" t="n"/>
      <c r="BK9" s="125" t="n"/>
      <c r="BL9" s="125" t="n"/>
      <c r="BM9" s="125" t="n"/>
      <c r="BN9" s="125" t="n"/>
    </row>
    <row r="10" ht="15.75" customHeight="1" s="252">
      <c r="A10" s="123" t="inlineStr">
        <is>
          <t>Babak Eftekhari</t>
        </is>
      </c>
      <c r="B10" s="113" t="n">
        <v>0.18</v>
      </c>
      <c r="C10" s="113" t="n">
        <v>0.02</v>
      </c>
      <c r="D10" s="124">
        <f> 134026.75+1700</f>
        <v/>
      </c>
      <c r="E10" s="124">
        <f>D10*$E$4+D10</f>
        <v/>
      </c>
      <c r="F10" s="124">
        <f>E10*$F$4*(1-B10-C10)+E10</f>
        <v/>
      </c>
      <c r="G10" s="124">
        <f>F10*$G$4*(1-B10-C10)+F10+46955.28</f>
        <v/>
      </c>
      <c r="H10" s="124">
        <f>G10*$H$4*(1-B10-C10)+G10</f>
        <v/>
      </c>
      <c r="I10" s="124">
        <f>H10*$I$4*(1-B10-C10)+H10</f>
        <v/>
      </c>
      <c r="J10" s="124">
        <f>I10*$J$4*(1-$B10-$C10)+I10+10000</f>
        <v/>
      </c>
      <c r="K10" s="124">
        <f>J10*$K$4*(1-$B10-$C10)+J10</f>
        <v/>
      </c>
      <c r="L10" s="124">
        <f>K10*$L$4*(1-$B10-$C10)+K10</f>
        <v/>
      </c>
      <c r="M10" s="124">
        <f>L10*$M$4*(1-$B10-$C10)+L10</f>
        <v/>
      </c>
      <c r="N10" s="124">
        <f>M10*$N$4*(1-$B10-$C10)+M10+10000</f>
        <v/>
      </c>
      <c r="O10" s="124">
        <f>N10*$O$4*(1-$B10-$C10)+N10</f>
        <v/>
      </c>
      <c r="P10" s="124">
        <f>O10*$P$4*(1-$B10-$C10)+O10</f>
        <v/>
      </c>
      <c r="Q10" s="124">
        <f>P10*$Q$4*(1-$B10-$C10)+P10+20000</f>
        <v/>
      </c>
      <c r="R10" s="124">
        <f>Q10*$R$4*(1-$B10-$C10)+Q10</f>
        <v/>
      </c>
      <c r="S10" s="124">
        <f>R10*$S$4*(1-$B10-$C10)+R10</f>
        <v/>
      </c>
      <c r="T10" s="124">
        <f>S10*$T$4*(1-$B10-$C10)+S10+10450</f>
        <v/>
      </c>
      <c r="U10" s="124">
        <f>T10*$U$4*(1-$B10-$C10)+T10</f>
        <v/>
      </c>
      <c r="V10" s="124">
        <f>U10*$V$4*(1-$B10-$C10)+U10</f>
        <v/>
      </c>
      <c r="W10" s="124">
        <f>V10*$W$4*(1-$B10-$C10)+V10</f>
        <v/>
      </c>
      <c r="X10" s="124">
        <f>W10*$X$4*(1-$B10-$C10)+W10</f>
        <v/>
      </c>
      <c r="Y10" s="124">
        <f>X10*$Y$4*(1-$B10-$C10)+X10</f>
        <v/>
      </c>
      <c r="Z10" s="124">
        <f>Y10*$Z$4*(1-$B10-$C10)+Y10</f>
        <v/>
      </c>
      <c r="AA10" s="124">
        <f>Z10*$AA$4*(1-$B10-$C10)+Z10</f>
        <v/>
      </c>
      <c r="AB10" s="124">
        <f>AA10*$AB$4*(1-$B10-$C10)+AA10</f>
        <v/>
      </c>
      <c r="AC10" s="124">
        <f>AB10*$AC$4*(1-$B10-$C10)+AB10</f>
        <v/>
      </c>
      <c r="AD10" s="124">
        <f>AC10*$AD$4*(1-$B10-$C10)+AC10</f>
        <v/>
      </c>
      <c r="AE10" s="124">
        <f>AD10*$AE$4*(1-$B10-$C10)+AD10</f>
        <v/>
      </c>
      <c r="AF10" s="124">
        <f>AE10*$AF$4*(1-$B10-$C10)+AE10</f>
        <v/>
      </c>
      <c r="AG10" s="124">
        <f>AF10*$AG$4*(1-$B10-$C10)+AF10</f>
        <v/>
      </c>
      <c r="AH10" s="124">
        <f>AG10*AH$4*(1-$B10-$C10)+AG10+SUMIFS(Investments!$D:$D,Investments!$B:$B,$A10,Investments!$C:$C,"USDT",Investments!$A:$A,AH$8)</f>
        <v/>
      </c>
      <c r="AI10" s="124">
        <f>AH10*AI$4*(1-$B10-$C10)+AH10+SUMIFS(Investments!$D:$D,Investments!$B:$B,$A10,Investments!$C:$C,"USDT",Investments!$A:$A,AI$8)</f>
        <v/>
      </c>
      <c r="AJ10" s="124">
        <f>AI10*AJ$4*(1-$B10-$C10)+AI10+SUMIFS(Investments!$D:$D,Investments!$B:$B,$A10,Investments!$C:$C,"USDT",Investments!$A:$A,AJ$8)</f>
        <v/>
      </c>
      <c r="AK10" s="124">
        <f>AJ10*AK$4*(1-$B10-$C10)+AJ10+SUMIFS(Investments!$D:$D,Investments!$B:$B,$A10,Investments!$C:$C,"USDT",Investments!$A:$A,AK$8)</f>
        <v/>
      </c>
      <c r="AL10" s="124">
        <f>AK10*AL$4*(1-$B10-$C10)+AK10+SUMIFS(Investments!$D:$D,Investments!$B:$B,$A10,Investments!$C:$C,"USDT",Investments!$A:$A,AL$8)</f>
        <v/>
      </c>
      <c r="AM10" s="124">
        <f>AL10*AM$4*(1-$B10-$C10)+AL10+SUMIFS(Investments!$D:$D,Investments!$B:$B,$A10,Investments!$C:$C,"USDT",Investments!$A:$A,AM$8)</f>
        <v/>
      </c>
      <c r="AN10" s="124">
        <f>AM10*AN$4*(1-$B10-$C10)+AM10+SUMIFS(Investments!$D:$D,Investments!$B:$B,$A10,Investments!$C:$C,"USDT",Investments!$A:$A,AN$8)</f>
        <v/>
      </c>
      <c r="AO10" s="124">
        <f>AN10*AO$4*(1-$B10-$C10)+AN10+SUMIFS(Investments!$D:$D,Investments!$B:$B,$A10,Investments!$C:$C,"USDT",Investments!$A:$A,AO$8)</f>
        <v/>
      </c>
      <c r="AP10" s="124">
        <f>AO10*AP$4*(1-$B10-$C10)+AO10+SUMIFS(Investments!$D:$D,Investments!$B:$B,$A10,Investments!$C:$C,"USDT",Investments!$A:$A,AP$8)</f>
        <v/>
      </c>
      <c r="AQ10" s="124">
        <f>AP10*AQ$4*(1-$B10-$C10)+AP10+SUMIFS(Investments!$D:$D,Investments!$B:$B,$A10,Investments!$C:$C,"USDT",Investments!$A:$A,AQ$8)</f>
        <v/>
      </c>
      <c r="AR10" s="124">
        <f>AQ10*AR$4*(1-$B10-$C10)+AQ10+SUMIFS(Investments!$D:$D,Investments!$B:$B,$A10,Investments!$C:$C,"USDT",Investments!$A:$A,AR$8)</f>
        <v/>
      </c>
      <c r="AS10" s="124">
        <f>AR10*AS$4*(1-$B10-$C10)+AR10+SUMIFS(Investments!$D:$D,Investments!$B:$B,$A10,Investments!$C:$C,"USDT",Investments!$A:$A,AS$8)</f>
        <v/>
      </c>
      <c r="AT10" s="124">
        <f>AS10*AT$4*(1-$B10-$C10)+AS10+SUMIFS(Investments!$D:$D,Investments!$B:$B,$A10,Investments!$C:$C,"USDT",Investments!$A:$A,AT$8)</f>
        <v/>
      </c>
      <c r="AU10" s="125" t="n"/>
      <c r="AV10" s="125" t="n"/>
      <c r="AW10" s="125" t="n"/>
      <c r="AX10" s="125" t="n"/>
      <c r="AY10" s="125" t="n"/>
      <c r="AZ10" s="125" t="n"/>
      <c r="BA10" s="125" t="n"/>
      <c r="BB10" s="125" t="n"/>
      <c r="BC10" s="125" t="n"/>
      <c r="BD10" s="125" t="n"/>
      <c r="BE10" s="125" t="n"/>
      <c r="BF10" s="125" t="n"/>
      <c r="BG10" s="125" t="n"/>
      <c r="BH10" s="125" t="n"/>
      <c r="BI10" s="125" t="n"/>
      <c r="BJ10" s="125" t="n"/>
      <c r="BK10" s="125" t="n"/>
      <c r="BL10" s="125" t="n"/>
      <c r="BM10" s="125" t="n"/>
      <c r="BN10" s="125" t="n"/>
    </row>
    <row r="11" ht="15.75" customHeight="1" s="252">
      <c r="A11" s="123" t="inlineStr">
        <is>
          <t>Lars Ahlgreen</t>
        </is>
      </c>
      <c r="B11" s="113" t="n">
        <v>0.2</v>
      </c>
      <c r="C11" s="126" t="n"/>
      <c r="D11" s="124" t="n">
        <v>0</v>
      </c>
      <c r="E11" s="124">
        <f>D11*$E$4*(1-$B11)+D11</f>
        <v/>
      </c>
      <c r="F11" s="124">
        <f>E11*$F$4*(1-$B11)+E11+(E10*$F$4*$C$10)</f>
        <v/>
      </c>
      <c r="G11" s="124">
        <f>F11*$G$4*(1-$B11)+F11+(F10*$G$4*$C$10)</f>
        <v/>
      </c>
      <c r="H11" s="124">
        <f>G11*$H$4*(1-$B11)+G11+(G10*$H$4*$C$10)</f>
        <v/>
      </c>
      <c r="I11" s="124">
        <f>H11*$I$4*(1-$B11)+H11+(H10*$I$4*$C$10)</f>
        <v/>
      </c>
      <c r="J11" s="124">
        <f>(I11*$J$4*(1-$B11)+I11)+(I10*$J$4*$C$10)</f>
        <v/>
      </c>
      <c r="K11" s="124">
        <f>(J11*$K$4*(1-$B11)+J11)+(J10*$K$4*$C$10)</f>
        <v/>
      </c>
      <c r="L11" s="124">
        <f>(K11*$L$4*(1-$B11)+K11)+(K10*$L$4*$C$10)</f>
        <v/>
      </c>
      <c r="M11" s="124">
        <f>(L11*$M$4*(1-$B11)+L11)+(L10*$M$4*$C$10)</f>
        <v/>
      </c>
      <c r="N11" s="124">
        <f>(M11*$N$4*(1-$B11)+M11)+(M10*$N$4*$C$10)</f>
        <v/>
      </c>
      <c r="O11" s="124">
        <f>(N11*$O$4*(1-$B11)+N11)+(N10*$O$4*$C$10)</f>
        <v/>
      </c>
      <c r="P11" s="124">
        <f>(O11*$P$4*(1-$B11)+O11)+(O10*$P$4*$C$10)</f>
        <v/>
      </c>
      <c r="Q11" s="124">
        <f>(P11*$Q$4*(1-$B11)+P11)+(P10*$Q$4*$C$10)</f>
        <v/>
      </c>
      <c r="R11" s="124">
        <f>(Q11*$R$4*(1-$B11)+Q11)+(Q10*$R$4*$C$10)</f>
        <v/>
      </c>
      <c r="S11" s="124">
        <f>(R11*$S$4*(1-$B11)+R11)+(R10*$S$4*$C$10)</f>
        <v/>
      </c>
      <c r="T11" s="124">
        <f>(S11*$T$4*(1-$B11)+S11)+(S10*$T$4*$C$10)</f>
        <v/>
      </c>
      <c r="U11" s="124">
        <f>(T11*$U$4*(1-$B11)+T11)+(T10*$U$4*$C$10)</f>
        <v/>
      </c>
      <c r="V11" s="124">
        <f>(U11*$V$4*(1-$B11)+U11)+(U10*$V$4*$C$10)</f>
        <v/>
      </c>
      <c r="W11" s="124">
        <f>(V11*$W$4*(1-$B11)+V11)+(V10*$W$4*$C$10)</f>
        <v/>
      </c>
      <c r="X11" s="124">
        <f>(W11*$X$4*(1-$B11)+W11)+(W10*$X$4*$C$10)</f>
        <v/>
      </c>
      <c r="Y11" s="124">
        <f>(X11*$Y$4*(1-$B11)+X11)+(X10*$Y$4*$C$10)</f>
        <v/>
      </c>
      <c r="Z11" s="124">
        <f>(Y11*$Z$4*(1-$B11)+Y11)+(Y10*$Z$4*$C$10)</f>
        <v/>
      </c>
      <c r="AA11" s="124">
        <f>(Z11*$AA$4*(1-$B11)+Z11)+(Z10*$AA$4*$C$10)</f>
        <v/>
      </c>
      <c r="AB11" s="124">
        <f>(AA11*$AB$4*(1-$B11)+AA11)+(AA10*$AB$4*$C$10)</f>
        <v/>
      </c>
      <c r="AC11" s="124">
        <f>(AB11*$AC$4*(1-$B11)+AB11)+(AB10*$AC$4*$C$10)</f>
        <v/>
      </c>
      <c r="AD11" s="124">
        <f>(AC11*$AD$4*(1-$B11)+AC11)+(AC10*$AD$4*$C$10)</f>
        <v/>
      </c>
      <c r="AE11" s="124">
        <f>(AD11*$AE$4*(1-$B11)+AD11)+(AD10*$AE$4*$C$10)</f>
        <v/>
      </c>
      <c r="AF11" s="124">
        <f>(AE11*$AF$4*(1-$B11)+AE11)+(AE10*$AF$4*$C$10)</f>
        <v/>
      </c>
      <c r="AG11" s="124">
        <f>(AF11*$AG$4*(1-$B11)+AF11)+(AF10*$AG$4*$C$10)</f>
        <v/>
      </c>
      <c r="AH11" s="124">
        <f>(AG11*AH$4*(1-$B11)+AG11)+(AG10*AH$4*$C$10)</f>
        <v/>
      </c>
      <c r="AI11" s="124">
        <f>(AH11*AI$4*(1-$B11)+AH11)+(AH10*AI$4*$C$10)</f>
        <v/>
      </c>
      <c r="AJ11" s="124">
        <f>(AI11*AJ$4*(1-$B11)+AI11)+(AI10*AJ$4*$C$10)</f>
        <v/>
      </c>
      <c r="AK11" s="124">
        <f>(AJ11*AK$4*(1-$B11)+AJ11)+(AJ10*AK$4*$C$10)</f>
        <v/>
      </c>
      <c r="AL11" s="124">
        <f>(AK11*AL$4*(1-$B11)+AK11)+(AK10*AL$4*$C$10)</f>
        <v/>
      </c>
      <c r="AM11" s="124">
        <f>(AL11*AM$4*(1-$B11)+AL11)+(AL10*AM$4*$C$10)</f>
        <v/>
      </c>
      <c r="AN11" s="124">
        <f>(AM11*AN$4*(1-$B11)+AM11)+(AM10*AN$4*$C$10)</f>
        <v/>
      </c>
      <c r="AO11" s="124">
        <f>(AN11*AO$4*(1-$B11)+AN11)+(AN10*AO$4*$C$10)</f>
        <v/>
      </c>
      <c r="AP11" s="124">
        <f>(AO11*AP$4*(1-$B11)+AO11)+(AO10*AP$4*$C$10)</f>
        <v/>
      </c>
      <c r="AQ11" s="124">
        <f>(AP11*AQ$4*(1-$B11)+AP11)+(AP10*AQ$4*$C$10)</f>
        <v/>
      </c>
      <c r="AR11" s="124">
        <f>(AQ11*AR$4*(1-$B11)+AQ11)+(AQ10*AR$4*$C$10)</f>
        <v/>
      </c>
      <c r="AS11" s="124">
        <f>(AR11*AS$4*(1-$B11)+AR11)+(AR10*AS$4*$C$10)</f>
        <v/>
      </c>
      <c r="AT11" s="124">
        <f>(AS11*AT$4*(1-$B11)+AS11)+(AS10*AT$4*$C$10)</f>
        <v/>
      </c>
      <c r="AU11" s="125" t="n"/>
      <c r="AV11" s="125" t="n"/>
      <c r="AW11" s="125" t="n"/>
      <c r="AX11" s="125" t="n"/>
      <c r="AY11" s="125" t="n"/>
      <c r="AZ11" s="125" t="n"/>
      <c r="BA11" s="125" t="n"/>
      <c r="BB11" s="125" t="n"/>
      <c r="BC11" s="125" t="n"/>
      <c r="BD11" s="125" t="n"/>
      <c r="BE11" s="125" t="n"/>
      <c r="BF11" s="125" t="n"/>
      <c r="BG11" s="125" t="n"/>
      <c r="BH11" s="125" t="n"/>
      <c r="BI11" s="125" t="n"/>
      <c r="BJ11" s="125" t="n"/>
      <c r="BK11" s="125" t="n"/>
      <c r="BL11" s="125" t="n"/>
      <c r="BM11" s="125" t="n"/>
      <c r="BN11" s="125" t="n"/>
    </row>
    <row r="12" ht="15.75" customHeight="1" s="252">
      <c r="A12" s="123" t="inlineStr">
        <is>
          <t>Julien Grunebaum</t>
        </is>
      </c>
      <c r="B12" s="113" t="n">
        <v>0.1</v>
      </c>
      <c r="C12" s="113" t="n"/>
      <c r="D12" s="124" t="n">
        <v>0</v>
      </c>
      <c r="E12" s="124">
        <f>D12*$E$4*(1-$B12)+D12</f>
        <v/>
      </c>
      <c r="F12" s="124">
        <f>E12*$F$4*(1-$B12)+E12+109392</f>
        <v/>
      </c>
      <c r="G12" s="124">
        <f>F12*$G$4*(1-$B12)+F12</f>
        <v/>
      </c>
      <c r="H12" s="124">
        <f>G12*$H$4*(1-$B12)+G12</f>
        <v/>
      </c>
      <c r="I12" s="124">
        <f>H12*$I$4*(1-$B12)+H12</f>
        <v/>
      </c>
      <c r="J12" s="124">
        <f>I12*$J$4*(1-$B12)+I12</f>
        <v/>
      </c>
      <c r="K12" s="124">
        <f>J12*$K$4*(1-$B12)+J12</f>
        <v/>
      </c>
      <c r="L12" s="124">
        <f>K12*$L$4*(1-$B12)+K12</f>
        <v/>
      </c>
      <c r="M12" s="124">
        <f>L12*$M$4*(1-$B12)+L12</f>
        <v/>
      </c>
      <c r="N12" s="124">
        <f>M12*$N$4*(1-$B12)+M12</f>
        <v/>
      </c>
      <c r="O12" s="124">
        <f>N12*$O$4*(1-$B12)+N12</f>
        <v/>
      </c>
      <c r="P12" s="124">
        <f>O12*$P$4*(1-$B12)+O12</f>
        <v/>
      </c>
      <c r="Q12" s="124">
        <f>P12*$Q$4*(1-$B12)+P12</f>
        <v/>
      </c>
      <c r="R12" s="124">
        <f>Q12*$R$4*(1-$B12)+Q12</f>
        <v/>
      </c>
      <c r="S12" s="124">
        <f>R12*$S$4*(1-$B12)+R12</f>
        <v/>
      </c>
      <c r="T12" s="124">
        <f>S12*$T$4*(1-$B12)+S12</f>
        <v/>
      </c>
      <c r="U12" s="124">
        <f>T12*$U$4*(1-$B12)+T12</f>
        <v/>
      </c>
      <c r="V12" s="124">
        <f>U12*$V$4*(1-$B12)+U12</f>
        <v/>
      </c>
      <c r="W12" s="124">
        <f>V12*$W$4*(1-$B12)+V12</f>
        <v/>
      </c>
      <c r="X12" s="124">
        <f>W12*$X$4*(1-$B12)+W12</f>
        <v/>
      </c>
      <c r="Y12" s="124">
        <f>X12*$Y$4*(1-$B12)+X12</f>
        <v/>
      </c>
      <c r="Z12" s="124">
        <f>Y12*$Z$4*(1-$B12)+Y12</f>
        <v/>
      </c>
      <c r="AA12" s="124">
        <f>Z12*$AA$4*(1-$B12)+Z12</f>
        <v/>
      </c>
      <c r="AB12" s="124">
        <f>AA12*$AB$4*(1-$B12)+AA12</f>
        <v/>
      </c>
      <c r="AC12" s="124">
        <f>AB12*$AC$4*(1-$B12)+AB12</f>
        <v/>
      </c>
      <c r="AD12" s="124">
        <f>AC12*$AD$4*(1-$B12)+AC12</f>
        <v/>
      </c>
      <c r="AE12" s="124">
        <f>AD12*$AE$4*(1-$B12)+AD12</f>
        <v/>
      </c>
      <c r="AF12" s="124">
        <f>AE12*$AF$4*(1-$B12)+AE12</f>
        <v/>
      </c>
      <c r="AG12" s="124">
        <f>AF12*$AG$4*(1-$B12)+AF12</f>
        <v/>
      </c>
      <c r="AH12" s="124">
        <f>AG12*AH$4*(1-$B12)+AG12+SUMIFS(Investments!$D:$D,Investments!$B:$B,$A12,Investments!$C:$C,"USDT",Investments!$A:$A,AH$8)</f>
        <v/>
      </c>
      <c r="AI12" s="124">
        <f>AH12*AI$4*(1-$B12)+AH12+SUMIFS(Investments!$D:$D,Investments!$B:$B,$A12,Investments!$C:$C,"USDT",Investments!$A:$A,AI$8)</f>
        <v/>
      </c>
      <c r="AJ12" s="124">
        <f>AI12*AJ$4*(1-$B12)+AI12+SUMIFS(Investments!$D:$D,Investments!$B:$B,$A12,Investments!$C:$C,"USDT",Investments!$A:$A,AJ$8)</f>
        <v/>
      </c>
      <c r="AK12" s="124">
        <f>AJ12*AK$4*(1-$B12)+AJ12+SUMIFS(Investments!$D:$D,Investments!$B:$B,$A12,Investments!$C:$C,"USDT",Investments!$A:$A,AK$8)</f>
        <v/>
      </c>
      <c r="AL12" s="124">
        <f>AK12*AL$4*(1-$B12)+AK12+SUMIFS(Investments!$D:$D,Investments!$B:$B,$A12,Investments!$C:$C,"USDT",Investments!$A:$A,AL$8)</f>
        <v/>
      </c>
      <c r="AM12" s="124">
        <f>AL12*AM$4*(1-$B12)+AL12+SUMIFS(Investments!$D:$D,Investments!$B:$B,$A12,Investments!$C:$C,"USDT",Investments!$A:$A,AM$8)</f>
        <v/>
      </c>
      <c r="AN12" s="124">
        <f>AM12*AN$4*(1-$B12)+AM12+SUMIFS(Investments!$D:$D,Investments!$B:$B,$A12,Investments!$C:$C,"USDT",Investments!$A:$A,AN$8)</f>
        <v/>
      </c>
      <c r="AO12" s="124">
        <f>AN12*AO$4*(1-$B12)+AN12+SUMIFS(Investments!$D:$D,Investments!$B:$B,$A12,Investments!$C:$C,"USDT",Investments!$A:$A,AO$8)</f>
        <v/>
      </c>
      <c r="AP12" s="124">
        <f>AO12*AP$4*(1-$B12)+AO12+SUMIFS(Investments!$D:$D,Investments!$B:$B,$A12,Investments!$C:$C,"USDT",Investments!$A:$A,AP$8)</f>
        <v/>
      </c>
      <c r="AQ12" s="124">
        <f>AP12*AQ$4*(1-$B12)+AP12+SUMIFS(Investments!$D:$D,Investments!$B:$B,$A12,Investments!$C:$C,"USDT",Investments!$A:$A,AQ$8)</f>
        <v/>
      </c>
      <c r="AR12" s="124">
        <f>AQ12*AR$4*(1-$B12)+AQ12+SUMIFS(Investments!$D:$D,Investments!$B:$B,$A12,Investments!$C:$C,"USDT",Investments!$A:$A,AR$8)</f>
        <v/>
      </c>
      <c r="AS12" s="124">
        <f>AR12*AS$4*(1-$B12)+AR12+SUMIFS(Investments!$D:$D,Investments!$B:$B,$A12,Investments!$C:$C,"USDT",Investments!$A:$A,AS$8)</f>
        <v/>
      </c>
      <c r="AT12" s="124">
        <f>AS12*AT$4*(1-$B12)+AS12+SUMIFS(Investments!$D:$D,Investments!$B:$B,$A12,Investments!$C:$C,"USDT",Investments!$A:$A,AT$8)</f>
        <v/>
      </c>
      <c r="AU12" s="125" t="n"/>
      <c r="AV12" s="125" t="n"/>
      <c r="AW12" s="125" t="n"/>
      <c r="AX12" s="125" t="n"/>
      <c r="AY12" s="125" t="n"/>
      <c r="AZ12" s="125" t="n"/>
      <c r="BA12" s="125" t="n"/>
      <c r="BB12" s="125" t="n"/>
      <c r="BC12" s="125" t="n"/>
      <c r="BD12" s="125" t="n"/>
      <c r="BE12" s="125" t="n"/>
      <c r="BF12" s="125" t="n"/>
      <c r="BG12" s="125" t="n"/>
      <c r="BH12" s="125" t="n"/>
      <c r="BI12" s="125" t="n"/>
      <c r="BJ12" s="125" t="n"/>
      <c r="BK12" s="125" t="n"/>
      <c r="BL12" s="125" t="n"/>
      <c r="BM12" s="125" t="n"/>
      <c r="BN12" s="125" t="n"/>
    </row>
    <row r="13" ht="15.75" customHeight="1" s="252">
      <c r="A13" s="123" t="inlineStr">
        <is>
          <t>Daniele Francilia</t>
        </is>
      </c>
      <c r="B13" s="113" t="n">
        <v>0.1</v>
      </c>
      <c r="C13" s="113" t="n"/>
      <c r="D13" s="124" t="n">
        <v>0</v>
      </c>
      <c r="E13" s="124">
        <f>D13*$E$4*(1-$B13)+D13</f>
        <v/>
      </c>
      <c r="F13" s="124">
        <f>E13*$F$4*(1-$B13)+E13+109776</f>
        <v/>
      </c>
      <c r="G13" s="124">
        <f>F13*$G$4*(1-$B13)+F13</f>
        <v/>
      </c>
      <c r="H13" s="124">
        <f>G13*$H$4*(1-$B13)+G13</f>
        <v/>
      </c>
      <c r="I13" s="124">
        <f>H13*$I$4*(1-$B13)+H13</f>
        <v/>
      </c>
      <c r="J13" s="124">
        <f>I13*$J$4*(1-$B13)+I13</f>
        <v/>
      </c>
      <c r="K13" s="124">
        <f>J13*$K$4*(1-$B13)+J13</f>
        <v/>
      </c>
      <c r="L13" s="124">
        <f>K13*$L$4*(1-$B13)+K13</f>
        <v/>
      </c>
      <c r="M13" s="124">
        <f>L13*$M$4*(1-$B13)+L13</f>
        <v/>
      </c>
      <c r="N13" s="124">
        <f>M13*$N$4*(1-$B13)+M13</f>
        <v/>
      </c>
      <c r="O13" s="124">
        <f>N13*$O$4*(1-$B13)+N13</f>
        <v/>
      </c>
      <c r="P13" s="124">
        <f>O13*$P$4*(1-$B13)+O13</f>
        <v/>
      </c>
      <c r="Q13" s="124">
        <f>P13*$Q$4*(1-$B13)+P13</f>
        <v/>
      </c>
      <c r="R13" s="124">
        <f>Q13*$R$4*(1-$B13)+Q13</f>
        <v/>
      </c>
      <c r="S13" s="124">
        <f>R13*$S$4*(1-$B13)+R13</f>
        <v/>
      </c>
      <c r="T13" s="124">
        <f>S13*$T$4*(1-$B13)+S13</f>
        <v/>
      </c>
      <c r="U13" s="124">
        <f>T13*$U$4*(1-$B13)+T13</f>
        <v/>
      </c>
      <c r="V13" s="124">
        <f>U13*$V$4*(1-$B13)+U13</f>
        <v/>
      </c>
      <c r="W13" s="124">
        <f>V13*$W$4*(1-$B13)+V13</f>
        <v/>
      </c>
      <c r="X13" s="124">
        <f>W13*$X$4*(1-$B13)+W13</f>
        <v/>
      </c>
      <c r="Y13" s="124">
        <f>X13*$Y$4*(1-$B13)+X13</f>
        <v/>
      </c>
      <c r="Z13" s="124">
        <f>Y13*$Z$4*(1-$B13)+Y13</f>
        <v/>
      </c>
      <c r="AA13" s="124">
        <f>Z13*$AA$4*(1-$B13)+Z13</f>
        <v/>
      </c>
      <c r="AB13" s="124">
        <f>AA13*$AB$4*(1-$B13)+AA13</f>
        <v/>
      </c>
      <c r="AC13" s="124">
        <f>AB13*$AC$4*(1-$B13)+AB13</f>
        <v/>
      </c>
      <c r="AD13" s="124">
        <f>AC13*$AD$4*(1-$B13)+AC13</f>
        <v/>
      </c>
      <c r="AE13" s="124">
        <f>AD13*$AE$4*(1-$B13)+AD13</f>
        <v/>
      </c>
      <c r="AF13" s="124">
        <f>AE13*$AF$4*(1-$B13)+AE13</f>
        <v/>
      </c>
      <c r="AG13" s="124">
        <f>AF13*$AG$4*(1-$B13)+AF13</f>
        <v/>
      </c>
      <c r="AH13" s="124">
        <f>AG13*AH$4*(1-$B13)+AG13-(AG13*AH$4*(1-$B13)+AG13)</f>
        <v/>
      </c>
      <c r="AI13" s="124">
        <f>AH13*AI$4*(1-$B13)+AH13-(AH13*AI$4*(1-$B13)+AH13)</f>
        <v/>
      </c>
      <c r="AJ13" s="124">
        <f>AI13*AJ$4*(1-$B13)+AI13-(AI13*AJ$4*(1-$B13)+AI13)</f>
        <v/>
      </c>
      <c r="AK13" s="124">
        <f>AJ13*AK$4*(1-$B13)+AJ13-(AJ13*AK$4*(1-$B13)+AJ13)</f>
        <v/>
      </c>
      <c r="AL13" s="124">
        <f>AK13*AL$4*(1-$B13)+AK13-(AK13*AL$4*(1-$B13)+AK13)</f>
        <v/>
      </c>
      <c r="AM13" s="124">
        <f>AL13*AM$4*(1-$B13)+AL13-(AL13*AM$4*(1-$B13)+AL13)</f>
        <v/>
      </c>
      <c r="AN13" s="124">
        <f>AM13*AN$4*(1-$B13)+AM13-(AM13*AN$4*(1-$B13)+AM13)</f>
        <v/>
      </c>
      <c r="AO13" s="124">
        <f>AN13*AO$4*(1-$B13)+AN13-(AN13*AO$4*(1-$B13)+AN13)</f>
        <v/>
      </c>
      <c r="AP13" s="124">
        <f>AO13*AP$4*(1-$B13)+AO13-(AO13*AP$4*(1-$B13)+AO13)</f>
        <v/>
      </c>
      <c r="AQ13" s="124">
        <f>AP13*AQ$4*(1-$B13)+AP13-(AP13*AQ$4*(1-$B13)+AP13)</f>
        <v/>
      </c>
      <c r="AR13" s="124">
        <f>AQ13*AR$4*(1-$B13)+AQ13-(AQ13*AR$4*(1-$B13)+AQ13)</f>
        <v/>
      </c>
      <c r="AS13" s="124">
        <f>AR13*AS$4*(1-$B13)+AR13-(AR13*AS$4*(1-$B13)+AR13)</f>
        <v/>
      </c>
      <c r="AT13" s="124">
        <f>AS13*AT$4*(1-$B13)+AS13-(AS13*AT$4*(1-$B13)+AS13)</f>
        <v/>
      </c>
      <c r="AU13" s="125" t="n"/>
      <c r="AV13" s="125" t="n"/>
      <c r="AW13" s="125" t="n"/>
      <c r="AX13" s="125" t="n"/>
      <c r="AY13" s="125" t="n"/>
      <c r="AZ13" s="125" t="n"/>
      <c r="BA13" s="125" t="n"/>
      <c r="BB13" s="125" t="n"/>
      <c r="BC13" s="125" t="n"/>
      <c r="BD13" s="125" t="n"/>
      <c r="BE13" s="125" t="n"/>
      <c r="BF13" s="125" t="n"/>
      <c r="BG13" s="125" t="n"/>
      <c r="BH13" s="125" t="n"/>
      <c r="BI13" s="125" t="n"/>
      <c r="BJ13" s="125" t="n"/>
      <c r="BK13" s="125" t="n"/>
      <c r="BL13" s="125" t="n"/>
      <c r="BM13" s="125" t="n"/>
      <c r="BN13" s="125" t="n"/>
    </row>
    <row r="14" ht="15.75" customHeight="1" s="252">
      <c r="A14" s="123" t="inlineStr">
        <is>
          <t>Pierre Bezençon</t>
        </is>
      </c>
      <c r="B14" s="113" t="n">
        <v>0.1</v>
      </c>
      <c r="C14" s="113" t="n"/>
      <c r="D14" s="124" t="n">
        <v>0</v>
      </c>
      <c r="E14" s="124">
        <f>D14*$E$4*(1-$B14)+D14</f>
        <v/>
      </c>
      <c r="F14" s="124">
        <f>E14*$F$4*(1-$B14)+E14+109333</f>
        <v/>
      </c>
      <c r="G14" s="124">
        <f>F14*$G$4*(1-$B14)+F14</f>
        <v/>
      </c>
      <c r="H14" s="124">
        <f>G14*$H$4*(1-$B14)+G14</f>
        <v/>
      </c>
      <c r="I14" s="124">
        <f>H14*$I$4*(1-$B14)+H14</f>
        <v/>
      </c>
      <c r="J14" s="124">
        <f>I14*$J$4*(1-$B14)+I14</f>
        <v/>
      </c>
      <c r="K14" s="124">
        <f>J14*$K$4*(1-$B14)+J14</f>
        <v/>
      </c>
      <c r="L14" s="124">
        <f>K14*$L$4*(1-$B14)+K14</f>
        <v/>
      </c>
      <c r="M14" s="124">
        <f>L14*$M$4*(1-$B14)+L14</f>
        <v/>
      </c>
      <c r="N14" s="124">
        <f>M14*$N$4*(1-$B14)+M14</f>
        <v/>
      </c>
      <c r="O14" s="124">
        <f>N14*$O$4*(1-$B14)+N14</f>
        <v/>
      </c>
      <c r="P14" s="124">
        <f>O14*$P$4*(1-$B14)+O14</f>
        <v/>
      </c>
      <c r="Q14" s="124">
        <f>P14*$Q$4*(1-$B14)+P14</f>
        <v/>
      </c>
      <c r="R14" s="124">
        <f>Q14*$R$4*(1-$B14)+Q14</f>
        <v/>
      </c>
      <c r="S14" s="124">
        <f>R14*$S$4*(1-$B14)+R14</f>
        <v/>
      </c>
      <c r="T14" s="124">
        <f>S14*$T$4*(1-$B14)+S14</f>
        <v/>
      </c>
      <c r="U14" s="124">
        <f>T14*$U$4*(1-$B14)+T14</f>
        <v/>
      </c>
      <c r="V14" s="124">
        <f>U14*$V$4*(1-$B14)+U14</f>
        <v/>
      </c>
      <c r="W14" s="124">
        <f>V14*$W$4*(1-$B14)+V14</f>
        <v/>
      </c>
      <c r="X14" s="124">
        <f>W14*$X$4*(1-$B14)+W14</f>
        <v/>
      </c>
      <c r="Y14" s="124">
        <f>X14*$Y$4*(1-$B14)+X14</f>
        <v/>
      </c>
      <c r="Z14" s="124">
        <f>Y14*$Z$4*(1-$B14)+Y14</f>
        <v/>
      </c>
      <c r="AA14" s="124">
        <f>Z14*$AA$4*(1-$B14)+Z14</f>
        <v/>
      </c>
      <c r="AB14" s="124">
        <f>AA14*$AB$4*(1-$B14)+AA14</f>
        <v/>
      </c>
      <c r="AC14" s="124">
        <f>AB14*$AC$4*(1-$B14)+AB14</f>
        <v/>
      </c>
      <c r="AD14" s="124">
        <f>AC14*$AD$4*(1-$B14)+AC14</f>
        <v/>
      </c>
      <c r="AE14" s="124">
        <f>AD14*$AE$4*(1-$B14)+AD14</f>
        <v/>
      </c>
      <c r="AF14" s="124">
        <f>AE14*$AF$4*(1-$B14)+AE14</f>
        <v/>
      </c>
      <c r="AG14" s="124">
        <f>AF14*$AG$4*(1-$B14)+AF14</f>
        <v/>
      </c>
      <c r="AH14" s="124">
        <f>AG14*AH$4*(1-$B14)+AG14+SUMIFS(Investments!$D:$D,Investments!$B:$B,$A14,Investments!$C:$C,"USDT",Investments!$A:$A,AH$8)</f>
        <v/>
      </c>
      <c r="AI14" s="124">
        <f>AH14*AI$4*(1-$B14)+AH14+SUMIFS(Investments!$D:$D,Investments!$B:$B,$A14,Investments!$C:$C,"USDT",Investments!$A:$A,AI$8)</f>
        <v/>
      </c>
      <c r="AJ14" s="124">
        <f>AI14*AJ$4*(1-$B14)+AI14+SUMIFS(Investments!$D:$D,Investments!$B:$B,$A14,Investments!$C:$C,"USDT",Investments!$A:$A,AJ$8)</f>
        <v/>
      </c>
      <c r="AK14" s="124">
        <f>AJ14*AK$4*(1-$B14)+AJ14+SUMIFS(Investments!$D:$D,Investments!$B:$B,$A14,Investments!$C:$C,"USDT",Investments!$A:$A,AK$8)</f>
        <v/>
      </c>
      <c r="AL14" s="124">
        <f>AK14*AL$4*(1-$B14)+AK14+SUMIFS(Investments!$D:$D,Investments!$B:$B,$A14,Investments!$C:$C,"USDT",Investments!$A:$A,AL$8)</f>
        <v/>
      </c>
      <c r="AM14" s="124">
        <f>AL14*AM$4*(1-$B14)+AL14+SUMIFS(Investments!$D:$D,Investments!$B:$B,$A14,Investments!$C:$C,"USDT",Investments!$A:$A,AM$8)</f>
        <v/>
      </c>
      <c r="AN14" s="124">
        <f>AM14*AN$4*(1-$B14)+AM14+SUMIFS(Investments!$D:$D,Investments!$B:$B,$A14,Investments!$C:$C,"USDT",Investments!$A:$A,AN$8)</f>
        <v/>
      </c>
      <c r="AO14" s="124">
        <f>AN14*AO$4*(1-$B14)+AN14+SUMIFS(Investments!$D:$D,Investments!$B:$B,$A14,Investments!$C:$C,"USDT",Investments!$A:$A,AO$8)</f>
        <v/>
      </c>
      <c r="AP14" s="124">
        <f>AO14*AP$4*(1-$B14)+AO14+SUMIFS(Investments!$D:$D,Investments!$B:$B,$A14,Investments!$C:$C,"USDT",Investments!$A:$A,AP$8)</f>
        <v/>
      </c>
      <c r="AQ14" s="124">
        <f>AP14*AQ$4*(1-$B14)+AP14+SUMIFS(Investments!$D:$D,Investments!$B:$B,$A14,Investments!$C:$C,"USDT",Investments!$A:$A,AQ$8)</f>
        <v/>
      </c>
      <c r="AR14" s="124">
        <f>AQ14*AR$4*(1-$B14)+AQ14+SUMIFS(Investments!$D:$D,Investments!$B:$B,$A14,Investments!$C:$C,"USDT",Investments!$A:$A,AR$8)</f>
        <v/>
      </c>
      <c r="AS14" s="124">
        <f>AR14*AS$4*(1-$B14)+AR14+SUMIFS(Investments!$D:$D,Investments!$B:$B,$A14,Investments!$C:$C,"USDT",Investments!$A:$A,AS$8)</f>
        <v/>
      </c>
      <c r="AT14" s="124">
        <f>AS14*AT$4*(1-$B14)+AS14+SUMIFS(Investments!$D:$D,Investments!$B:$B,$A14,Investments!$C:$C,"USDT",Investments!$A:$A,AT$8)</f>
        <v/>
      </c>
      <c r="AU14" s="125" t="n"/>
      <c r="AV14" s="125" t="n"/>
      <c r="AW14" s="125" t="n"/>
      <c r="AX14" s="125" t="n"/>
      <c r="AY14" s="125" t="n"/>
      <c r="AZ14" s="125" t="n"/>
      <c r="BA14" s="125" t="n"/>
      <c r="BB14" s="125" t="n"/>
      <c r="BC14" s="125" t="n"/>
      <c r="BD14" s="125" t="n"/>
      <c r="BE14" s="125" t="n"/>
      <c r="BF14" s="125" t="n"/>
      <c r="BG14" s="125" t="n"/>
      <c r="BH14" s="125" t="n"/>
      <c r="BI14" s="125" t="n"/>
      <c r="BJ14" s="125" t="n"/>
      <c r="BK14" s="125" t="n"/>
      <c r="BL14" s="125" t="n"/>
      <c r="BM14" s="125" t="n"/>
      <c r="BN14" s="125" t="n"/>
    </row>
    <row r="15" ht="15.75" customHeight="1" s="252">
      <c r="A15" s="123" t="inlineStr">
        <is>
          <t>Matthew Beatty</t>
        </is>
      </c>
      <c r="B15" s="113" t="n">
        <v>0.1</v>
      </c>
      <c r="C15" s="113" t="n"/>
      <c r="D15" s="124" t="n">
        <v>0</v>
      </c>
      <c r="E15" s="124">
        <f>D15*$E$4*(1-$B15)+D15</f>
        <v/>
      </c>
      <c r="F15" s="124">
        <f>E15*$F$4*(1-$B15)+E15+255504</f>
        <v/>
      </c>
      <c r="G15" s="124">
        <f>F15*$G$4*(1-$B15)+F15</f>
        <v/>
      </c>
      <c r="H15" s="124">
        <f>G15*$H$4*(1-$B15)+G15</f>
        <v/>
      </c>
      <c r="I15" s="124">
        <f>H15*$I$4*(1-$B15)+H15</f>
        <v/>
      </c>
      <c r="J15" s="124">
        <f>I15*$J$4*(1-$B15)+I15</f>
        <v/>
      </c>
      <c r="K15" s="124">
        <f>J15*$K$4*(1-$B15)+J15+25900</f>
        <v/>
      </c>
      <c r="L15" s="124">
        <f>K15*$L$4*(1-$B15)+K15</f>
        <v/>
      </c>
      <c r="M15" s="124">
        <f>L15*$M$4*(1-$B15)+L15</f>
        <v/>
      </c>
      <c r="N15" s="124">
        <f>M15*$N$4*(1-$B15)+M15</f>
        <v/>
      </c>
      <c r="O15" s="124">
        <f>N15*$O$4*(1-$B15)+N15</f>
        <v/>
      </c>
      <c r="P15" s="124">
        <f>O15*$P$4*(1-$B15)+O15</f>
        <v/>
      </c>
      <c r="Q15" s="124">
        <f>P15*$Q$4*(1-$B15)+P15</f>
        <v/>
      </c>
      <c r="R15" s="124">
        <f>Q15*$R$4*(1-$B15)+Q15</f>
        <v/>
      </c>
      <c r="S15" s="124">
        <f>R15*$S$4*(1-$B15)+R15</f>
        <v/>
      </c>
      <c r="T15" s="124">
        <f>S15*$T$4*(1-$B15)+S15</f>
        <v/>
      </c>
      <c r="U15" s="124">
        <f>T15*$U$4*(1-$B15)+T15</f>
        <v/>
      </c>
      <c r="V15" s="124">
        <f>U15*$V$4*(1-$B15)+U15</f>
        <v/>
      </c>
      <c r="W15" s="124">
        <f>V15*$W$4*(1-$B15)+V15+35300</f>
        <v/>
      </c>
      <c r="X15" s="124">
        <f>W15*$X$4*(1-$B15)+W15</f>
        <v/>
      </c>
      <c r="Y15" s="124">
        <f>X15*$Y$4*(1-$B15)+X15</f>
        <v/>
      </c>
      <c r="Z15" s="124">
        <f>Y15*$Z$4*(1-$B15)+Y15</f>
        <v/>
      </c>
      <c r="AA15" s="124">
        <f>Z15*$AA$4*(1-$B15)+Z15</f>
        <v/>
      </c>
      <c r="AB15" s="124">
        <f>AA15*$AB$4*(1-$B15)+AA15</f>
        <v/>
      </c>
      <c r="AC15" s="124">
        <f>AB15*$AC$4*(1-$B15)+AB15+18000</f>
        <v/>
      </c>
      <c r="AD15" s="124">
        <f>AC15*$AD$4*(1-$B15)+AC15</f>
        <v/>
      </c>
      <c r="AE15" s="124">
        <f>AD15*$AE$4*(1-$B15)+AD15</f>
        <v/>
      </c>
      <c r="AF15" s="124">
        <f>AE15*$AF$4*(1-$B15)+AE15</f>
        <v/>
      </c>
      <c r="AG15" s="124">
        <f>AF15*$AG$4*(1-$B15)+AF15</f>
        <v/>
      </c>
      <c r="AH15" s="124">
        <f>AG15*AH$4*(1-$B15)+AG15+SUMIFS(Investments!$D:$D,Investments!$B:$B,$A15,Investments!$C:$C,"USDT",Investments!$A:$A,AH$8)</f>
        <v/>
      </c>
      <c r="AI15" s="124">
        <f>AH15*AI$4*(1-$B15)+AH15+SUMIFS(Investments!$D:$D,Investments!$B:$B,$A15,Investments!$C:$C,"USDT",Investments!$A:$A,AI$8)</f>
        <v/>
      </c>
      <c r="AJ15" s="124">
        <f>AI15*AJ$4*(1-$B15)+AI15+SUMIFS(Investments!$D:$D,Investments!$B:$B,$A15,Investments!$C:$C,"USDT",Investments!$A:$A,AJ$8)</f>
        <v/>
      </c>
      <c r="AK15" s="124">
        <f>AJ15*AK$4*(1-$B15)+AJ15+SUMIFS(Investments!$D:$D,Investments!$B:$B,$A15,Investments!$C:$C,"USDT",Investments!$A:$A,AK$8)</f>
        <v/>
      </c>
      <c r="AL15" s="124">
        <f>AK15*AL$4*(1-$B15)+AK15+SUMIFS(Investments!$D:$D,Investments!$B:$B,$A15,Investments!$C:$C,"USDT",Investments!$A:$A,AL$8)</f>
        <v/>
      </c>
      <c r="AM15" s="124">
        <f>AL15*AM$4*(1-$B15)+AL15+SUMIFS(Investments!$D:$D,Investments!$B:$B,$A15,Investments!$C:$C,"USDT",Investments!$A:$A,AM$8)</f>
        <v/>
      </c>
      <c r="AN15" s="124">
        <f>AM15*AN$4*(1-$B15)+AM15+SUMIFS(Investments!$D:$D,Investments!$B:$B,$A15,Investments!$C:$C,"USDT",Investments!$A:$A,AN$8)</f>
        <v/>
      </c>
      <c r="AO15" s="124">
        <f>AN15*AO$4*(1-$B15)+AN15+SUMIFS(Investments!$D:$D,Investments!$B:$B,$A15,Investments!$C:$C,"USDT",Investments!$A:$A,AO$8)</f>
        <v/>
      </c>
      <c r="AP15" s="124">
        <f>AO15*AP$4*(1-$B15)+AO15+SUMIFS(Investments!$D:$D,Investments!$B:$B,$A15,Investments!$C:$C,"USDT",Investments!$A:$A,AP$8)</f>
        <v/>
      </c>
      <c r="AQ15" s="124">
        <f>AP15*AQ$4*(1-$B15)+AP15+SUMIFS(Investments!$D:$D,Investments!$B:$B,$A15,Investments!$C:$C,"USDT",Investments!$A:$A,AQ$8)</f>
        <v/>
      </c>
      <c r="AR15" s="124">
        <f>AQ15*AR$4*(1-$B15)+AQ15+SUMIFS(Investments!$D:$D,Investments!$B:$B,$A15,Investments!$C:$C,"USDT",Investments!$A:$A,AR$8)</f>
        <v/>
      </c>
      <c r="AS15" s="124">
        <f>AR15*AS$4*(1-$B15)+AR15+SUMIFS(Investments!$D:$D,Investments!$B:$B,$A15,Investments!$C:$C,"USDT",Investments!$A:$A,AS$8)</f>
        <v/>
      </c>
      <c r="AT15" s="124">
        <f>AS15*AT$4*(1-$B15)+AS15+SUMIFS(Investments!$D:$D,Investments!$B:$B,$A15,Investments!$C:$C,"USDT",Investments!$A:$A,AT$8)</f>
        <v/>
      </c>
      <c r="AU15" s="125" t="n"/>
      <c r="AV15" s="125" t="n"/>
      <c r="AW15" s="125" t="n"/>
      <c r="AX15" s="125" t="n"/>
      <c r="AY15" s="125" t="n"/>
      <c r="AZ15" s="125" t="n"/>
      <c r="BA15" s="125" t="n"/>
      <c r="BB15" s="125" t="n"/>
      <c r="BC15" s="125" t="n"/>
      <c r="BD15" s="125" t="n"/>
      <c r="BE15" s="125" t="n"/>
      <c r="BF15" s="125" t="n"/>
      <c r="BG15" s="125" t="n"/>
      <c r="BH15" s="125" t="n"/>
      <c r="BI15" s="125" t="n"/>
      <c r="BJ15" s="125" t="n"/>
      <c r="BK15" s="125" t="n"/>
      <c r="BL15" s="125" t="n"/>
      <c r="BM15" s="125" t="n"/>
      <c r="BN15" s="125" t="n"/>
    </row>
    <row r="16" ht="15.75" customHeight="1" s="252">
      <c r="A16" s="123" t="inlineStr">
        <is>
          <t>Bo De kriek</t>
        </is>
      </c>
      <c r="B16" s="113" t="n">
        <v>0.1</v>
      </c>
      <c r="C16" s="113" t="n"/>
      <c r="D16" s="124" t="n">
        <v>0</v>
      </c>
      <c r="E16" s="124">
        <f>D16*$E$4*(1-$B16)+D16</f>
        <v/>
      </c>
      <c r="F16" s="124">
        <f>E16*$F$4*(1-$B16)+E16+273807</f>
        <v/>
      </c>
      <c r="G16" s="124">
        <f>F16*$G$4*(1-$B16)+F16</f>
        <v/>
      </c>
      <c r="H16" s="124">
        <f>G16*$H$4*(1-$B16)+G16</f>
        <v/>
      </c>
      <c r="I16" s="124">
        <f>H16*$I$4*(1-$B16)+H16</f>
        <v/>
      </c>
      <c r="J16" s="124">
        <f>I16*$J$4*(1-$B16)+I16</f>
        <v/>
      </c>
      <c r="K16" s="124">
        <f>J16*$K$4*(1-$B16)+J16</f>
        <v/>
      </c>
      <c r="L16" s="124">
        <f>K16*$L$4*(1-$B16)+K16</f>
        <v/>
      </c>
      <c r="M16" s="124">
        <f>L16*$M$4*(1-$B16)+L16</f>
        <v/>
      </c>
      <c r="N16" s="124">
        <f>M16*$N$4*(1-$B16)+M16</f>
        <v/>
      </c>
      <c r="O16" s="124">
        <f>N16*$O$4*(1-$B16)+N16</f>
        <v/>
      </c>
      <c r="P16" s="124">
        <f>O16*$P$4*(1-$B16)+O16</f>
        <v/>
      </c>
      <c r="Q16" s="124">
        <f>P16*$Q$4*(1-$B16)+P16</f>
        <v/>
      </c>
      <c r="R16" s="124">
        <f>Q16*$R$4*(1-$B16)+Q16</f>
        <v/>
      </c>
      <c r="S16" s="124">
        <f>R16*$S$4*(1-$B16)+R16</f>
        <v/>
      </c>
      <c r="T16" s="124">
        <f>S16*$T$4*(1-$B16)+S16</f>
        <v/>
      </c>
      <c r="U16" s="124">
        <f>T16*$U$4*(1-$B16)+T16</f>
        <v/>
      </c>
      <c r="V16" s="124">
        <f>U16*$V$4*(1-$B16)+U16</f>
        <v/>
      </c>
      <c r="W16" s="124">
        <f>V16*$W$4*(1-$B16)+V16</f>
        <v/>
      </c>
      <c r="X16" s="124">
        <f>W16*$X$4*(1-$B16)+W16</f>
        <v/>
      </c>
      <c r="Y16" s="124">
        <f>X16*$Y$4*(1-$B16)+X16</f>
        <v/>
      </c>
      <c r="Z16" s="124">
        <f>Y16*$Z$4*(1-$B16)+Y16</f>
        <v/>
      </c>
      <c r="AA16" s="124">
        <f>Z16*$AA$4*(1-$B16)+Z16</f>
        <v/>
      </c>
      <c r="AB16" s="124">
        <f>AA16*$AB$4*(1-$B16)+AA16</f>
        <v/>
      </c>
      <c r="AC16" s="124">
        <f>AB16*$AC$4*(1-$B16)+AB16</f>
        <v/>
      </c>
      <c r="AD16" s="124">
        <f>AC16*$AD$4*(1-$B16)+AC16</f>
        <v/>
      </c>
      <c r="AE16" s="124">
        <f>AD16*$AE$4*(1-$B16)+AD16</f>
        <v/>
      </c>
      <c r="AF16" s="124">
        <f>AE16*$AF$4*(1-$B16)+AE16</f>
        <v/>
      </c>
      <c r="AG16" s="124">
        <f>AF16*$AG$4*(1-$B16)+AF16</f>
        <v/>
      </c>
      <c r="AH16" s="124">
        <f>AG16*AH$4*(1-$B16)+AG16+SUMIFS(Investments!$D:$D,Investments!$B:$B,$A16,Investments!$C:$C,"USDT",Investments!$A:$A,AH$8)</f>
        <v/>
      </c>
      <c r="AI16" s="124">
        <f>AH16*AI$4*(1-$B16)+AH16+SUMIFS(Investments!$D:$D,Investments!$B:$B,$A16,Investments!$C:$C,"USDT",Investments!$A:$A,AI$8)</f>
        <v/>
      </c>
      <c r="AJ16" s="124">
        <f>AI16*AJ$4*(1-$B16)+AI16+SUMIFS(Investments!$D:$D,Investments!$B:$B,$A16,Investments!$C:$C,"USDT",Investments!$A:$A,AJ$8)</f>
        <v/>
      </c>
      <c r="AK16" s="124">
        <f>AJ16*AK$4*(1-$B16)+AJ16+SUMIFS(Investments!$D:$D,Investments!$B:$B,$A16,Investments!$C:$C,"USDT",Investments!$A:$A,AK$8)</f>
        <v/>
      </c>
      <c r="AL16" s="124">
        <f>AK16*AL$4*(1-$B16)+AK16+SUMIFS(Investments!$D:$D,Investments!$B:$B,$A16,Investments!$C:$C,"USDT",Investments!$A:$A,AL$8)</f>
        <v/>
      </c>
      <c r="AM16" s="124">
        <f>AL16*AM$4*(1-$B16)+AL16+SUMIFS(Investments!$D:$D,Investments!$B:$B,$A16,Investments!$C:$C,"USDT",Investments!$A:$A,AM$8)</f>
        <v/>
      </c>
      <c r="AN16" s="124">
        <f>AM16*AN$4*(1-$B16)+AM16+SUMIFS(Investments!$D:$D,Investments!$B:$B,$A16,Investments!$C:$C,"USDT",Investments!$A:$A,AN$8)</f>
        <v/>
      </c>
      <c r="AO16" s="124">
        <f>AN16*AO$4*(1-$B16)+AN16+SUMIFS(Investments!$D:$D,Investments!$B:$B,$A16,Investments!$C:$C,"USDT",Investments!$A:$A,AO$8)</f>
        <v/>
      </c>
      <c r="AP16" s="124">
        <f>AO16*AP$4*(1-$B16)+AO16+SUMIFS(Investments!$D:$D,Investments!$B:$B,$A16,Investments!$C:$C,"USDT",Investments!$A:$A,AP$8)</f>
        <v/>
      </c>
      <c r="AQ16" s="124">
        <f>AP16*AQ$4*(1-$B16)+AP16+SUMIFS(Investments!$D:$D,Investments!$B:$B,$A16,Investments!$C:$C,"USDT",Investments!$A:$A,AQ$8)</f>
        <v/>
      </c>
      <c r="AR16" s="124">
        <f>AQ16*AR$4*(1-$B16)+AQ16+SUMIFS(Investments!$D:$D,Investments!$B:$B,$A16,Investments!$C:$C,"USDT",Investments!$A:$A,AR$8)</f>
        <v/>
      </c>
      <c r="AS16" s="124">
        <f>AR16*AS$4*(1-$B16)+AR16+SUMIFS(Investments!$D:$D,Investments!$B:$B,$A16,Investments!$C:$C,"USDT",Investments!$A:$A,AS$8)</f>
        <v/>
      </c>
      <c r="AT16" s="124">
        <f>AS16*AT$4*(1-$B16)+AS16+SUMIFS(Investments!$D:$D,Investments!$B:$B,$A16,Investments!$C:$C,"USDT",Investments!$A:$A,AT$8)</f>
        <v/>
      </c>
      <c r="AU16" s="125" t="n"/>
      <c r="AV16" s="125" t="n"/>
      <c r="AW16" s="125" t="n"/>
      <c r="AX16" s="125" t="n"/>
      <c r="AY16" s="125" t="n"/>
      <c r="AZ16" s="125" t="n"/>
      <c r="BA16" s="125" t="n"/>
      <c r="BB16" s="125" t="n"/>
      <c r="BC16" s="125" t="n"/>
      <c r="BD16" s="125" t="n"/>
      <c r="BE16" s="125" t="n"/>
      <c r="BF16" s="125" t="n"/>
      <c r="BG16" s="125" t="n"/>
      <c r="BH16" s="125" t="n"/>
      <c r="BI16" s="125" t="n"/>
      <c r="BJ16" s="125" t="n"/>
      <c r="BK16" s="125" t="n"/>
      <c r="BL16" s="125" t="n"/>
      <c r="BM16" s="125" t="n"/>
      <c r="BN16" s="125" t="n"/>
    </row>
    <row r="17" ht="15.75" customHeight="1" s="252">
      <c r="A17" s="123" t="inlineStr">
        <is>
          <t>Dario Deiana</t>
        </is>
      </c>
      <c r="B17" s="113" t="n">
        <v>0.2</v>
      </c>
      <c r="C17" s="113" t="n"/>
      <c r="D17" s="124" t="n">
        <v>0</v>
      </c>
      <c r="E17" s="124">
        <f>D17*$E$4*(1-$B17)+D17</f>
        <v/>
      </c>
      <c r="F17" s="124">
        <f>E17*$F$4*(1-$B17)+E17</f>
        <v/>
      </c>
      <c r="G17" s="124">
        <f>F17*$G$4*(1-$B17)+F17+199659.72</f>
        <v/>
      </c>
      <c r="H17" s="124">
        <f>G17*$H$4*(1-$B17)+G17</f>
        <v/>
      </c>
      <c r="I17" s="124">
        <f>H17*$I$4*(1-$B17)+H17</f>
        <v/>
      </c>
      <c r="J17" s="124">
        <f>I17*$J$4*(1-$B17)+I17</f>
        <v/>
      </c>
      <c r="K17" s="124">
        <f>J17*$K$4*(1-$B17)+J17</f>
        <v/>
      </c>
      <c r="L17" s="124">
        <f>K17*$L$4*(1-$B17)+K17</f>
        <v/>
      </c>
      <c r="M17" s="124">
        <f>L17*$M$4*(1-$B17)+L17</f>
        <v/>
      </c>
      <c r="N17" s="124">
        <f>M17*$N$4*(1-$B17)+M17</f>
        <v/>
      </c>
      <c r="O17" s="124">
        <f>N17*$O$4*(1-$B17)+N17</f>
        <v/>
      </c>
      <c r="P17" s="124">
        <f>O17*$P$4*(1-$B17)+O17</f>
        <v/>
      </c>
      <c r="Q17" s="124">
        <f>P17*$Q$4*(1-$B17)+P17</f>
        <v/>
      </c>
      <c r="R17" s="124">
        <f>Q17*$R$4*(1-$B17)+Q17</f>
        <v/>
      </c>
      <c r="S17" s="124">
        <f>R17*$S$4*(1-$B17)+R17</f>
        <v/>
      </c>
      <c r="T17" s="124">
        <f>S17*$T$4*(1-$B17)+S17</f>
        <v/>
      </c>
      <c r="U17" s="124">
        <f>T17*$U$4*(1-$B17)+T17</f>
        <v/>
      </c>
      <c r="V17" s="124">
        <f>U17*$V$4*(1-$B17)+U17</f>
        <v/>
      </c>
      <c r="W17" s="124">
        <f>V17*$W$4*(1-$B17)+V17</f>
        <v/>
      </c>
      <c r="X17" s="124">
        <f>W17*$X$4*(1-$B17)+W17</f>
        <v/>
      </c>
      <c r="Y17" s="124">
        <f>X17*$Y$4*(1-$B17)+X17</f>
        <v/>
      </c>
      <c r="Z17" s="124">
        <f>Y17*$Z$4*(1-$B17)+Y17</f>
        <v/>
      </c>
      <c r="AA17" s="124">
        <f>Z17*$AA$4*(1-$B17)+Z17</f>
        <v/>
      </c>
      <c r="AB17" s="124">
        <f>AA17*$AB$4*(1-$B17)+AA17</f>
        <v/>
      </c>
      <c r="AC17" s="124">
        <f>AB17*$AC$4*(1-$B17)+AB17</f>
        <v/>
      </c>
      <c r="AD17" s="124">
        <f>AC17*$AD$4*(1-$B17)+AC17</f>
        <v/>
      </c>
      <c r="AE17" s="124">
        <f>AD17*$AE$4*(1-$B17)+AD17</f>
        <v/>
      </c>
      <c r="AF17" s="124">
        <f>AE17*$AF$4*(1-$B17)+AE17</f>
        <v/>
      </c>
      <c r="AG17" s="124">
        <f>AF17*$AG$4*(1-$B17)+AF17</f>
        <v/>
      </c>
      <c r="AH17" s="124">
        <f>AG17*AH$4*(1-$B17)+AG17+SUMIFS(Investments!$D:$D,Investments!$B:$B,$A17,Investments!$C:$C,"USDT",Investments!$A:$A,AH$8)</f>
        <v/>
      </c>
      <c r="AI17" s="124">
        <f>AH17*AI$4*(1-$B17)+AH17+SUMIFS(Investments!$D:$D,Investments!$B:$B,$A17,Investments!$C:$C,"USDT",Investments!$A:$A,AI$8)</f>
        <v/>
      </c>
      <c r="AJ17" s="124">
        <f>AI17*AJ$4*(1-$B17)+AI17+SUMIFS(Investments!$D:$D,Investments!$B:$B,$A17,Investments!$C:$C,"USDT",Investments!$A:$A,AJ$8)</f>
        <v/>
      </c>
      <c r="AK17" s="124">
        <f>AJ17*AK$4*(1-$B17)+AJ17+SUMIFS(Investments!$D:$D,Investments!$B:$B,$A17,Investments!$C:$C,"USDT",Investments!$A:$A,AK$8)</f>
        <v/>
      </c>
      <c r="AL17" s="124">
        <f>AK17*AL$4*(1-$B17)+AK17+SUMIFS(Investments!$D:$D,Investments!$B:$B,$A17,Investments!$C:$C,"USDT",Investments!$A:$A,AL$8)</f>
        <v/>
      </c>
      <c r="AM17" s="124">
        <f>AL17*AM$4*(1-$B17)+AL17+SUMIFS(Investments!$D:$D,Investments!$B:$B,$A17,Investments!$C:$C,"USDT",Investments!$A:$A,AM$8)</f>
        <v/>
      </c>
      <c r="AN17" s="124">
        <f>AM17*AN$4*(1-$B17)+AM17+SUMIFS(Investments!$D:$D,Investments!$B:$B,$A17,Investments!$C:$C,"USDT",Investments!$A:$A,AN$8)</f>
        <v/>
      </c>
      <c r="AO17" s="124">
        <f>AN17*AO$4*(1-$B17)+AN17+SUMIFS(Investments!$D:$D,Investments!$B:$B,$A17,Investments!$C:$C,"USDT",Investments!$A:$A,AO$8)</f>
        <v/>
      </c>
      <c r="AP17" s="124">
        <f>AO17*AP$4*(1-$B17)+AO17+SUMIFS(Investments!$D:$D,Investments!$B:$B,$A17,Investments!$C:$C,"USDT",Investments!$A:$A,AP$8)</f>
        <v/>
      </c>
      <c r="AQ17" s="124">
        <f>AP17*AQ$4*(1-$B17)+AP17+SUMIFS(Investments!$D:$D,Investments!$B:$B,$A17,Investments!$C:$C,"USDT",Investments!$A:$A,AQ$8)</f>
        <v/>
      </c>
      <c r="AR17" s="124">
        <f>AQ17*AR$4*(1-$B17)+AQ17+SUMIFS(Investments!$D:$D,Investments!$B:$B,$A17,Investments!$C:$C,"USDT",Investments!$A:$A,AR$8)</f>
        <v/>
      </c>
      <c r="AS17" s="124">
        <f>AR17*AS$4*(1-$B17)+AR17+SUMIFS(Investments!$D:$D,Investments!$B:$B,$A17,Investments!$C:$C,"USDT",Investments!$A:$A,AS$8)</f>
        <v/>
      </c>
      <c r="AT17" s="124">
        <f>AS17*AT$4*(1-$B17)+AS17+SUMIFS(Investments!$D:$D,Investments!$B:$B,$A17,Investments!$C:$C,"USDT",Investments!$A:$A,AT$8)</f>
        <v/>
      </c>
      <c r="AU17" s="125" t="n"/>
      <c r="AV17" s="125" t="n"/>
      <c r="AW17" s="125" t="n"/>
      <c r="AX17" s="125" t="n"/>
      <c r="AY17" s="125" t="n"/>
      <c r="AZ17" s="125" t="n"/>
      <c r="BA17" s="125" t="n"/>
      <c r="BB17" s="125" t="n"/>
      <c r="BC17" s="125" t="n"/>
      <c r="BD17" s="125" t="n"/>
      <c r="BE17" s="125" t="n"/>
      <c r="BF17" s="125" t="n"/>
      <c r="BG17" s="125" t="n"/>
      <c r="BH17" s="125" t="n"/>
      <c r="BI17" s="125" t="n"/>
      <c r="BJ17" s="125" t="n"/>
      <c r="BK17" s="125" t="n"/>
      <c r="BL17" s="125" t="n"/>
      <c r="BM17" s="125" t="n"/>
      <c r="BN17" s="125" t="n"/>
    </row>
    <row r="18" ht="15.75" customHeight="1" s="252">
      <c r="A18" s="123" t="inlineStr">
        <is>
          <t>Alain Bensimon</t>
        </is>
      </c>
      <c r="B18" s="113" t="n">
        <v>0.1</v>
      </c>
      <c r="C18" s="113" t="n"/>
      <c r="D18" s="124" t="n">
        <v>0</v>
      </c>
      <c r="E18" s="124">
        <f>D18*$E$4*(1-$B18)+D18</f>
        <v/>
      </c>
      <c r="F18" s="124">
        <f>E18*$F$4*(1-$B18)+E18</f>
        <v/>
      </c>
      <c r="G18" s="124">
        <f>F18*$G$4*(1-$B18)+F18</f>
        <v/>
      </c>
      <c r="H18" s="124">
        <f>G18*$H$4*(1-$B18)+G18+136737</f>
        <v/>
      </c>
      <c r="I18" s="124">
        <f>H18*$I$4*(1-$B18)+H18</f>
        <v/>
      </c>
      <c r="J18" s="124">
        <f>I18*$J$4*(1-$B18)+I18</f>
        <v/>
      </c>
      <c r="K18" s="124">
        <f>J18*$K$4*(1-$B18)+J18</f>
        <v/>
      </c>
      <c r="L18" s="124">
        <f>K18*$L$4*(1-$B18)+K18</f>
        <v/>
      </c>
      <c r="M18" s="124">
        <f>L18*$M$4*(1-$B18)+L18</f>
        <v/>
      </c>
      <c r="N18" s="124">
        <f>M18*$N$4*(1-$B18)+M18</f>
        <v/>
      </c>
      <c r="O18" s="124">
        <f>N18*$O$4*(1-$B18)+N18</f>
        <v/>
      </c>
      <c r="P18" s="124">
        <f>O18*$P$4*(1-$B18)+O18</f>
        <v/>
      </c>
      <c r="Q18" s="124">
        <f>P18*$Q$4*(1-$B18)+P18</f>
        <v/>
      </c>
      <c r="R18" s="124">
        <f>Q18*$R$4*(1-$B18)+Q18</f>
        <v/>
      </c>
      <c r="S18" s="124">
        <f>R18*$S$4*(1-$B18)+R18</f>
        <v/>
      </c>
      <c r="T18" s="124">
        <f>S18*$T$4*(1-$B18)+S18</f>
        <v/>
      </c>
      <c r="U18" s="124">
        <f>T18*$U$4*(1-$B18)+T18</f>
        <v/>
      </c>
      <c r="V18" s="124">
        <f>U18*$V$4*(1-$B18)+U18</f>
        <v/>
      </c>
      <c r="W18" s="124">
        <f>V18*$W$4*(1-$B18)+V18</f>
        <v/>
      </c>
      <c r="X18" s="124">
        <f>W18*$X$4*(1-$B18)+W18</f>
        <v/>
      </c>
      <c r="Y18" s="124">
        <f>X18*$Y$4*(1-$B18)+X18</f>
        <v/>
      </c>
      <c r="Z18" s="124">
        <f>Y18*$Z$4*(1-$B18)+Y18</f>
        <v/>
      </c>
      <c r="AA18" s="124">
        <f>Z18*$AA$4*(1-$B18)+Z18</f>
        <v/>
      </c>
      <c r="AB18" s="124">
        <f>AA18*$AB$4*(1-$B18)+AA18</f>
        <v/>
      </c>
      <c r="AC18" s="124">
        <f>AB18*$AC$4*(1-$B18)+AB18</f>
        <v/>
      </c>
      <c r="AD18" s="124">
        <f>AC18*$AD$4*(1-$B18)+AC18</f>
        <v/>
      </c>
      <c r="AE18" s="124">
        <f>AD18*$AE$4*(1-$B18)+AD18</f>
        <v/>
      </c>
      <c r="AF18" s="124">
        <f>AE18*$AF$4*(1-$B18)+AE18</f>
        <v/>
      </c>
      <c r="AG18" s="124">
        <f>AF18*$AG$4*(1-$B18)+AF18</f>
        <v/>
      </c>
      <c r="AH18" s="124">
        <f>AG18*AH$4*(1-$B18)+AG18+SUMIFS(Investments!$D:$D,Investments!$B:$B,$A18,Investments!$C:$C,"USDT",Investments!$A:$A,AH$8)</f>
        <v/>
      </c>
      <c r="AI18" s="124">
        <f>AH18*AI$4*(1-$B18)+AH18+SUMIFS(Investments!$D:$D,Investments!$B:$B,$A18,Investments!$C:$C,"USDT",Investments!$A:$A,AI$8)</f>
        <v/>
      </c>
      <c r="AJ18" s="124">
        <f>AI18*AJ$4*(1-$B18)+AI18+SUMIFS(Investments!$D:$D,Investments!$B:$B,$A18,Investments!$C:$C,"USDT",Investments!$A:$A,AJ$8)</f>
        <v/>
      </c>
      <c r="AK18" s="124">
        <f>AJ18*AK$4*(1-$B18)+AJ18+SUMIFS(Investments!$D:$D,Investments!$B:$B,$A18,Investments!$C:$C,"USDT",Investments!$A:$A,AK$8)</f>
        <v/>
      </c>
      <c r="AL18" s="124">
        <f>AK18*AL$4*(1-$B18)+AK18+SUMIFS(Investments!$D:$D,Investments!$B:$B,$A18,Investments!$C:$C,"USDT",Investments!$A:$A,AL$8)</f>
        <v/>
      </c>
      <c r="AM18" s="124">
        <f>AL18*AM$4*(1-$B18)+AL18+SUMIFS(Investments!$D:$D,Investments!$B:$B,$A18,Investments!$C:$C,"USDT",Investments!$A:$A,AM$8)</f>
        <v/>
      </c>
      <c r="AN18" s="124">
        <f>AM18*AN$4*(1-$B18)+AM18+SUMIFS(Investments!$D:$D,Investments!$B:$B,$A18,Investments!$C:$C,"USDT",Investments!$A:$A,AN$8)</f>
        <v/>
      </c>
      <c r="AO18" s="124">
        <f>AN18*AO$4*(1-$B18)+AN18+SUMIFS(Investments!$D:$D,Investments!$B:$B,$A18,Investments!$C:$C,"USDT",Investments!$A:$A,AO$8)</f>
        <v/>
      </c>
      <c r="AP18" s="124">
        <f>AO18*AP$4*(1-$B18)+AO18+SUMIFS(Investments!$D:$D,Investments!$B:$B,$A18,Investments!$C:$C,"USDT",Investments!$A:$A,AP$8)</f>
        <v/>
      </c>
      <c r="AQ18" s="124">
        <f>AP18*AQ$4*(1-$B18)+AP18+SUMIFS(Investments!$D:$D,Investments!$B:$B,$A18,Investments!$C:$C,"USDT",Investments!$A:$A,AQ$8)</f>
        <v/>
      </c>
      <c r="AR18" s="124">
        <f>AQ18*AR$4*(1-$B18)+AQ18+SUMIFS(Investments!$D:$D,Investments!$B:$B,$A18,Investments!$C:$C,"USDT",Investments!$A:$A,AR$8)</f>
        <v/>
      </c>
      <c r="AS18" s="124">
        <f>AR18*AS$4*(1-$B18)+AR18+SUMIFS(Investments!$D:$D,Investments!$B:$B,$A18,Investments!$C:$C,"USDT",Investments!$A:$A,AS$8)</f>
        <v/>
      </c>
      <c r="AT18" s="124">
        <f>AS18*AT$4*(1-$B18)+AS18+SUMIFS(Investments!$D:$D,Investments!$B:$B,$A18,Investments!$C:$C,"USDT",Investments!$A:$A,AT$8)</f>
        <v/>
      </c>
      <c r="AU18" s="125" t="n"/>
      <c r="AV18" s="125" t="n"/>
      <c r="AW18" s="125" t="n"/>
      <c r="AX18" s="125" t="n"/>
      <c r="AY18" s="125" t="n"/>
      <c r="AZ18" s="125" t="n"/>
      <c r="BA18" s="125" t="n"/>
      <c r="BB18" s="125" t="n"/>
      <c r="BC18" s="125" t="n"/>
      <c r="BD18" s="125" t="n"/>
      <c r="BE18" s="125" t="n"/>
      <c r="BF18" s="125" t="n"/>
      <c r="BG18" s="125" t="n"/>
      <c r="BH18" s="125" t="n"/>
      <c r="BI18" s="125" t="n"/>
      <c r="BJ18" s="125" t="n"/>
      <c r="BK18" s="125" t="n"/>
      <c r="BL18" s="125" t="n"/>
      <c r="BM18" s="125" t="n"/>
      <c r="BN18" s="125" t="n"/>
    </row>
    <row r="19" ht="15.75" customHeight="1" s="252">
      <c r="A19" s="123" t="inlineStr">
        <is>
          <t>Anne Cecile Noique</t>
        </is>
      </c>
      <c r="B19" s="113" t="n">
        <v>0.1</v>
      </c>
      <c r="C19" s="113" t="n"/>
      <c r="D19" s="124" t="n">
        <v>0</v>
      </c>
      <c r="E19" s="124">
        <f>D19*$E$4*(1-$B19)+D19</f>
        <v/>
      </c>
      <c r="F19" s="124">
        <f>E19*$F$4*(1-$B19)+E19</f>
        <v/>
      </c>
      <c r="G19" s="124">
        <f>F19*$G$4*(1-$B19)+F19</f>
        <v/>
      </c>
      <c r="H19" s="124">
        <f>G19*$H$4*(1-$B19)+G19+222687</f>
        <v/>
      </c>
      <c r="I19" s="124">
        <f>H19*$I$4*(1-$B19)+H19</f>
        <v/>
      </c>
      <c r="J19" s="124">
        <f>I19*$J$4*(1-$B19)+I19</f>
        <v/>
      </c>
      <c r="K19" s="124">
        <f>J19*$K$4*(1-$B19)+J19</f>
        <v/>
      </c>
      <c r="L19" s="124">
        <f>K19*$L$4*(1-$B19)+K19</f>
        <v/>
      </c>
      <c r="M19" s="124">
        <f>L19*$M$4*(1-$B19)+L19</f>
        <v/>
      </c>
      <c r="N19" s="124">
        <f>M19*$N$4*(1-$B19)+M19</f>
        <v/>
      </c>
      <c r="O19" s="124">
        <f>N19*$O$4*(1-$B19)+N19</f>
        <v/>
      </c>
      <c r="P19" s="124">
        <f>O19*$P$4*(1-$B19)+O19</f>
        <v/>
      </c>
      <c r="Q19" s="124">
        <f>P19*$Q$4*(1-$B19)+P19</f>
        <v/>
      </c>
      <c r="R19" s="124">
        <f>Q19*$R$4*(1-$B19)+Q19</f>
        <v/>
      </c>
      <c r="S19" s="124">
        <f>R19*$S$4*(1-$B19)+R19</f>
        <v/>
      </c>
      <c r="T19" s="124">
        <f>S19*$T$4*(1-$B19)+S19</f>
        <v/>
      </c>
      <c r="U19" s="124">
        <f>T19*$U$4*(1-$B19)+T19</f>
        <v/>
      </c>
      <c r="V19" s="124">
        <f>U19*$V$4*(1-$B19)+U19</f>
        <v/>
      </c>
      <c r="W19" s="124">
        <f>V19*$W$4*(1-$B19)+V19</f>
        <v/>
      </c>
      <c r="X19" s="124">
        <f>W19*$X$4*(1-$B19)+W19</f>
        <v/>
      </c>
      <c r="Y19" s="124">
        <f>X19*$Y$4*(1-$B19)+X19</f>
        <v/>
      </c>
      <c r="Z19" s="124">
        <f>Y19*$Z$4*(1-$B19)+Y19</f>
        <v/>
      </c>
      <c r="AA19" s="124">
        <f>Z19*$AA$4*(1-$B19)+Z19</f>
        <v/>
      </c>
      <c r="AB19" s="124">
        <f>AA19*$AB$4*(1-$B19)+AA19</f>
        <v/>
      </c>
      <c r="AC19" s="124">
        <f>AB19*$AC$4*(1-$B19)+AB19</f>
        <v/>
      </c>
      <c r="AD19" s="124">
        <f>AC19*$AD$4*(1-$B19)+AC19</f>
        <v/>
      </c>
      <c r="AE19" s="124">
        <f>AD19*$AE$4*(1-$B19)+AD19</f>
        <v/>
      </c>
      <c r="AF19" s="124">
        <f>AE19*$AF$4*(1-$B19)+AE19</f>
        <v/>
      </c>
      <c r="AG19" s="124">
        <f>AF19*$AG$4*(1-$B19)+AF19</f>
        <v/>
      </c>
      <c r="AH19" s="124">
        <f>AG19*AH$4*(1-$B19)+AG19+SUMIFS(Investments!$D:$D,Investments!$B:$B,$A19,Investments!$C:$C,"USDT",Investments!$A:$A,AH$8)</f>
        <v/>
      </c>
      <c r="AI19" s="124">
        <f>AH19*AI$4*(1-$B19)+AH19+SUMIFS(Investments!$D:$D,Investments!$B:$B,$A19,Investments!$C:$C,"USDT",Investments!$A:$A,AI$8)</f>
        <v/>
      </c>
      <c r="AJ19" s="124">
        <f>AI19*AJ$4*(1-$B19)+AI19+SUMIFS(Investments!$D:$D,Investments!$B:$B,$A19,Investments!$C:$C,"USDT",Investments!$A:$A,AJ$8)</f>
        <v/>
      </c>
      <c r="AK19" s="124">
        <f>AJ19*AK$4*(1-$B19)+AJ19+SUMIFS(Investments!$D:$D,Investments!$B:$B,$A19,Investments!$C:$C,"USDT",Investments!$A:$A,AK$8)</f>
        <v/>
      </c>
      <c r="AL19" s="124">
        <f>AK19*AL$4*(1-$B19)+AK19+SUMIFS(Investments!$D:$D,Investments!$B:$B,$A19,Investments!$C:$C,"USDT",Investments!$A:$A,AL$8)</f>
        <v/>
      </c>
      <c r="AM19" s="124">
        <f>AL19*AM$4*(1-$B19)+AL19+SUMIFS(Investments!$D:$D,Investments!$B:$B,$A19,Investments!$C:$C,"USDT",Investments!$A:$A,AM$8)</f>
        <v/>
      </c>
      <c r="AN19" s="124">
        <f>AM19*AN$4*(1-$B19)+AM19+SUMIFS(Investments!$D:$D,Investments!$B:$B,$A19,Investments!$C:$C,"USDT",Investments!$A:$A,AN$8)</f>
        <v/>
      </c>
      <c r="AO19" s="124">
        <f>AN19*AO$4*(1-$B19)+AN19+SUMIFS(Investments!$D:$D,Investments!$B:$B,$A19,Investments!$C:$C,"USDT",Investments!$A:$A,AO$8)</f>
        <v/>
      </c>
      <c r="AP19" s="124">
        <f>AO19*AP$4*(1-$B19)+AO19+SUMIFS(Investments!$D:$D,Investments!$B:$B,$A19,Investments!$C:$C,"USDT",Investments!$A:$A,AP$8)</f>
        <v/>
      </c>
      <c r="AQ19" s="124">
        <f>AP19*AQ$4*(1-$B19)+AP19+SUMIFS(Investments!$D:$D,Investments!$B:$B,$A19,Investments!$C:$C,"USDT",Investments!$A:$A,AQ$8)</f>
        <v/>
      </c>
      <c r="AR19" s="124">
        <f>AQ19*AR$4*(1-$B19)+AQ19+SUMIFS(Investments!$D:$D,Investments!$B:$B,$A19,Investments!$C:$C,"USDT",Investments!$A:$A,AR$8)</f>
        <v/>
      </c>
      <c r="AS19" s="124">
        <f>AR19*AS$4*(1-$B19)+AR19+SUMIFS(Investments!$D:$D,Investments!$B:$B,$A19,Investments!$C:$C,"USDT",Investments!$A:$A,AS$8)</f>
        <v/>
      </c>
      <c r="AT19" s="124">
        <f>AS19*AT$4*(1-$B19)+AS19+SUMIFS(Investments!$D:$D,Investments!$B:$B,$A19,Investments!$C:$C,"USDT",Investments!$A:$A,AT$8)</f>
        <v/>
      </c>
      <c r="AU19" s="125" t="n"/>
      <c r="AV19" s="125" t="n"/>
      <c r="AW19" s="125" t="n"/>
      <c r="AX19" s="125" t="n"/>
      <c r="AY19" s="125" t="n"/>
      <c r="AZ19" s="125" t="n"/>
      <c r="BA19" s="125" t="n"/>
      <c r="BB19" s="125" t="n"/>
      <c r="BC19" s="125" t="n"/>
      <c r="BD19" s="125" t="n"/>
      <c r="BE19" s="125" t="n"/>
      <c r="BF19" s="125" t="n"/>
      <c r="BG19" s="125" t="n"/>
      <c r="BH19" s="125" t="n"/>
      <c r="BI19" s="125" t="n"/>
      <c r="BJ19" s="125" t="n"/>
      <c r="BK19" s="125" t="n"/>
      <c r="BL19" s="125" t="n"/>
      <c r="BM19" s="125" t="n"/>
      <c r="BN19" s="125" t="n"/>
    </row>
    <row r="20" ht="15.75" customHeight="1" s="252">
      <c r="A20" s="123" t="inlineStr">
        <is>
          <t>Terance Chen</t>
        </is>
      </c>
      <c r="B20" s="113" t="n">
        <v>0.1</v>
      </c>
      <c r="C20" s="113" t="n"/>
      <c r="D20" s="124" t="n">
        <v>0</v>
      </c>
      <c r="E20" s="124">
        <f>D20*$E$4*(1-$B20)+D20</f>
        <v/>
      </c>
      <c r="F20" s="124">
        <f>E20*$F$4*(1-$B20)+E20</f>
        <v/>
      </c>
      <c r="G20" s="124">
        <f>F20*$G$4*(1-$B20)+F20</f>
        <v/>
      </c>
      <c r="H20" s="124">
        <f>G20*$H$4*(1-$B20)+G20+219747</f>
        <v/>
      </c>
      <c r="I20" s="124">
        <f>H20*$I$4*(1-$B20)+H20</f>
        <v/>
      </c>
      <c r="J20" s="124">
        <f>I20*$J$4*(1-$B20)+I20</f>
        <v/>
      </c>
      <c r="K20" s="124">
        <f>J20*$K$4*(1-$B20)+J20</f>
        <v/>
      </c>
      <c r="L20" s="124">
        <f>K20*$L$4*(1-$B20)+K20</f>
        <v/>
      </c>
      <c r="M20" s="124">
        <f>L20*$M$4*(1-$B20)+L20</f>
        <v/>
      </c>
      <c r="N20" s="124">
        <f>M20*$N$4*(1-$B20)+M20</f>
        <v/>
      </c>
      <c r="O20" s="124">
        <f>N20*$O$4*(1-$B20)+N20</f>
        <v/>
      </c>
      <c r="P20" s="124">
        <f>O20*$P$4*(1-$B20)+O20</f>
        <v/>
      </c>
      <c r="Q20" s="124">
        <f>P20*$Q$4*(1-$B20)+P20</f>
        <v/>
      </c>
      <c r="R20" s="124">
        <f>Q20*$R$4*(1-$B20)+Q20</f>
        <v/>
      </c>
      <c r="S20" s="124">
        <f>R20*$S$4*(1-$B20)+R20</f>
        <v/>
      </c>
      <c r="T20" s="124">
        <f>S20*$T$4*(1-$B20)+S20</f>
        <v/>
      </c>
      <c r="U20" s="124">
        <f>T20*$U$4*(1-$B20)+T20</f>
        <v/>
      </c>
      <c r="V20" s="124">
        <f>U20*$V$4*(1-$B20)+U20</f>
        <v/>
      </c>
      <c r="W20" s="124">
        <f>V20*$W$4*(1-$B20)+V20</f>
        <v/>
      </c>
      <c r="X20" s="124">
        <f>W20*$X$4*(1-$B20)+W20</f>
        <v/>
      </c>
      <c r="Y20" s="124">
        <f>X20*$Y$4*(1-$B20)+X20</f>
        <v/>
      </c>
      <c r="Z20" s="124">
        <f>Y20*$Z$4*(1-$B20)+Y20</f>
        <v/>
      </c>
      <c r="AA20" s="124">
        <f>Z20*$AA$4*(1-$B20)+Z20</f>
        <v/>
      </c>
      <c r="AB20" s="124">
        <f>AA20*$AB$4*(1-$B20)+AA20</f>
        <v/>
      </c>
      <c r="AC20" s="124">
        <f>AB20*$AC$4*(1-$B20)+AB20</f>
        <v/>
      </c>
      <c r="AD20" s="124">
        <f>AC20*$AD$4*(1-$B20)+AC20</f>
        <v/>
      </c>
      <c r="AE20" s="124">
        <f>AD20*$AE$4*(1-$B20)+AD20</f>
        <v/>
      </c>
      <c r="AF20" s="124">
        <f>AE20*$AF$4*(1-$B20)+AE20</f>
        <v/>
      </c>
      <c r="AG20" s="124">
        <f>AF20*$AG$4*(1-$B20)+AF20</f>
        <v/>
      </c>
      <c r="AH20" s="124">
        <f>AG20*AH$4*(1-$B20)+AG20+SUMIFS(Investments!$D:$D,Investments!$B:$B,$A20,Investments!$C:$C,"USDT",Investments!$A:$A,AH$8)</f>
        <v/>
      </c>
      <c r="AI20" s="124">
        <f>AH20*AI$4*(1-$B20)+AH20+SUMIFS(Investments!$D:$D,Investments!$B:$B,$A20,Investments!$C:$C,"USDT",Investments!$A:$A,AI$8)</f>
        <v/>
      </c>
      <c r="AJ20" s="124">
        <f>AI20*AJ$4*(1-$B20)+AI20+SUMIFS(Investments!$D:$D,Investments!$B:$B,$A20,Investments!$C:$C,"USDT",Investments!$A:$A,AJ$8)</f>
        <v/>
      </c>
      <c r="AK20" s="124">
        <f>AJ20*AK$4*(1-$B20)+AJ20+SUMIFS(Investments!$D:$D,Investments!$B:$B,$A20,Investments!$C:$C,"USDT",Investments!$A:$A,AK$8)</f>
        <v/>
      </c>
      <c r="AL20" s="124">
        <f>AK20*AL$4*(1-$B20)+AK20+SUMIFS(Investments!$D:$D,Investments!$B:$B,$A20,Investments!$C:$C,"USDT",Investments!$A:$A,AL$8)</f>
        <v/>
      </c>
      <c r="AM20" s="124">
        <f>AL20*AM$4*(1-$B20)+AL20+SUMIFS(Investments!$D:$D,Investments!$B:$B,$A20,Investments!$C:$C,"USDT",Investments!$A:$A,AM$8)</f>
        <v/>
      </c>
      <c r="AN20" s="124">
        <f>AM20*AN$4*(1-$B20)+AM20+SUMIFS(Investments!$D:$D,Investments!$B:$B,$A20,Investments!$C:$C,"USDT",Investments!$A:$A,AN$8)</f>
        <v/>
      </c>
      <c r="AO20" s="124">
        <f>AN20*AO$4*(1-$B20)+AN20+SUMIFS(Investments!$D:$D,Investments!$B:$B,$A20,Investments!$C:$C,"USDT",Investments!$A:$A,AO$8)</f>
        <v/>
      </c>
      <c r="AP20" s="124">
        <f>AO20*AP$4*(1-$B20)+AO20+SUMIFS(Investments!$D:$D,Investments!$B:$B,$A20,Investments!$C:$C,"USDT",Investments!$A:$A,AP$8)</f>
        <v/>
      </c>
      <c r="AQ20" s="124">
        <f>AP20*AQ$4*(1-$B20)+AP20+SUMIFS(Investments!$D:$D,Investments!$B:$B,$A20,Investments!$C:$C,"USDT",Investments!$A:$A,AQ$8)</f>
        <v/>
      </c>
      <c r="AR20" s="124">
        <f>AQ20*AR$4*(1-$B20)+AQ20+SUMIFS(Investments!$D:$D,Investments!$B:$B,$A20,Investments!$C:$C,"USDT",Investments!$A:$A,AR$8)</f>
        <v/>
      </c>
      <c r="AS20" s="124">
        <f>AR20*AS$4*(1-$B20)+AR20+SUMIFS(Investments!$D:$D,Investments!$B:$B,$A20,Investments!$C:$C,"USDT",Investments!$A:$A,AS$8)</f>
        <v/>
      </c>
      <c r="AT20" s="124">
        <f>AS20*AT$4*(1-$B20)+AS20+SUMIFS(Investments!$D:$D,Investments!$B:$B,$A20,Investments!$C:$C,"USDT",Investments!$A:$A,AT$8)</f>
        <v/>
      </c>
      <c r="AU20" s="125" t="n"/>
      <c r="AV20" s="125" t="n"/>
      <c r="AW20" s="125" t="n"/>
      <c r="AX20" s="125" t="n"/>
      <c r="AY20" s="125" t="n"/>
      <c r="AZ20" s="125" t="n"/>
      <c r="BA20" s="125" t="n"/>
      <c r="BB20" s="125" t="n"/>
      <c r="BC20" s="125" t="n"/>
      <c r="BD20" s="125" t="n"/>
      <c r="BE20" s="125" t="n"/>
      <c r="BF20" s="125" t="n"/>
      <c r="BG20" s="125" t="n"/>
      <c r="BH20" s="125" t="n"/>
      <c r="BI20" s="125" t="n"/>
      <c r="BJ20" s="125" t="n"/>
      <c r="BK20" s="125" t="n"/>
      <c r="BL20" s="125" t="n"/>
      <c r="BM20" s="125" t="n"/>
      <c r="BN20" s="125" t="n"/>
    </row>
    <row r="21" ht="15.75" customHeight="1" s="252">
      <c r="A21" s="123" t="inlineStr">
        <is>
          <t>INDIGO Ventures</t>
        </is>
      </c>
      <c r="B21" s="113" t="n">
        <v>0</v>
      </c>
      <c r="C21" s="113" t="n"/>
      <c r="D21" s="124" t="n">
        <v>0</v>
      </c>
      <c r="E21" s="124">
        <f>D21*$E$4*(1-$B21)+D21</f>
        <v/>
      </c>
      <c r="F21" s="124">
        <f>E21*$F$4*(1-$B21)+E21</f>
        <v/>
      </c>
      <c r="G21" s="124">
        <f>F21*$G$4*(1-$B21)+F21</f>
        <v/>
      </c>
      <c r="H21" s="124">
        <f>G21*$H$4*(1-$B21)+G21</f>
        <v/>
      </c>
      <c r="I21" s="124">
        <f>H21*$I$4*(1-$B21)+H21</f>
        <v/>
      </c>
      <c r="J21" s="124">
        <f>I21*$J$4*(1-$B21)+I21+130000</f>
        <v/>
      </c>
      <c r="K21" s="124">
        <f>J21*$K$4*(1-$B21)+J21</f>
        <v/>
      </c>
      <c r="L21" s="124">
        <f>K21*$L$4*(1-$B21)+K21</f>
        <v/>
      </c>
      <c r="M21" s="124">
        <f>L21*$M$4*(1-$B21)+L21</f>
        <v/>
      </c>
      <c r="N21" s="124">
        <f>M21*$N$4*(1-$B21)+M21</f>
        <v/>
      </c>
      <c r="O21" s="124">
        <f>N21*$O$4*(1-$B21)+N21</f>
        <v/>
      </c>
      <c r="P21" s="124">
        <f>O21*$P$4*(1-$B21)+O21-100000</f>
        <v/>
      </c>
      <c r="Q21" s="124">
        <f>P21*$Q$4*(1-$B21)+P21</f>
        <v/>
      </c>
      <c r="R21" s="124">
        <f>Q21*$R$4*(1-$B21)+Q21-32594.55+5000</f>
        <v/>
      </c>
      <c r="S21" s="124">
        <f>R21*$S$4*(1-$B21)+R21</f>
        <v/>
      </c>
      <c r="T21" s="124">
        <f>S21*$T$4*(1-$B21)+S21</f>
        <v/>
      </c>
      <c r="U21" s="124">
        <f>T21*$U$4*(1-$B21)+T21</f>
        <v/>
      </c>
      <c r="V21" s="124">
        <f>U21*$V$4*(1-$B21)+U21</f>
        <v/>
      </c>
      <c r="W21" s="124">
        <f>V21*$W$4*(1-$B21)+V21</f>
        <v/>
      </c>
      <c r="X21" s="124">
        <f>W21*$X$4*(1-$B21)+W21</f>
        <v/>
      </c>
      <c r="Y21" s="124">
        <f>X21*$Y$4*(1-$B21)+X21</f>
        <v/>
      </c>
      <c r="Z21" s="124">
        <f>Y21*$Z$4*(1-$B21)+Y21</f>
        <v/>
      </c>
      <c r="AA21" s="124">
        <f>Z21*$AA$4*(1-$B21)+Z21</f>
        <v/>
      </c>
      <c r="AB21" s="124">
        <f>AA21*$AB$4*(1-$B21)+AA21</f>
        <v/>
      </c>
      <c r="AC21" s="124">
        <f>AB21*$AC$4*(1-$B21)+AB21</f>
        <v/>
      </c>
      <c r="AD21" s="124">
        <f>AC21*$AD$4*(1-$B21)+AC21</f>
        <v/>
      </c>
      <c r="AE21" s="124">
        <f>AD21*$AE$4*(1-$B21)+AD21</f>
        <v/>
      </c>
      <c r="AF21" s="124">
        <f>AE21*$AF$4*(1-$B21)+AE21</f>
        <v/>
      </c>
      <c r="AG21" s="124">
        <f>AF21*$AG$4*(1-$B21)+AF21</f>
        <v/>
      </c>
      <c r="AH21" s="124">
        <f>AG21*AH$4*(1-$B21)+AG21-(AG21*AH$4*(1-$B21)+AG21)</f>
        <v/>
      </c>
      <c r="AI21" s="124">
        <f>AH21*AI$4*(1-$B21)+AH21-(AH21*AI$4*(1-$B21)+AH21)</f>
        <v/>
      </c>
      <c r="AJ21" s="124">
        <f>AI21*AJ$4*(1-$B21)+AI21-(AI21*AJ$4*(1-$B21)+AI21)</f>
        <v/>
      </c>
      <c r="AK21" s="124">
        <f>AJ21*AK$4*(1-$B21)+AJ21-(AJ21*AK$4*(1-$B21)+AJ21)</f>
        <v/>
      </c>
      <c r="AL21" s="124">
        <f>AK21*AL$4*(1-$B21)+AK21-(AK21*AL$4*(1-$B21)+AK21)</f>
        <v/>
      </c>
      <c r="AM21" s="124">
        <f>AL21*AM$4*(1-$B21)+AL21-(AL21*AM$4*(1-$B21)+AL21)</f>
        <v/>
      </c>
      <c r="AN21" s="124">
        <f>AM21*AN$4*(1-$B21)+AM21-(AM21*AN$4*(1-$B21)+AM21)</f>
        <v/>
      </c>
      <c r="AO21" s="124">
        <f>AN21*AO$4*(1-$B21)+AN21-(AN21*AO$4*(1-$B21)+AN21)</f>
        <v/>
      </c>
      <c r="AP21" s="124">
        <f>AO21*AP$4*(1-$B21)+AO21-(AO21*AP$4*(1-$B21)+AO21)</f>
        <v/>
      </c>
      <c r="AQ21" s="124">
        <f>AP21*AQ$4*(1-$B21)+AP21-(AP21*AQ$4*(1-$B21)+AP21)</f>
        <v/>
      </c>
      <c r="AR21" s="124">
        <f>AQ21*AR$4*(1-$B21)+AQ21-(AQ21*AR$4*(1-$B21)+AQ21)</f>
        <v/>
      </c>
      <c r="AS21" s="124">
        <f>AR21*AS$4*(1-$B21)+AR21-(AR21*AS$4*(1-$B21)+AR21)</f>
        <v/>
      </c>
      <c r="AT21" s="124">
        <f>AS21*AT$4*(1-$B21)+AS21-(AS21*AT$4*(1-$B21)+AS21)</f>
        <v/>
      </c>
      <c r="AU21" s="125" t="n"/>
      <c r="AV21" s="125" t="n"/>
      <c r="AW21" s="125" t="n"/>
      <c r="AX21" s="125" t="n"/>
      <c r="AY21" s="125" t="n"/>
      <c r="AZ21" s="125" t="n"/>
      <c r="BA21" s="125" t="n"/>
      <c r="BB21" s="125" t="n"/>
      <c r="BC21" s="125" t="n"/>
      <c r="BD21" s="125" t="n"/>
      <c r="BE21" s="125" t="n"/>
      <c r="BF21" s="125" t="n"/>
      <c r="BG21" s="125" t="n"/>
      <c r="BH21" s="125" t="n"/>
      <c r="BI21" s="125" t="n"/>
      <c r="BJ21" s="125" t="n"/>
      <c r="BK21" s="125" t="n"/>
      <c r="BL21" s="125" t="n"/>
      <c r="BM21" s="125" t="n"/>
      <c r="BN21" s="125" t="n"/>
    </row>
    <row r="22" ht="15.75" customHeight="1" s="252">
      <c r="A22" s="123" t="inlineStr">
        <is>
          <t>INDIGO DIGITAL ASSET FUND LP</t>
        </is>
      </c>
      <c r="B22" s="113" t="n">
        <v>0</v>
      </c>
      <c r="C22" s="113" t="n"/>
      <c r="D22" s="124" t="n">
        <v>0</v>
      </c>
      <c r="E22" s="124">
        <f>D22*$E$4*(1-$B22)+D22</f>
        <v/>
      </c>
      <c r="F22" s="124">
        <f>E22*$F$4*(1-$B22)+E22</f>
        <v/>
      </c>
      <c r="G22" s="124">
        <f>F22*$G$4*(1-$B22)+F22</f>
        <v/>
      </c>
      <c r="H22" s="124">
        <f>G22*$H$4*(1-$B22)+G22</f>
        <v/>
      </c>
      <c r="I22" s="124">
        <f>H22*$I$4*(1-$B22)+H22</f>
        <v/>
      </c>
      <c r="J22" s="124">
        <f>I22*$J$4*(1-$B22)+I22</f>
        <v/>
      </c>
      <c r="K22" s="124">
        <f>J22*$K$4*(1-$B22)+J22</f>
        <v/>
      </c>
      <c r="L22" s="124">
        <f>K22*$L$4*(1-$B22)+K22+111370</f>
        <v/>
      </c>
      <c r="M22" s="124">
        <f>L22*$M$4*(1-$B22)+L22</f>
        <v/>
      </c>
      <c r="N22" s="124">
        <f>M22*$N$4*(1-$B22)+M22</f>
        <v/>
      </c>
      <c r="O22" s="124">
        <f>N22*$O$4*(1-$B22)+N22</f>
        <v/>
      </c>
      <c r="P22" s="124">
        <f>O22*$P$4*(1-$B22)+O22</f>
        <v/>
      </c>
      <c r="Q22" s="124">
        <f>P22*$Q$4*(1-$B22)+P22</f>
        <v/>
      </c>
      <c r="R22" s="124">
        <f>Q22*$R$4*(1-$B22)+Q22</f>
        <v/>
      </c>
      <c r="S22" s="124">
        <f>R22*$S$4*(1-$B22)+R22</f>
        <v/>
      </c>
      <c r="T22" s="124">
        <f>S22*$T$4*(1-$B22)+S22</f>
        <v/>
      </c>
      <c r="U22" s="124">
        <f>T22*$U$4*(1-$B22)+T22</f>
        <v/>
      </c>
      <c r="V22" s="124">
        <f>U22*$V$4*(1-$B22)+U22-(U22*$V$4*(1-$B22)+U22)</f>
        <v/>
      </c>
      <c r="W22" s="124">
        <f>V22*$W$4*(1-$B22)+V22</f>
        <v/>
      </c>
      <c r="X22" s="124">
        <f>W22*$X$4*(1-$B22)+W22</f>
        <v/>
      </c>
      <c r="Y22" s="124">
        <f>X22*$Y$4*(1-$B22)+X22</f>
        <v/>
      </c>
      <c r="Z22" s="124">
        <f>Y22*$Z$4*(1-$B22)+Y22</f>
        <v/>
      </c>
      <c r="AA22" s="124">
        <f>Z22*$AA$4*(1-$B22)+Z22</f>
        <v/>
      </c>
      <c r="AB22" s="124">
        <f>AA22*$AB$4*(1-$B22)+AA22</f>
        <v/>
      </c>
      <c r="AC22" s="124">
        <f>AB22*$AC$4*(1-$B22)+AB22</f>
        <v/>
      </c>
      <c r="AD22" s="124">
        <f>AC22*$AD$4*(1-$B22)+AC22</f>
        <v/>
      </c>
      <c r="AE22" s="124">
        <f>AD22*$AE$4*(1-$B22)+AD22</f>
        <v/>
      </c>
      <c r="AF22" s="124">
        <f>AE22*$AF$4*(1-$B22)+AE22</f>
        <v/>
      </c>
      <c r="AG22" s="124">
        <f>AF22*$AG$4*(1-$B22)+AF22</f>
        <v/>
      </c>
      <c r="AH22" s="124">
        <f>AG22*AH$4*(1-$B22)+AG22+SUMIFS(Investments!$D:$D,Investments!$B:$B,$A22,Investments!$C:$C,"USDT",Investments!$A:$A,AH$8)</f>
        <v/>
      </c>
      <c r="AI22" s="124">
        <f>AH22*AI$4*(1-$B22)+AH22+SUMIFS(Investments!$D:$D,Investments!$B:$B,$A22,Investments!$C:$C,"USDT",Investments!$A:$A,AI$8)</f>
        <v/>
      </c>
      <c r="AJ22" s="124">
        <f>AI22*AJ$4*(1-$B22)+AI22+SUMIFS(Investments!$D:$D,Investments!$B:$B,$A22,Investments!$C:$C,"USDT",Investments!$A:$A,AJ$8)</f>
        <v/>
      </c>
      <c r="AK22" s="124">
        <f>AJ22*AK$4*(1-$B22)+AJ22+SUMIFS(Investments!$D:$D,Investments!$B:$B,$A22,Investments!$C:$C,"USDT",Investments!$A:$A,AK$8)</f>
        <v/>
      </c>
      <c r="AL22" s="124">
        <f>AK22*AL$4*(1-$B22)+AK22+SUMIFS(Investments!$D:$D,Investments!$B:$B,$A22,Investments!$C:$C,"USDT",Investments!$A:$A,AL$8)</f>
        <v/>
      </c>
      <c r="AM22" s="124">
        <f>AL22*AM$4*(1-$B22)+AL22+SUMIFS(Investments!$D:$D,Investments!$B:$B,$A22,Investments!$C:$C,"USDT",Investments!$A:$A,AM$8)</f>
        <v/>
      </c>
      <c r="AN22" s="124">
        <f>AM22*AN$4*(1-$B22)+AM22+SUMIFS(Investments!$D:$D,Investments!$B:$B,$A22,Investments!$C:$C,"USDT",Investments!$A:$A,AN$8)</f>
        <v/>
      </c>
      <c r="AO22" s="124">
        <f>AN22*AO$4*(1-$B22)+AN22+SUMIFS(Investments!$D:$D,Investments!$B:$B,$A22,Investments!$C:$C,"USDT",Investments!$A:$A,AO$8)</f>
        <v/>
      </c>
      <c r="AP22" s="124">
        <f>AO22*AP$4*(1-$B22)+AO22+SUMIFS(Investments!$D:$D,Investments!$B:$B,$A22,Investments!$C:$C,"USDT",Investments!$A:$A,AP$8)</f>
        <v/>
      </c>
      <c r="AQ22" s="124">
        <f>AP22*AQ$4*(1-$B22)+AP22+SUMIFS(Investments!$D:$D,Investments!$B:$B,$A22,Investments!$C:$C,"USDT",Investments!$A:$A,AQ$8)</f>
        <v/>
      </c>
      <c r="AR22" s="124">
        <f>AQ22*AR$4*(1-$B22)+AQ22+SUMIFS(Investments!$D:$D,Investments!$B:$B,$A22,Investments!$C:$C,"USDT",Investments!$A:$A,AR$8)</f>
        <v/>
      </c>
      <c r="AS22" s="124">
        <f>AR22*AS$4*(1-$B22)+AR22+SUMIFS(Investments!$D:$D,Investments!$B:$B,$A22,Investments!$C:$C,"USDT",Investments!$A:$A,AS$8)</f>
        <v/>
      </c>
      <c r="AT22" s="124">
        <f>AS22*AT$4*(1-$B22)+AS22+SUMIFS(Investments!$D:$D,Investments!$B:$B,$A22,Investments!$C:$C,"USDT",Investments!$A:$A,AT$8)</f>
        <v/>
      </c>
      <c r="AU22" s="125" t="n"/>
      <c r="AV22" s="125" t="n"/>
      <c r="AW22" s="125" t="n"/>
      <c r="AX22" s="125" t="n"/>
      <c r="AY22" s="125" t="n"/>
      <c r="AZ22" s="125" t="n"/>
      <c r="BA22" s="125" t="n"/>
      <c r="BB22" s="125" t="n"/>
      <c r="BC22" s="125" t="n"/>
      <c r="BD22" s="125" t="n"/>
      <c r="BE22" s="125" t="n"/>
      <c r="BF22" s="125" t="n"/>
      <c r="BG22" s="125" t="n"/>
      <c r="BH22" s="125" t="n"/>
      <c r="BI22" s="125" t="n"/>
      <c r="BJ22" s="125" t="n"/>
      <c r="BK22" s="125" t="n"/>
      <c r="BL22" s="125" t="n"/>
      <c r="BM22" s="125" t="n"/>
      <c r="BN22" s="125" t="n"/>
    </row>
    <row r="23" ht="15.75" customHeight="1" s="252">
      <c r="A23" s="123" t="inlineStr">
        <is>
          <t>Sacha Oshry</t>
        </is>
      </c>
      <c r="B23" s="113" t="n">
        <v>0.15</v>
      </c>
      <c r="C23" s="126" t="n"/>
      <c r="D23" s="124" t="n">
        <v>0</v>
      </c>
      <c r="E23" s="124">
        <f>D23*$E$4*(1-$B23)+D23</f>
        <v/>
      </c>
      <c r="F23" s="124">
        <f>E23*$F$4*(1-$B23)+E23</f>
        <v/>
      </c>
      <c r="G23" s="124">
        <f>F23*$G$4*(1-$B23)+F23</f>
        <v/>
      </c>
      <c r="H23" s="124">
        <f>G23*$H$4*(1-$B23)+G23</f>
        <v/>
      </c>
      <c r="I23" s="124">
        <f>H23*$I$4*(1-$B23)+H23</f>
        <v/>
      </c>
      <c r="J23" s="124">
        <f>(I23*$J$4*(1-$B23)+I23)</f>
        <v/>
      </c>
      <c r="K23" s="124">
        <f>(J23*$K$4*(1-$B23)+J23)</f>
        <v/>
      </c>
      <c r="L23" s="124">
        <f>(K23*$L$4*(1-$B23)+K23)</f>
        <v/>
      </c>
      <c r="M23" s="124">
        <f>(L23*$M$4*(1-$B23)+L23)</f>
        <v/>
      </c>
      <c r="N23" s="124">
        <f>(M23*$N$4*(1-$B23)+M23)</f>
        <v/>
      </c>
      <c r="O23" s="124">
        <f>(N23*$O$4*(1-$B23)+N23)</f>
        <v/>
      </c>
      <c r="P23" s="124">
        <f>(O23*$P$4*(1-$B23)+O23)+100000</f>
        <v/>
      </c>
      <c r="Q23" s="124">
        <f>(P23*$Q$4*(1-$B23)+P23)</f>
        <v/>
      </c>
      <c r="R23" s="124">
        <f>(Q23*$R$4*(1-$B23)+Q23)</f>
        <v/>
      </c>
      <c r="S23" s="124">
        <f>(R23*$S$4*(1-$B23)+R23)</f>
        <v/>
      </c>
      <c r="T23" s="124">
        <f>(S23*$T$4*(1-$B23)+S23)</f>
        <v/>
      </c>
      <c r="U23" s="124">
        <f>(T23*$U$4*(1-$B23)+T23)</f>
        <v/>
      </c>
      <c r="V23" s="124">
        <f>(U23*$V$4*(1-$B23)+U23)</f>
        <v/>
      </c>
      <c r="W23" s="124">
        <f>(V23*$W$4*(1-$B23)+V23)</f>
        <v/>
      </c>
      <c r="X23" s="124">
        <f>(W23*$X$4*(1-$B23)+W23)</f>
        <v/>
      </c>
      <c r="Y23" s="124">
        <f>(X23*$Y$4*(1-$B23)+X23)</f>
        <v/>
      </c>
      <c r="Z23" s="124">
        <f>(Y23*$Z$4*(1-$B23)+Y23)</f>
        <v/>
      </c>
      <c r="AA23" s="124">
        <f>(Z23*$AA$4*(1-$B23)+Z23)</f>
        <v/>
      </c>
      <c r="AB23" s="124">
        <f>(AA23*$AB$4*(1-$B23)+AA23)</f>
        <v/>
      </c>
      <c r="AC23" s="124">
        <f>(AB23*$AC$4*(1-$B23)+AB23)</f>
        <v/>
      </c>
      <c r="AD23" s="124">
        <f>(AC23*$AD$4*(1-$B23)+AC23)</f>
        <v/>
      </c>
      <c r="AE23" s="124">
        <f>(AD23*$AE$4*(1-$B23)+AD23)</f>
        <v/>
      </c>
      <c r="AF23" s="124">
        <f>(AE23*$AF$4*(1-$B23)+AE23)</f>
        <v/>
      </c>
      <c r="AG23" s="124">
        <f>(AF23*$AG$4*(1-$B23)+AF23)</f>
        <v/>
      </c>
      <c r="AH23" s="124">
        <f>(AG23*AH$4*(1-$B23)+AG23)+SUMIFS(Investments!$D:$D,Investments!$B:$B,$A23,Investments!$C:$C,"USDT",Investments!$A:$A,AH$8)</f>
        <v/>
      </c>
      <c r="AI23" s="124">
        <f>(AH23*AI$4*(1-$B23)+AH23)+SUMIFS(Investments!$D:$D,Investments!$B:$B,$A23,Investments!$C:$C,"USDT",Investments!$A:$A,AI$8)</f>
        <v/>
      </c>
      <c r="AJ23" s="124">
        <f>(AI23*AJ$4*(1-$B23)+AI23)+SUMIFS(Investments!$D:$D,Investments!$B:$B,$A23,Investments!$C:$C,"USDT",Investments!$A:$A,AJ$8)</f>
        <v/>
      </c>
      <c r="AK23" s="124">
        <f>(AJ23*AK$4*(1-$B23)+AJ23)+SUMIFS(Investments!$D:$D,Investments!$B:$B,$A23,Investments!$C:$C,"USDT",Investments!$A:$A,AK$8)</f>
        <v/>
      </c>
      <c r="AL23" s="124">
        <f>(AK23*AL$4*(1-$B23)+AK23)+SUMIFS(Investments!$D:$D,Investments!$B:$B,$A23,Investments!$C:$C,"USDT",Investments!$A:$A,AL$8)</f>
        <v/>
      </c>
      <c r="AM23" s="124">
        <f>(AL23*AM$4*(1-$B23)+AL23)+SUMIFS(Investments!$D:$D,Investments!$B:$B,$A23,Investments!$C:$C,"USDT",Investments!$A:$A,AM$8)</f>
        <v/>
      </c>
      <c r="AN23" s="124">
        <f>(AM23*AN$4*(1-$B23)+AM23)+SUMIFS(Investments!$D:$D,Investments!$B:$B,$A23,Investments!$C:$C,"USDT",Investments!$A:$A,AN$8)</f>
        <v/>
      </c>
      <c r="AO23" s="124">
        <f>(AN23*AO$4*(1-$B23)+AN23)+SUMIFS(Investments!$D:$D,Investments!$B:$B,$A23,Investments!$C:$C,"USDT",Investments!$A:$A,AO$8)</f>
        <v/>
      </c>
      <c r="AP23" s="124">
        <f>(AO23*AP$4*(1-$B23)+AO23)+SUMIFS(Investments!$D:$D,Investments!$B:$B,$A23,Investments!$C:$C,"USDT",Investments!$A:$A,AP$8)</f>
        <v/>
      </c>
      <c r="AQ23" s="124">
        <f>(AP23*AQ$4*(1-$B23)+AP23)+SUMIFS(Investments!$D:$D,Investments!$B:$B,$A23,Investments!$C:$C,"USDT",Investments!$A:$A,AQ$8)</f>
        <v/>
      </c>
      <c r="AR23" s="124">
        <f>(AQ23*AR$4*(1-$B23)+AQ23)+SUMIFS(Investments!$D:$D,Investments!$B:$B,$A23,Investments!$C:$C,"USDT",Investments!$A:$A,AR$8)</f>
        <v/>
      </c>
      <c r="AS23" s="124">
        <f>(AR23*AS$4*(1-$B23)+AR23)+SUMIFS(Investments!$D:$D,Investments!$B:$B,$A23,Investments!$C:$C,"USDT",Investments!$A:$A,AS$8)</f>
        <v/>
      </c>
      <c r="AT23" s="124">
        <f>(AS23*AT$4*(1-$B23)+AS23)+SUMIFS(Investments!$D:$D,Investments!$B:$B,$A23,Investments!$C:$C,"USDT",Investments!$A:$A,AT$8)</f>
        <v/>
      </c>
      <c r="AU23" s="127" t="n"/>
      <c r="AV23" s="127" t="n"/>
      <c r="AW23" s="127" t="n"/>
      <c r="AX23" s="127" t="n"/>
      <c r="AY23" s="127" t="n"/>
      <c r="AZ23" s="127" t="n"/>
      <c r="BA23" s="127" t="n"/>
      <c r="BB23" s="127" t="n"/>
      <c r="BC23" s="127" t="n"/>
      <c r="BD23" s="127" t="n"/>
      <c r="BE23" s="127" t="n"/>
      <c r="BF23" s="127" t="n"/>
      <c r="BG23" s="127" t="n"/>
      <c r="BH23" s="127" t="n"/>
      <c r="BI23" s="127" t="n"/>
      <c r="BJ23" s="127" t="n"/>
      <c r="BK23" s="127" t="n"/>
      <c r="BL23" s="127" t="n"/>
      <c r="BM23" s="127" t="n"/>
      <c r="BN23" s="127" t="n"/>
    </row>
    <row r="24" ht="15.75" customHeight="1" s="252">
      <c r="A24" s="123" t="inlineStr">
        <is>
          <t>HALLEY86</t>
        </is>
      </c>
      <c r="B24" s="113" t="n">
        <v>0.2</v>
      </c>
      <c r="C24" s="126" t="n"/>
      <c r="D24" s="124" t="n">
        <v>0</v>
      </c>
      <c r="E24" s="124">
        <f>D24*$E$4*(1-$B24)+D24</f>
        <v/>
      </c>
      <c r="F24" s="124">
        <f>E24*$F$4*(1-$B24)+E24</f>
        <v/>
      </c>
      <c r="G24" s="124">
        <f>F24*$G$4*(1-$B24)+F24</f>
        <v/>
      </c>
      <c r="H24" s="124">
        <f>G24*$H$4*(1-$B24)+G24</f>
        <v/>
      </c>
      <c r="I24" s="124">
        <f>H24*$I$4*(1-$B24)+H24</f>
        <v/>
      </c>
      <c r="J24" s="124">
        <f>(I24*$J$4*(1-$B24)+I24)</f>
        <v/>
      </c>
      <c r="K24" s="124">
        <f>(J24*$K$4*(1-$B24)+J24)</f>
        <v/>
      </c>
      <c r="L24" s="124">
        <f>(K24*$L$4*(1-$B24)+K24)</f>
        <v/>
      </c>
      <c r="M24" s="124">
        <f>(L24*$M$4*(1-$B24)+L24)</f>
        <v/>
      </c>
      <c r="N24" s="124">
        <f>(M24*$N$4*(1-$B24)+M24)</f>
        <v/>
      </c>
      <c r="O24" s="124">
        <f>(N24*$O$4*(1-$B24)+N24)</f>
        <v/>
      </c>
      <c r="P24" s="124">
        <f>(O24*$P$4*(1-$B24)+O24)</f>
        <v/>
      </c>
      <c r="Q24" s="124">
        <f>(P24*$Q$4*(1-$B24)+P24)</f>
        <v/>
      </c>
      <c r="R24" s="124">
        <f>(Q24*$R$4*(1-$B24)+Q24)</f>
        <v/>
      </c>
      <c r="S24" s="124">
        <f>(R24*$S$4*(1-$B24)+R24)+99990</f>
        <v/>
      </c>
      <c r="T24" s="124">
        <f>(S24*$T$4*(1-$B24)+S24)</f>
        <v/>
      </c>
      <c r="U24" s="124">
        <f>(T24*$U$4*(1-$B24)+T24)</f>
        <v/>
      </c>
      <c r="V24" s="124">
        <f>(U24*$V$4*(1-$B24)+U24)</f>
        <v/>
      </c>
      <c r="W24" s="124">
        <f>(V24*$W$4*(1-$B24)+V24)</f>
        <v/>
      </c>
      <c r="X24" s="124">
        <f>(W24*$X$4*(1-$B24)+W24)</f>
        <v/>
      </c>
      <c r="Y24" s="124">
        <f>(X24*$Y$4*(1-$B24)+X24)</f>
        <v/>
      </c>
      <c r="Z24" s="124">
        <f>(Y24*$Z$4*(1-$B24)+Y24)</f>
        <v/>
      </c>
      <c r="AA24" s="124">
        <f>(Z24*$AA$4*(1-$B24)+Z24)</f>
        <v/>
      </c>
      <c r="AB24" s="124">
        <f>(AA24*$AB$4*(1-$B24)+AA24)</f>
        <v/>
      </c>
      <c r="AC24" s="124">
        <f>(AB24*$AC$4*(1-$B24)+AB24)</f>
        <v/>
      </c>
      <c r="AD24" s="124">
        <f>(AC24*$AD$4*(1-$B24)+AC24)</f>
        <v/>
      </c>
      <c r="AE24" s="124">
        <f>(AD24*$AE$4*(1-$B24)+AD24)</f>
        <v/>
      </c>
      <c r="AF24" s="124">
        <f>(AE24*$AF$4*(1-$B24)+AE24)</f>
        <v/>
      </c>
      <c r="AG24" s="124">
        <f>(AF24*$AG$4*(1-$B24)+AF24)</f>
        <v/>
      </c>
      <c r="AH24" s="124">
        <f>(AG24*AH$4*(1-$B24)+AG24)+SUMIFS(Investments!$D:$D,Investments!$B:$B,$A24,Investments!$C:$C,"USDT",Investments!$A:$A,AH$8)</f>
        <v/>
      </c>
      <c r="AI24" s="124">
        <f>(AH24*AI$4*(1-$B24)+AH24)+SUMIFS(Investments!$D:$D,Investments!$B:$B,$A24,Investments!$C:$C,"USDT",Investments!$A:$A,AI$8)</f>
        <v/>
      </c>
      <c r="AJ24" s="124">
        <f>(AI24*AJ$4*(1-$B24)+AI24)+SUMIFS(Investments!$D:$D,Investments!$B:$B,$A24,Investments!$C:$C,"USDT",Investments!$A:$A,AJ$8)</f>
        <v/>
      </c>
      <c r="AK24" s="124">
        <f>(AJ24*AK$4*(1-$B24)+AJ24)+SUMIFS(Investments!$D:$D,Investments!$B:$B,$A24,Investments!$C:$C,"USDT",Investments!$A:$A,AK$8)</f>
        <v/>
      </c>
      <c r="AL24" s="124">
        <f>(AK24*AL$4*(1-$B24)+AK24)+SUMIFS(Investments!$D:$D,Investments!$B:$B,$A24,Investments!$C:$C,"USDT",Investments!$A:$A,AL$8)</f>
        <v/>
      </c>
      <c r="AM24" s="124">
        <f>(AL24*AM$4*(1-$B24)+AL24)+SUMIFS(Investments!$D:$D,Investments!$B:$B,$A24,Investments!$C:$C,"USDT",Investments!$A:$A,AM$8)</f>
        <v/>
      </c>
      <c r="AN24" s="124">
        <f>(AM24*AN$4*(1-$B24)+AM24)+SUMIFS(Investments!$D:$D,Investments!$B:$B,$A24,Investments!$C:$C,"USDT",Investments!$A:$A,AN$8)</f>
        <v/>
      </c>
      <c r="AO24" s="124">
        <f>(AN24*AO$4*(1-$B24)+AN24)+SUMIFS(Investments!$D:$D,Investments!$B:$B,$A24,Investments!$C:$C,"USDT",Investments!$A:$A,AO$8)</f>
        <v/>
      </c>
      <c r="AP24" s="124">
        <f>(AO24*AP$4*(1-$B24)+AO24)+SUMIFS(Investments!$D:$D,Investments!$B:$B,$A24,Investments!$C:$C,"USDT",Investments!$A:$A,AP$8)</f>
        <v/>
      </c>
      <c r="AQ24" s="124">
        <f>(AP24*AQ$4*(1-$B24)+AP24)+SUMIFS(Investments!$D:$D,Investments!$B:$B,$A24,Investments!$C:$C,"USDT",Investments!$A:$A,AQ$8)</f>
        <v/>
      </c>
      <c r="AR24" s="124">
        <f>(AQ24*AR$4*(1-$B24)+AQ24)+SUMIFS(Investments!$D:$D,Investments!$B:$B,$A24,Investments!$C:$C,"USDT",Investments!$A:$A,AR$8)</f>
        <v/>
      </c>
      <c r="AS24" s="124">
        <f>(AR24*AS$4*(1-$B24)+AR24)+SUMIFS(Investments!$D:$D,Investments!$B:$B,$A24,Investments!$C:$C,"USDT",Investments!$A:$A,AS$8)</f>
        <v/>
      </c>
      <c r="AT24" s="124">
        <f>(AS24*AT$4*(1-$B24)+AS24)+SUMIFS(Investments!$D:$D,Investments!$B:$B,$A24,Investments!$C:$C,"USDT",Investments!$A:$A,AT$8)</f>
        <v/>
      </c>
    </row>
    <row r="25" ht="15.75" customHeight="1" s="252">
      <c r="A25" s="123" t="inlineStr">
        <is>
          <t>Jose Molla</t>
        </is>
      </c>
      <c r="B25" s="113" t="n">
        <v>0.15</v>
      </c>
      <c r="C25" s="126" t="n"/>
      <c r="D25" s="124" t="n">
        <v>0</v>
      </c>
      <c r="E25" s="124">
        <f>D25*$E$4*(1-$B25)+D25</f>
        <v/>
      </c>
      <c r="F25" s="124">
        <f>E25*$F$4*(1-$B25)+E25</f>
        <v/>
      </c>
      <c r="G25" s="124">
        <f>F25*$G$4*(1-$B25)+F25</f>
        <v/>
      </c>
      <c r="H25" s="124">
        <f>G25*$H$4*(1-$B25)+G25</f>
        <v/>
      </c>
      <c r="I25" s="124">
        <f>H25*$I$4*(1-$B25)+H25</f>
        <v/>
      </c>
      <c r="J25" s="124">
        <f>(I25*$J$4*(1-$B25)+I25)</f>
        <v/>
      </c>
      <c r="K25" s="124">
        <f>(J25*$K$4*(1-$B25)+J25)</f>
        <v/>
      </c>
      <c r="L25" s="124">
        <f>(K25*$L$4*(1-$B25)+K25)</f>
        <v/>
      </c>
      <c r="M25" s="124">
        <f>(L25*$M$4*(1-$B25)+L25)</f>
        <v/>
      </c>
      <c r="N25" s="124">
        <f>(M25*$N$4*(1-$B25)+M25)</f>
        <v/>
      </c>
      <c r="O25" s="124">
        <f>(N25*$O$4*(1-$B25)+N25)</f>
        <v/>
      </c>
      <c r="P25" s="124">
        <f>(O25*$P$4*(1-$B25)+O25)</f>
        <v/>
      </c>
      <c r="Q25" s="124">
        <f>(P25*$Q$4*(1-$B25)+P25)</f>
        <v/>
      </c>
      <c r="R25" s="124">
        <f>(Q25*$R$4*(1-$B25)+Q25)</f>
        <v/>
      </c>
      <c r="S25" s="124">
        <f>(R25*$S$4*(1-$B25)+R25)</f>
        <v/>
      </c>
      <c r="T25" s="124">
        <f>(S25*$T$4*(1-$B25)+S25)+97695</f>
        <v/>
      </c>
      <c r="U25" s="124">
        <f>(T25*$U$4*(1-$B25)+T25)</f>
        <v/>
      </c>
      <c r="V25" s="124">
        <f>(U25*$V$4*(1-$B25)+U25)</f>
        <v/>
      </c>
      <c r="W25" s="124">
        <f>(V25*$W$4*(1-$B25)+V25)</f>
        <v/>
      </c>
      <c r="X25" s="124">
        <f>(W25*$X$4*(1-$B25)+W25)</f>
        <v/>
      </c>
      <c r="Y25" s="124">
        <f>(X25*$Y$4*(1-$B25)+X25)-50000</f>
        <v/>
      </c>
      <c r="Z25" s="124">
        <f>(Y25*$Z$4*(1-$B25)+Y25)</f>
        <v/>
      </c>
      <c r="AA25" s="124">
        <f>(Z25*$AA$4*(1-$B25)+Z25)-47908</f>
        <v/>
      </c>
      <c r="AB25" s="124">
        <f>(AA25*$AB$4*(1-$B25)+AA25)</f>
        <v/>
      </c>
      <c r="AC25" s="124">
        <f>(AB25*$AC$4*(1-$B25)+AB25)</f>
        <v/>
      </c>
      <c r="AD25" s="124">
        <f>(AC25*$AD$4*(1-$B25)+AC25)</f>
        <v/>
      </c>
      <c r="AE25" s="124">
        <f>(AD25*$AE$4*(1-$B25)+AD25)</f>
        <v/>
      </c>
      <c r="AF25" s="124">
        <f>(AE25*$AF$4*(1-$B25)+AE25)</f>
        <v/>
      </c>
      <c r="AG25" s="124">
        <f>(AF25*$AG$4*(1-$B25)+AF25)</f>
        <v/>
      </c>
      <c r="AH25" s="124">
        <f>(AG25*AH$4*(1-$B25)+AG25)+SUMIFS(Investments!$D:$D,Investments!$B:$B,$A25,Investments!$C:$C,"USDT",Investments!$A:$A,AH$8)</f>
        <v/>
      </c>
      <c r="AI25" s="124">
        <f>(AH25*AI$4*(1-$B25)+AH25)+SUMIFS(Investments!$D:$D,Investments!$B:$B,$A25,Investments!$C:$C,"USDT",Investments!$A:$A,AI$8)</f>
        <v/>
      </c>
      <c r="AJ25" s="124">
        <f>(AI25*AJ$4*(1-$B25)+AI25)+SUMIFS(Investments!$D:$D,Investments!$B:$B,$A25,Investments!$C:$C,"USDT",Investments!$A:$A,AJ$8)</f>
        <v/>
      </c>
      <c r="AK25" s="124">
        <f>(AJ25*AK$4*(1-$B25)+AJ25)+SUMIFS(Investments!$D:$D,Investments!$B:$B,$A25,Investments!$C:$C,"USDT",Investments!$A:$A,AK$8)</f>
        <v/>
      </c>
      <c r="AL25" s="124">
        <f>(AK25*AL$4*(1-$B25)+AK25)+SUMIFS(Investments!$D:$D,Investments!$B:$B,$A25,Investments!$C:$C,"USDT",Investments!$A:$A,AL$8)</f>
        <v/>
      </c>
      <c r="AM25" s="124">
        <f>(AL25*AM$4*(1-$B25)+AL25)+SUMIFS(Investments!$D:$D,Investments!$B:$B,$A25,Investments!$C:$C,"USDT",Investments!$A:$A,AM$8)</f>
        <v/>
      </c>
      <c r="AN25" s="124">
        <f>(AM25*AN$4*(1-$B25)+AM25)+SUMIFS(Investments!$D:$D,Investments!$B:$B,$A25,Investments!$C:$C,"USDT",Investments!$A:$A,AN$8)</f>
        <v/>
      </c>
      <c r="AO25" s="124">
        <f>(AN25*AO$4*(1-$B25)+AN25)+SUMIFS(Investments!$D:$D,Investments!$B:$B,$A25,Investments!$C:$C,"USDT",Investments!$A:$A,AO$8)</f>
        <v/>
      </c>
      <c r="AP25" s="124">
        <f>(AO25*AP$4*(1-$B25)+AO25)+SUMIFS(Investments!$D:$D,Investments!$B:$B,$A25,Investments!$C:$C,"USDT",Investments!$A:$A,AP$8)</f>
        <v/>
      </c>
      <c r="AQ25" s="124">
        <f>(AP25*AQ$4*(1-$B25)+AP25)+SUMIFS(Investments!$D:$D,Investments!$B:$B,$A25,Investments!$C:$C,"USDT",Investments!$A:$A,AQ$8)</f>
        <v/>
      </c>
      <c r="AR25" s="124">
        <f>(AQ25*AR$4*(1-$B25)+AQ25)+SUMIFS(Investments!$D:$D,Investments!$B:$B,$A25,Investments!$C:$C,"USDT",Investments!$A:$A,AR$8)</f>
        <v/>
      </c>
      <c r="AS25" s="124">
        <f>(AR25*AS$4*(1-$B25)+AR25)+SUMIFS(Investments!$D:$D,Investments!$B:$B,$A25,Investments!$C:$C,"USDT",Investments!$A:$A,AS$8)</f>
        <v/>
      </c>
      <c r="AT25" s="124">
        <f>(AS25*AT$4*(1-$B25)+AS25)+SUMIFS(Investments!$D:$D,Investments!$B:$B,$A25,Investments!$C:$C,"USDT",Investments!$A:$A,AT$8)</f>
        <v/>
      </c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</row>
    <row r="26" ht="15.75" customHeight="1" s="252">
      <c r="A26" s="123" t="inlineStr">
        <is>
          <t>Monica Levy Chicheportiche</t>
        </is>
      </c>
      <c r="B26" s="113" t="n">
        <v>0.2</v>
      </c>
      <c r="C26" s="126" t="n"/>
      <c r="D26" s="124" t="n">
        <v>0</v>
      </c>
      <c r="E26" s="124">
        <f>D26*$E$4*(1-$B26)+D26</f>
        <v/>
      </c>
      <c r="F26" s="124">
        <f>E26*$F$4*(1-$B26)+E26</f>
        <v/>
      </c>
      <c r="G26" s="124">
        <f>F26*$G$4*(1-$B26)+F26</f>
        <v/>
      </c>
      <c r="H26" s="124">
        <f>G26*$H$4*(1-$B26)+G26</f>
        <v/>
      </c>
      <c r="I26" s="124">
        <f>H26*$I$4*(1-$B26)+H26</f>
        <v/>
      </c>
      <c r="J26" s="124">
        <f>(I26*$J$4*(1-$B26)+I26)</f>
        <v/>
      </c>
      <c r="K26" s="124">
        <f>(J26*$K$4*(1-$B26)+J26)</f>
        <v/>
      </c>
      <c r="L26" s="124">
        <f>(K26*$L$4*(1-$B26)+K26)</f>
        <v/>
      </c>
      <c r="M26" s="124">
        <f>(L26*$M$4*(1-$B26)+L26)</f>
        <v/>
      </c>
      <c r="N26" s="124">
        <f>(M26*$N$4*(1-$B26)+M26)</f>
        <v/>
      </c>
      <c r="O26" s="124">
        <f>(N26*$O$4*(1-$B26)+N26)</f>
        <v/>
      </c>
      <c r="P26" s="124">
        <f>(O26*$P$4*(1-$B26)+O26)</f>
        <v/>
      </c>
      <c r="Q26" s="124">
        <f>(P26*$Q$4*(1-$B26)+P26)</f>
        <v/>
      </c>
      <c r="R26" s="124">
        <f>(Q26*$R$4*(1-$B26)+Q26)</f>
        <v/>
      </c>
      <c r="S26" s="124">
        <f>(R26*$S$4*(1-$B26)+R26)</f>
        <v/>
      </c>
      <c r="T26" s="124">
        <f>(S26*$T$4*(1-$B26)+S26)</f>
        <v/>
      </c>
      <c r="U26" s="124">
        <f>(T26*$U$4*(1-$B26)+T26)</f>
        <v/>
      </c>
      <c r="V26" s="124">
        <f>(U26*$V$4*(1-$B26)+U26)</f>
        <v/>
      </c>
      <c r="W26" s="124">
        <f>(V26*$W$4*(1-$B26)+V26)</f>
        <v/>
      </c>
      <c r="X26" s="124">
        <f>(W26*$X$4*(1-$B26)+W26)+840168.03</f>
        <v/>
      </c>
      <c r="Y26" s="124">
        <f>(X26*$Y$4*(1-$B26)+X26)</f>
        <v/>
      </c>
      <c r="Z26" s="124">
        <f>(Y26*$Z$4*(1-$B26)+Y26)</f>
        <v/>
      </c>
      <c r="AA26" s="124">
        <f>(Z26*$AA$4*(1-$B26)+Z26)</f>
        <v/>
      </c>
      <c r="AB26" s="124">
        <f>(AA26*$AB$4*(1-$B26)+AA26)</f>
        <v/>
      </c>
      <c r="AC26" s="124">
        <f>(AB26*$AC$4*(1-$B26)+AB26)</f>
        <v/>
      </c>
      <c r="AD26" s="124">
        <f>(AC26*$AD$4*(1-$B26)+AC26)</f>
        <v/>
      </c>
      <c r="AE26" s="124">
        <f>(AD26*$AE$4*(1-$B26)+AD26)</f>
        <v/>
      </c>
      <c r="AF26" s="124">
        <f>(AE26*$AF$4*(1-$B26)+AE26)</f>
        <v/>
      </c>
      <c r="AG26" s="124">
        <f>(AF26*$AG$4*(1-$B26)+AF26)</f>
        <v/>
      </c>
      <c r="AH26" s="124">
        <f>(AG26*AH$4*(1-$B26)+AG26)+SUMIFS(Investments!$D:$D,Investments!$B:$B,$A26,Investments!$C:$C,"USDT",Investments!$A:$A,AH$8)</f>
        <v/>
      </c>
      <c r="AI26" s="124">
        <f>(AH26*AI$4*(1-$B26)+AH26)+SUMIFS(Investments!$D:$D,Investments!$B:$B,$A26,Investments!$C:$C,"USDT",Investments!$A:$A,AI$8)</f>
        <v/>
      </c>
      <c r="AJ26" s="124">
        <f>(AI26*AJ$4*(1-$B26)+AI26)+SUMIFS(Investments!$D:$D,Investments!$B:$B,$A26,Investments!$C:$C,"USDT",Investments!$A:$A,AJ$8)</f>
        <v/>
      </c>
      <c r="AK26" s="124">
        <f>(AJ26*AK$4*(1-$B26)+AJ26)+SUMIFS(Investments!$D:$D,Investments!$B:$B,$A26,Investments!$C:$C,"USDT",Investments!$A:$A,AK$8)</f>
        <v/>
      </c>
      <c r="AL26" s="124">
        <f>(AK26*AL$4*(1-$B26)+AK26)+SUMIFS(Investments!$D:$D,Investments!$B:$B,$A26,Investments!$C:$C,"USDT",Investments!$A:$A,AL$8)</f>
        <v/>
      </c>
      <c r="AM26" s="124">
        <f>(AL26*AM$4*(1-$B26)+AL26)+SUMIFS(Investments!$D:$D,Investments!$B:$B,$A26,Investments!$C:$C,"USDT",Investments!$A:$A,AM$8)</f>
        <v/>
      </c>
      <c r="AN26" s="124">
        <f>(AM26*AN$4*(1-$B26)+AM26)+SUMIFS(Investments!$D:$D,Investments!$B:$B,$A26,Investments!$C:$C,"USDT",Investments!$A:$A,AN$8)</f>
        <v/>
      </c>
      <c r="AO26" s="124">
        <f>(AN26*AO$4*(1-$B26)+AN26)+SUMIFS(Investments!$D:$D,Investments!$B:$B,$A26,Investments!$C:$C,"USDT",Investments!$A:$A,AO$8)</f>
        <v/>
      </c>
      <c r="AP26" s="124">
        <f>(AO26*AP$4*(1-$B26)+AO26)+SUMIFS(Investments!$D:$D,Investments!$B:$B,$A26,Investments!$C:$C,"USDT",Investments!$A:$A,AP$8)</f>
        <v/>
      </c>
      <c r="AQ26" s="124">
        <f>(AP26*AQ$4*(1-$B26)+AP26)+SUMIFS(Investments!$D:$D,Investments!$B:$B,$A26,Investments!$C:$C,"USDT",Investments!$A:$A,AQ$8)</f>
        <v/>
      </c>
      <c r="AR26" s="124">
        <f>(AQ26*AR$4*(1-$B26)+AQ26)+SUMIFS(Investments!$D:$D,Investments!$B:$B,$A26,Investments!$C:$C,"USDT",Investments!$A:$A,AR$8)</f>
        <v/>
      </c>
      <c r="AS26" s="124">
        <f>(AR26*AS$4*(1-$B26)+AR26)+SUMIFS(Investments!$D:$D,Investments!$B:$B,$A26,Investments!$C:$C,"USDT",Investments!$A:$A,AS$8)</f>
        <v/>
      </c>
      <c r="AT26" s="124">
        <f>(AS26*AT$4*(1-$B26)+AS26)+SUMIFS(Investments!$D:$D,Investments!$B:$B,$A26,Investments!$C:$C,"USDT",Investments!$A:$A,AT$8)</f>
        <v/>
      </c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</row>
    <row r="27" ht="15.75" customHeight="1" s="252">
      <c r="A27" s="123" t="inlineStr">
        <is>
          <t>Nath &amp; Thomas</t>
        </is>
      </c>
      <c r="B27" s="113" t="n">
        <v>0</v>
      </c>
      <c r="C27" s="126" t="n"/>
      <c r="D27" s="124" t="n">
        <v>0</v>
      </c>
      <c r="E27" s="124">
        <f>D27*$E$4*(1-$B27)+D27</f>
        <v/>
      </c>
      <c r="F27" s="124">
        <f>E27*$F$4*(1-$B27)+E27</f>
        <v/>
      </c>
      <c r="G27" s="124">
        <f>F27*$G$4*(1-$B27)+F27</f>
        <v/>
      </c>
      <c r="H27" s="124">
        <f>G27*$H$4*(1-$B27)+G27</f>
        <v/>
      </c>
      <c r="I27" s="124">
        <f>H27*$I$4*(1-$B27)+H27</f>
        <v/>
      </c>
      <c r="J27" s="124">
        <f>(I27*$J$4*(1-$B27)+I27)</f>
        <v/>
      </c>
      <c r="K27" s="124">
        <f>(J27*$K$4*(1-$B27)+J27)</f>
        <v/>
      </c>
      <c r="L27" s="124">
        <f>(K27*$L$4*(1-$B27)+K27)</f>
        <v/>
      </c>
      <c r="M27" s="124">
        <f>(L27*$M$4*(1-$B27)+L27)</f>
        <v/>
      </c>
      <c r="N27" s="124">
        <f>(M27*$N$4*(1-$B27)+M27)</f>
        <v/>
      </c>
      <c r="O27" s="124">
        <f>(N27*$O$4*(1-$B27)+N27)</f>
        <v/>
      </c>
      <c r="P27" s="124">
        <f>(O27*$P$4*(1-$B27)+O27)</f>
        <v/>
      </c>
      <c r="Q27" s="124">
        <f>(P27*$Q$4*(1-$B27)+P27)</f>
        <v/>
      </c>
      <c r="R27" s="124">
        <f>(Q27*$R$4*(1-$B27)+Q27)</f>
        <v/>
      </c>
      <c r="S27" s="124">
        <f>(R27*$S$4*(1-$B27)+R27)</f>
        <v/>
      </c>
      <c r="T27" s="124">
        <f>(S27*$T$4*(1-$B27)+S27)</f>
        <v/>
      </c>
      <c r="U27" s="124">
        <f>(T27*$U$4*(1-$B27)+T27)</f>
        <v/>
      </c>
      <c r="V27" s="124">
        <f>(U27*$V$4*(1-$B27)+U27)</f>
        <v/>
      </c>
      <c r="W27" s="124">
        <f>(V27*$W$4*(1-$B27)+V27)</f>
        <v/>
      </c>
      <c r="X27" s="124">
        <f>(W27*$X$4*(1-$B27)+W27)</f>
        <v/>
      </c>
      <c r="Y27" s="124">
        <f>(X27*$Y$4*(1-$B27)+X27)</f>
        <v/>
      </c>
      <c r="Z27" s="124">
        <f>(Y27*$Z$4*(1-$B27)+Y27)+299915.77</f>
        <v/>
      </c>
      <c r="AA27" s="124">
        <f>(Z27*$AA$4*(1-$B27)+Z27)</f>
        <v/>
      </c>
      <c r="AB27" s="124">
        <f>(AA27*$AB$4*(1-$B27)+AA27)</f>
        <v/>
      </c>
      <c r="AC27" s="124">
        <f>(AB27*$AC$4*(1-$B27)+AB27)-87937</f>
        <v/>
      </c>
      <c r="AD27" s="124">
        <f>(AC27*$AD$4*(1-$B27)+AC27)</f>
        <v/>
      </c>
      <c r="AE27" s="124">
        <f>(AD27*$AE$4*(1-$B27)+AD27)</f>
        <v/>
      </c>
      <c r="AF27" s="124">
        <f>(AE27*$AF$4*(1-$B27)+AE27)-(AE27*$AF$4*(1-$B27)+AE27)</f>
        <v/>
      </c>
      <c r="AG27" s="124">
        <f>(AF27*$AG$4*(1-$B27)+AF27)</f>
        <v/>
      </c>
      <c r="AH27" s="124">
        <f>(AG27*AH$4*(1-$B27)+AG27)+SUMIFS(Investments!$D:$D,Investments!$B:$B,$A27,Investments!$C:$C,"USDT",Investments!$A:$A,AH$8)</f>
        <v/>
      </c>
      <c r="AI27" s="124">
        <f>(AH27*AI$4*(1-$B27)+AH27)+SUMIFS(Investments!$D:$D,Investments!$B:$B,$A27,Investments!$C:$C,"USDT",Investments!$A:$A,AI$8)</f>
        <v/>
      </c>
      <c r="AJ27" s="124">
        <f>(AI27*AJ$4*(1-$B27)+AI27)+SUMIFS(Investments!$D:$D,Investments!$B:$B,$A27,Investments!$C:$C,"USDT",Investments!$A:$A,AJ$8)</f>
        <v/>
      </c>
      <c r="AK27" s="124">
        <f>(AJ27*AK$4*(1-$B27)+AJ27)+SUMIFS(Investments!$D:$D,Investments!$B:$B,$A27,Investments!$C:$C,"USDT",Investments!$A:$A,AK$8)</f>
        <v/>
      </c>
      <c r="AL27" s="124">
        <f>(AK27*AL$4*(1-$B27)+AK27)+SUMIFS(Investments!$D:$D,Investments!$B:$B,$A27,Investments!$C:$C,"USDT",Investments!$A:$A,AL$8)</f>
        <v/>
      </c>
      <c r="AM27" s="124">
        <f>(AL27*AM$4*(1-$B27)+AL27)+SUMIFS(Investments!$D:$D,Investments!$B:$B,$A27,Investments!$C:$C,"USDT",Investments!$A:$A,AM$8)</f>
        <v/>
      </c>
      <c r="AN27" s="124">
        <f>(AM27*AN$4*(1-$B27)+AM27)+SUMIFS(Investments!$D:$D,Investments!$B:$B,$A27,Investments!$C:$C,"USDT",Investments!$A:$A,AN$8)</f>
        <v/>
      </c>
      <c r="AO27" s="124">
        <f>(AN27*AO$4*(1-$B27)+AN27)+SUMIFS(Investments!$D:$D,Investments!$B:$B,$A27,Investments!$C:$C,"USDT",Investments!$A:$A,AO$8)</f>
        <v/>
      </c>
      <c r="AP27" s="124">
        <f>(AO27*AP$4*(1-$B27)+AO27)+SUMIFS(Investments!$D:$D,Investments!$B:$B,$A27,Investments!$C:$C,"USDT",Investments!$A:$A,AP$8)</f>
        <v/>
      </c>
      <c r="AQ27" s="124">
        <f>(AP27*AQ$4*(1-$B27)+AP27)+SUMIFS(Investments!$D:$D,Investments!$B:$B,$A27,Investments!$C:$C,"USDT",Investments!$A:$A,AQ$8)</f>
        <v/>
      </c>
      <c r="AR27" s="124">
        <f>(AQ27*AR$4*(1-$B27)+AQ27)+SUMIFS(Investments!$D:$D,Investments!$B:$B,$A27,Investments!$C:$C,"USDT",Investments!$A:$A,AR$8)</f>
        <v/>
      </c>
      <c r="AS27" s="124">
        <f>(AR27*AS$4*(1-$B27)+AR27)+SUMIFS(Investments!$D:$D,Investments!$B:$B,$A27,Investments!$C:$C,"USDT",Investments!$A:$A,AS$8)</f>
        <v/>
      </c>
      <c r="AT27" s="124">
        <f>(AS27*AT$4*(1-$B27)+AS27)+SUMIFS(Investments!$D:$D,Investments!$B:$B,$A27,Investments!$C:$C,"USDT",Investments!$A:$A,AT$8)</f>
        <v/>
      </c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</row>
    <row r="28" ht="15.75" customHeight="1" s="252">
      <c r="A28" s="123" t="inlineStr">
        <is>
          <t>Sam Johnson</t>
        </is>
      </c>
      <c r="B28" s="113" t="n">
        <v>0.16</v>
      </c>
      <c r="C28" s="113" t="n">
        <v>0.04</v>
      </c>
      <c r="D28" s="124" t="n">
        <v>0</v>
      </c>
      <c r="E28" s="124">
        <f>D28*$E$4*(1-$B28)+D28</f>
        <v/>
      </c>
      <c r="F28" s="124">
        <f>E28*$F$4*(1-$B28)+E28</f>
        <v/>
      </c>
      <c r="G28" s="124">
        <f>F28*$G$4*(1-$B28)+F28</f>
        <v/>
      </c>
      <c r="H28" s="124">
        <f>G28*$H$4*(1-$B28)+G28</f>
        <v/>
      </c>
      <c r="I28" s="124">
        <f>H28*$I$4*(1-$B28)+H28</f>
        <v/>
      </c>
      <c r="J28" s="124">
        <f>(I28*$J$4*(1-$B28)+I28)</f>
        <v/>
      </c>
      <c r="K28" s="124">
        <f>(J28*$K$4*(1-$B28)+J28)</f>
        <v/>
      </c>
      <c r="L28" s="124">
        <f>(K28*$L$4*(1-$B28)+K28)</f>
        <v/>
      </c>
      <c r="M28" s="124">
        <f>(L28*$M$4*(1-$B28)+L28)</f>
        <v/>
      </c>
      <c r="N28" s="124">
        <f>(M28*$N$4*(1-$B28)+M28)</f>
        <v/>
      </c>
      <c r="O28" s="124">
        <f>(N28*$O$4*(1-$B28)+N28)</f>
        <v/>
      </c>
      <c r="P28" s="124">
        <f>(O28*$P$4*(1-$B28)+O28)</f>
        <v/>
      </c>
      <c r="Q28" s="124">
        <f>(P28*$Q$4*(1-$B28)+P28)</f>
        <v/>
      </c>
      <c r="R28" s="124">
        <f>(Q28*$R$4*(1-$B28)+Q28)</f>
        <v/>
      </c>
      <c r="S28" s="124">
        <f>(R28*$S$4*(1-$B28)+R28)</f>
        <v/>
      </c>
      <c r="T28" s="124">
        <f>(S28*$T$4*(1-$B28)+S28)</f>
        <v/>
      </c>
      <c r="U28" s="124">
        <f>(T28*$U$4*(1-$B28)+T28)</f>
        <v/>
      </c>
      <c r="V28" s="124">
        <f>(U28*$V$4*(1-$B28)+U28)</f>
        <v/>
      </c>
      <c r="W28" s="124">
        <f>(V28*$W$4*(1-$B28)+V28)</f>
        <v/>
      </c>
      <c r="X28" s="124">
        <f>(W28*$X$4*(1-$B28)+W28)</f>
        <v/>
      </c>
      <c r="Y28" s="124">
        <f>(X28*$Y$4*(1-$B28)+X28)</f>
        <v/>
      </c>
      <c r="Z28" s="124">
        <f>(Y28*$Z$4*(1-$B28)+Y28)</f>
        <v/>
      </c>
      <c r="AA28" s="124">
        <f>(Z28*$AA$4*(1-$B28-$C28)+Z28)</f>
        <v/>
      </c>
      <c r="AB28" s="124">
        <f>(AA28*$AB$4*(1-$B28-$C28)+AA28)</f>
        <v/>
      </c>
      <c r="AC28" s="124">
        <f>(AB28*$AC$4*(1-$B28-$C28)+AB28)</f>
        <v/>
      </c>
      <c r="AD28" s="124">
        <f>(AC28*$AD$4*(1-$B28-$C28)+AC28)</f>
        <v/>
      </c>
      <c r="AE28" s="124">
        <f>(AD28*$AE$4*(1-$B28-$C28)+AD28)</f>
        <v/>
      </c>
      <c r="AF28" s="124">
        <f>(AE28*$AF$4*(1-$B28-$C28)+AE28)</f>
        <v/>
      </c>
      <c r="AG28" s="124">
        <f>(AF28*$AG$4*(1-$B28-$C28)+AF28)</f>
        <v/>
      </c>
      <c r="AH28" s="124">
        <f>(AG28*AH$4*(1-$B28-$C28)+AG28)+SUMIFS(Investments!$D:$D,Investments!$B:$B,$A28,Investments!$C:$C,"USDT",Investments!$A:$A,AH$8)</f>
        <v/>
      </c>
      <c r="AI28" s="124">
        <f>(AH28*AI$4*(1-$B28-$C28)+AH28)+SUMIFS(Investments!$D:$D,Investments!$B:$B,$A28,Investments!$C:$C,"USDT",Investments!$A:$A,AI$8)</f>
        <v/>
      </c>
      <c r="AJ28" s="124">
        <f>(AI28*AJ$4*(1-$B28-$C28)+AI28)+SUMIFS(Investments!$D:$D,Investments!$B:$B,$A28,Investments!$C:$C,"USDT",Investments!$A:$A,AJ$8)</f>
        <v/>
      </c>
      <c r="AK28" s="124">
        <f>(AJ28*AK$4*(1-$B28-$C28)+AJ28)+SUMIFS(Investments!$D:$D,Investments!$B:$B,$A28,Investments!$C:$C,"USDT",Investments!$A:$A,AK$8)</f>
        <v/>
      </c>
      <c r="AL28" s="124">
        <f>(AK28*AL$4*(1-$B28-$C28)+AK28)+SUMIFS(Investments!$D:$D,Investments!$B:$B,$A28,Investments!$C:$C,"USDT",Investments!$A:$A,AL$8)</f>
        <v/>
      </c>
      <c r="AM28" s="124">
        <f>(AL28*AM$4*(1-$B28-$C28)+AL28)+SUMIFS(Investments!$D:$D,Investments!$B:$B,$A28,Investments!$C:$C,"USDT",Investments!$A:$A,AM$8)</f>
        <v/>
      </c>
      <c r="AN28" s="124">
        <f>(AM28*AN$4*(1-$B28-$C28)+AM28)+SUMIFS(Investments!$D:$D,Investments!$B:$B,$A28,Investments!$C:$C,"USDT",Investments!$A:$A,AN$8)</f>
        <v/>
      </c>
      <c r="AO28" s="124">
        <f>(AN28*AO$4*(1-$B28-$C28)+AN28)+SUMIFS(Investments!$D:$D,Investments!$B:$B,$A28,Investments!$C:$C,"USDT",Investments!$A:$A,AO$8)</f>
        <v/>
      </c>
      <c r="AP28" s="124">
        <f>(AO28*AP$4*(1-$B28-$C28)+AO28)+SUMIFS(Investments!$D:$D,Investments!$B:$B,$A28,Investments!$C:$C,"USDT",Investments!$A:$A,AP$8)</f>
        <v/>
      </c>
      <c r="AQ28" s="124">
        <f>(AP28*AQ$4*(1-$B28-$C28)+AP28)+SUMIFS(Investments!$D:$D,Investments!$B:$B,$A28,Investments!$C:$C,"USDT",Investments!$A:$A,AQ$8)</f>
        <v/>
      </c>
      <c r="AR28" s="124">
        <f>(AQ28*AR$4*(1-$B28-$C28)+AQ28)+SUMIFS(Investments!$D:$D,Investments!$B:$B,$A28,Investments!$C:$C,"USDT",Investments!$A:$A,AR$8)</f>
        <v/>
      </c>
      <c r="AS28" s="124">
        <f>(AR28*AS$4*(1-$B28-$C28)+AR28)+SUMIFS(Investments!$D:$D,Investments!$B:$B,$A28,Investments!$C:$C,"USDT",Investments!$A:$A,AS$8)</f>
        <v/>
      </c>
      <c r="AT28" s="124">
        <f>(AS28*AT$4*(1-$B28-$C28)+AS28)-(AS28*AT$4*(1-$B28-$C28)+AS28)</f>
        <v/>
      </c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</row>
    <row r="29" ht="15.75" customHeight="1" s="252">
      <c r="A29" s="123" t="inlineStr">
        <is>
          <t>Ryan Van Der Wall</t>
        </is>
      </c>
      <c r="B29" s="113" t="n">
        <v>0.2</v>
      </c>
      <c r="C29" s="113" t="n"/>
      <c r="D29" s="124" t="n">
        <v>0</v>
      </c>
      <c r="E29" s="124">
        <f>D29*$E$4*(1-$B29)+D29</f>
        <v/>
      </c>
      <c r="F29" s="124">
        <f>E29*$F$4*(1-$B29)+E29</f>
        <v/>
      </c>
      <c r="G29" s="124">
        <f>F29*$G$4*(1-$B29)+F29</f>
        <v/>
      </c>
      <c r="H29" s="124">
        <f>G29*$H$4*(1-$B29)+G29</f>
        <v/>
      </c>
      <c r="I29" s="124">
        <f>H29*$P$4*(1-$B29)+H29</f>
        <v/>
      </c>
      <c r="J29" s="124">
        <f>(I29*$J$4*(1-$B29)+I29)+(I28*$J$4*$C28)</f>
        <v/>
      </c>
      <c r="K29" s="124">
        <f>(J29*$K$4*(1-$B29)+J29)+(J28*$K$4*$C28)</f>
        <v/>
      </c>
      <c r="L29" s="124">
        <f>(K29*$L$4*(1-$B29)+K29)+(K28*$L$4*$C28)</f>
        <v/>
      </c>
      <c r="M29" s="124">
        <f>(L29*$M$4*(1-$B29)+L29)+(L28*$M$4*$C28)</f>
        <v/>
      </c>
      <c r="N29" s="124">
        <f>(M29*$N$4*(1-$B29)+M29)+(M28*$N$4*$C28)</f>
        <v/>
      </c>
      <c r="O29" s="124">
        <f>(N29*$O$4*(1-$B29)+N29)+(N28*$O$4*$C28)</f>
        <v/>
      </c>
      <c r="P29" s="124">
        <f>(O29*$P$4*(1-$B29)+O29)+(O28*$P$4*$C28)</f>
        <v/>
      </c>
      <c r="Q29" s="124">
        <f>(P29*$Q$4*(1-$B29)+P29)+(P28*$Q$4*$C28)</f>
        <v/>
      </c>
      <c r="R29" s="124">
        <f>(Q29*$R$4*(1-$B29)+Q29)+(Q28*$R$4*$C28)</f>
        <v/>
      </c>
      <c r="S29" s="124">
        <f>(R29*$S$4*(1-$B29)+R29)+(R28*$S$4*$C28)</f>
        <v/>
      </c>
      <c r="T29" s="124">
        <f>(S29*$T$4*(1-$B29)+S29)+(S28*$T$4*$C28)</f>
        <v/>
      </c>
      <c r="U29" s="124">
        <f>(T29*$U$4*(1-$B29)+T29)+(T28*$U$4*$C28)</f>
        <v/>
      </c>
      <c r="V29" s="124">
        <f>(U29*$V$4*(1-$B29)+U29)+(U28*$V$4*$C28)</f>
        <v/>
      </c>
      <c r="W29" s="124">
        <f>(V29*$W$4*(1-$B29)+V29)+(V28*$W$4*$C28)</f>
        <v/>
      </c>
      <c r="X29" s="124">
        <f>(W29*$X$4*(1-$B29)+W29)+(W28*$X$4*$C28)</f>
        <v/>
      </c>
      <c r="Y29" s="124">
        <f>(X29*$Y$4*(1-$B29)+X29)+(X28*$Y$4*$C28)</f>
        <v/>
      </c>
      <c r="Z29" s="124">
        <f>(Y29*$Z$4*(1-$B29)+Y29)+(Y28*$Z$4*$C28)</f>
        <v/>
      </c>
      <c r="AA29" s="124">
        <f>(Z29*$AA$4*(1-$B29)+Z29)+(Z28*$AA$4*$C28)</f>
        <v/>
      </c>
      <c r="AB29" s="124">
        <f>(AA29*$AB$4*(1-$B29)+AA29)+(AA28*$AB$4*$C28)</f>
        <v/>
      </c>
      <c r="AC29" s="124">
        <f>(AB29*$AC$4*(1-$B29)+AB29)+(AB28*$AC$4*$C28)</f>
        <v/>
      </c>
      <c r="AD29" s="124">
        <f>(AC29*$AD$4*(1-$B29)+AC29)+(AC28*$AD$4*$C28)</f>
        <v/>
      </c>
      <c r="AE29" s="124">
        <f>(AD29*$AE$4*(1-$B29)+AD29)+(AD28*$AE$4*$C28)</f>
        <v/>
      </c>
      <c r="AF29" s="124">
        <f>(AE29*$AF$4*(1-$B29)+AE29)+(AE28*$AF$4*$C28)</f>
        <v/>
      </c>
      <c r="AG29" s="124">
        <f>(AF29*$AG$4*(1-$B29)+AF29)+(AF28*$AG$4*$C28)</f>
        <v/>
      </c>
      <c r="AH29" s="124">
        <f>(AG29*AH$4*(1-$B29)+AG29)+(AG28*AH$4*$C28)+SUMIFS(Investments!$D:$D,Investments!$B:$B,$A29,Investments!$C:$C,"USDT",Investments!$A:$A,AH$8)</f>
        <v/>
      </c>
      <c r="AI29" s="124">
        <f>(AH29*AI$4*(1-$B29)+AH29)+(AH28*AI$4*$C28)+SUMIFS(Investments!$D:$D,Investments!$B:$B,$A29,Investments!$C:$C,"USDT",Investments!$A:$A,AI$8)</f>
        <v/>
      </c>
      <c r="AJ29" s="124">
        <f>(AI29*AJ$4*(1-$B29)+AI29)+(AI28*AJ$4*$C28)+SUMIFS(Investments!$D:$D,Investments!$B:$B,$A29,Investments!$C:$C,"USDT",Investments!$A:$A,AJ$8)</f>
        <v/>
      </c>
      <c r="AK29" s="124">
        <f>(AJ29*AK$4*(1-$B29)+AJ29)+(AJ28*AK$4*$C28)+SUMIFS(Investments!$D:$D,Investments!$B:$B,$A29,Investments!$C:$C,"USDT",Investments!$A:$A,AK$8)</f>
        <v/>
      </c>
      <c r="AL29" s="124">
        <f>(AK29*AL$4*(1-$B29)+AK29)+(AK28*AL$4*$C28)+SUMIFS(Investments!$D:$D,Investments!$B:$B,$A29,Investments!$C:$C,"USDT",Investments!$A:$A,AL$8)</f>
        <v/>
      </c>
      <c r="AM29" s="124">
        <f>(AL29*AM$4*(1-$B29)+AL29)+(AL28*AM$4*$C28)+SUMIFS(Investments!$D:$D,Investments!$B:$B,$A29,Investments!$C:$C,"USDT",Investments!$A:$A,AM$8)</f>
        <v/>
      </c>
      <c r="AN29" s="124">
        <f>(AM29*AN$4*(1-$B29)+AM29)+(AM28*AN$4*$C28)+SUMIFS(Investments!$D:$D,Investments!$B:$B,$A29,Investments!$C:$C,"USDT",Investments!$A:$A,AN$8)</f>
        <v/>
      </c>
      <c r="AO29" s="124">
        <f>(AN29*AO$4*(1-$B29)+AN29)+(AN28*AO$4*$C28)+SUMIFS(Investments!$D:$D,Investments!$B:$B,$A29,Investments!$C:$C,"USDT",Investments!$A:$A,AO$8)</f>
        <v/>
      </c>
      <c r="AP29" s="124">
        <f>(AO29*AP$4*(1-$B29)+AO29)+(AO28*AP$4*$C28)+SUMIFS(Investments!$D:$D,Investments!$B:$B,$A29,Investments!$C:$C,"USDT",Investments!$A:$A,AP$8)</f>
        <v/>
      </c>
      <c r="AQ29" s="124">
        <f>(AP29*AQ$4*(1-$B29)+AP29)+(AP28*AQ$4*$C28)+SUMIFS(Investments!$D:$D,Investments!$B:$B,$A29,Investments!$C:$C,"USDT",Investments!$A:$A,AQ$8)</f>
        <v/>
      </c>
      <c r="AR29" s="124">
        <f>(AQ29*AR$4*(1-$B29)+AQ29)+(AQ28*AR$4*$C28)+SUMIFS(Investments!$D:$D,Investments!$B:$B,$A29,Investments!$C:$C,"USDT",Investments!$A:$A,AR$8)</f>
        <v/>
      </c>
      <c r="AS29" s="124">
        <f>(AR29*AS$4*(1-$B29)+AR29)+(AR28*AS$4*$C28)+SUMIFS(Investments!$D:$D,Investments!$B:$B,$A29,Investments!$C:$C,"USDT",Investments!$A:$A,AS$8)</f>
        <v/>
      </c>
      <c r="AT29" s="124">
        <f>(AS29*AT$4*(1-$B29)+AS29)+(AS28*AT$4*$C28)+SUMIFS(Investments!$D:$D,Investments!$B:$B,$A29,Investments!$C:$C,"USDT",Investments!$A:$A,AT$8)</f>
        <v/>
      </c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</row>
    <row r="30" ht="15.75" customHeight="1" s="252">
      <c r="A30" s="123" t="inlineStr">
        <is>
          <t>Valeria Cruz</t>
        </is>
      </c>
      <c r="B30" s="113" t="n">
        <v>0.2</v>
      </c>
      <c r="C30" s="126" t="n"/>
      <c r="D30" s="124" t="n">
        <v>0</v>
      </c>
      <c r="E30" s="124">
        <f>D30*$E$4*(1-$B30)+D30</f>
        <v/>
      </c>
      <c r="F30" s="124">
        <f>E30*$F$4*(1-$B30)+E30</f>
        <v/>
      </c>
      <c r="G30" s="124">
        <f>F30*$G$4*(1-$B30)+F30</f>
        <v/>
      </c>
      <c r="H30" s="124">
        <f>G30*$H$4*(1-$B30)+G30</f>
        <v/>
      </c>
      <c r="I30" s="124">
        <f>H30*$I$4*(1-$B30)+H30</f>
        <v/>
      </c>
      <c r="J30" s="124">
        <f>(I30*$J$4*(1-$B30)+I30)</f>
        <v/>
      </c>
      <c r="K30" s="124">
        <f>(J30*$K$4*(1-$B30)+J30)</f>
        <v/>
      </c>
      <c r="L30" s="124">
        <f>(K30*$L$4*(1-$B30)+K30)</f>
        <v/>
      </c>
      <c r="M30" s="124">
        <f>(L30*$M$4*(1-$B30)+L30)</f>
        <v/>
      </c>
      <c r="N30" s="124">
        <f>(M30*$N$4*(1-$B30)+M30)</f>
        <v/>
      </c>
      <c r="O30" s="124">
        <f>(N30*$O$4*(1-$B30)+N30)</f>
        <v/>
      </c>
      <c r="P30" s="124">
        <f>(O30*$P$4*(1-$B30)+O30)</f>
        <v/>
      </c>
      <c r="Q30" s="124">
        <f>(P30*$Q$4*(1-$B30)+P30)</f>
        <v/>
      </c>
      <c r="R30" s="124">
        <f>(Q30*$R$4*(1-$B30)+Q30)</f>
        <v/>
      </c>
      <c r="S30" s="124">
        <f>(R30*$S$4*(1-$B30)+R30)</f>
        <v/>
      </c>
      <c r="T30" s="124">
        <f>(S30*$T$4*(1-$B30)+S30)</f>
        <v/>
      </c>
      <c r="U30" s="124">
        <f>(T30*$U$4*(1-$B30)+T30)</f>
        <v/>
      </c>
      <c r="V30" s="124">
        <f>(U30*$V$4*(1-$B30)+U30)</f>
        <v/>
      </c>
      <c r="W30" s="124">
        <f>(V30*$W$4*(1-$B30)+V30)</f>
        <v/>
      </c>
      <c r="X30" s="124">
        <f>(W30*$X$4*(1-$B30)+W30)</f>
        <v/>
      </c>
      <c r="Y30" s="124">
        <f>(X30*$Y$4*(1-$B30)+X30)</f>
        <v/>
      </c>
      <c r="Z30" s="124">
        <f>(Y30*$Z$4*(1-$B30)+Y30)</f>
        <v/>
      </c>
      <c r="AA30" s="124">
        <f>(Z30*$AA$4*(1-$B30)+Z30)</f>
        <v/>
      </c>
      <c r="AB30" s="124">
        <f>(AA30*$AB$4*(1-$B30)+AA30)+50000</f>
        <v/>
      </c>
      <c r="AC30" s="124">
        <f>(AB30*$AC$4*(1-$B30)+AB30)</f>
        <v/>
      </c>
      <c r="AD30" s="124">
        <f>(AC30*$AD$4*(1-$B30)+AC30)</f>
        <v/>
      </c>
      <c r="AE30" s="124">
        <f>(AD30*$AE$4*(1-$B30)+AD30)</f>
        <v/>
      </c>
      <c r="AF30" s="124">
        <f>(AE30*$AF$4*(1-$B30)+AE30)</f>
        <v/>
      </c>
      <c r="AG30" s="124">
        <f>(AF30*$AG$4*(1-$B30)+AF30)</f>
        <v/>
      </c>
      <c r="AH30" s="124">
        <f>(AG30*AH$4*(1-$B30)+AG30)+SUMIFS(Investments!$D:$D,Investments!$B:$B,$A30,Investments!$C:$C,"USDT",Investments!$A:$A,AH$8)</f>
        <v/>
      </c>
      <c r="AI30" s="124">
        <f>(AH30*AI$4*(1-$B30)+AH30)+SUMIFS(Investments!$D:$D,Investments!$B:$B,$A30,Investments!$C:$C,"USDT",Investments!$A:$A,AI$8)</f>
        <v/>
      </c>
      <c r="AJ30" s="124">
        <f>(AI30*AJ$4*(1-$B30)+AI30)+SUMIFS(Investments!$D:$D,Investments!$B:$B,$A30,Investments!$C:$C,"USDT",Investments!$A:$A,AJ$8)</f>
        <v/>
      </c>
      <c r="AK30" s="124">
        <f>(AJ30*AK$4*(1-$B30)+AJ30)+SUMIFS(Investments!$D:$D,Investments!$B:$B,$A30,Investments!$C:$C,"USDT",Investments!$A:$A,AK$8)</f>
        <v/>
      </c>
      <c r="AL30" s="124">
        <f>(AK30*AL$4*(1-$B30)+AK30)+SUMIFS(Investments!$D:$D,Investments!$B:$B,$A30,Investments!$C:$C,"USDT",Investments!$A:$A,AL$8)</f>
        <v/>
      </c>
      <c r="AM30" s="124">
        <f>(AL30*AM$4*(1-$B30)+AL30)+SUMIFS(Investments!$D:$D,Investments!$B:$B,$A30,Investments!$C:$C,"USDT",Investments!$A:$A,AM$8)</f>
        <v/>
      </c>
      <c r="AN30" s="124">
        <f>(AM30*AN$4*(1-$B30)+AM30)+SUMIFS(Investments!$D:$D,Investments!$B:$B,$A30,Investments!$C:$C,"USDT",Investments!$A:$A,AN$8)</f>
        <v/>
      </c>
      <c r="AO30" s="124">
        <f>(AN30*AO$4*(1-$B30)+AN30)+SUMIFS(Investments!$D:$D,Investments!$B:$B,$A30,Investments!$C:$C,"USDT",Investments!$A:$A,AO$8)</f>
        <v/>
      </c>
      <c r="AP30" s="124">
        <f>(AO30*AP$4*(1-$B30)+AO30)+SUMIFS(Investments!$D:$D,Investments!$B:$B,$A30,Investments!$C:$C,"USDT",Investments!$A:$A,AP$8)</f>
        <v/>
      </c>
      <c r="AQ30" s="124">
        <f>(AP30*AQ$4*(1-$B30)+AP30)+SUMIFS(Investments!$D:$D,Investments!$B:$B,$A30,Investments!$C:$C,"USDT",Investments!$A:$A,AQ$8)</f>
        <v/>
      </c>
      <c r="AR30" s="124">
        <f>(AQ30*AR$4*(1-$B30)+AQ30)+SUMIFS(Investments!$D:$D,Investments!$B:$B,$A30,Investments!$C:$C,"USDT",Investments!$A:$A,AR$8)</f>
        <v/>
      </c>
      <c r="AS30" s="124">
        <f>(AR30*AS$4*(1-$B30)+AR30)+SUMIFS(Investments!$D:$D,Investments!$B:$B,$A30,Investments!$C:$C,"USDT",Investments!$A:$A,AS$8)</f>
        <v/>
      </c>
      <c r="AT30" s="124">
        <f>(AS30*AT$4*(1-$B30)+AS30)+SUMIFS(Investments!$D:$D,Investments!$B:$B,$A30,Investments!$C:$C,"USDT",Investments!$A:$A,AT$8)</f>
        <v/>
      </c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</row>
    <row r="31" ht="15.75" customHeight="1" s="252">
      <c r="A31" s="123" t="inlineStr">
        <is>
          <t>Ventures Life Style</t>
        </is>
      </c>
      <c r="B31" s="113" t="n">
        <v>0.16</v>
      </c>
      <c r="C31" s="113" t="n">
        <v>0.04</v>
      </c>
      <c r="D31" s="124" t="n">
        <v>0</v>
      </c>
      <c r="E31" s="124">
        <f>D31*$E$4*(1-$B31)+D31</f>
        <v/>
      </c>
      <c r="F31" s="124">
        <f>E31*$F$4*(1-$B31)+E31</f>
        <v/>
      </c>
      <c r="G31" s="124">
        <f>F31*$G$4*(1-$B31)+F31</f>
        <v/>
      </c>
      <c r="H31" s="124">
        <f>G31*$H$4*(1-$B31)+G31</f>
        <v/>
      </c>
      <c r="I31" s="124">
        <f>H31*$I$4*(1-$B31)+H31</f>
        <v/>
      </c>
      <c r="J31" s="124">
        <f>(I31*$J$4*(1-$B31)+I31)</f>
        <v/>
      </c>
      <c r="K31" s="124">
        <f>(J31*$K$4*(1-$B31)+J31)</f>
        <v/>
      </c>
      <c r="L31" s="124">
        <f>(K31*$L$4*(1-$B31)+K31)</f>
        <v/>
      </c>
      <c r="M31" s="124">
        <f>(L31*$M$4*(1-$B31)+L31)</f>
        <v/>
      </c>
      <c r="N31" s="124">
        <f>(M31*$N$4*(1-$B31)+M31)</f>
        <v/>
      </c>
      <c r="O31" s="124">
        <f>(N31*$O$4*(1-$B31)+N31)</f>
        <v/>
      </c>
      <c r="P31" s="124">
        <f>(O31*$P$4*(1-$B31)+O31)</f>
        <v/>
      </c>
      <c r="Q31" s="124">
        <f>(P31*$Q$4*(1-$B31)+P31)</f>
        <v/>
      </c>
      <c r="R31" s="124">
        <f>(Q31*$R$4*(1-$B31)+Q31)</f>
        <v/>
      </c>
      <c r="S31" s="124">
        <f>(R31*$S$4*(1-$B31)+R31)</f>
        <v/>
      </c>
      <c r="T31" s="124">
        <f>(S31*$T$4*(1-$B31)+S31)</f>
        <v/>
      </c>
      <c r="U31" s="124">
        <f>(T31*$U$4*(1-$B31)+T31)</f>
        <v/>
      </c>
      <c r="V31" s="124">
        <f>(U31*$V$4*(1-$B31)+U31)</f>
        <v/>
      </c>
      <c r="W31" s="124">
        <f>(V31*$W$4*(1-$B31)+V31)</f>
        <v/>
      </c>
      <c r="X31" s="124">
        <f>(W31*$X$4*(1-$B31)+W31)</f>
        <v/>
      </c>
      <c r="Y31" s="124">
        <f>(X31*$Y$4*(1-$B31)+X31)</f>
        <v/>
      </c>
      <c r="Z31" s="124">
        <f>(Y31*$Z$4*(1-$B31)+Y31)</f>
        <v/>
      </c>
      <c r="AA31" s="124">
        <f>(Z31*$AA$4*(1-$B31-$C31)+Z31)</f>
        <v/>
      </c>
      <c r="AB31" s="124">
        <f>(AA31*$AB$4*(1-$B31-$C31)+AA31)</f>
        <v/>
      </c>
      <c r="AC31" s="124">
        <f>(AB31*$AC$4*(1-$B31-$C31)+AB31)</f>
        <v/>
      </c>
      <c r="AD31" s="124">
        <f>(AC31*$AD$4*(1-$B31-$C31)+AC31)+100000</f>
        <v/>
      </c>
      <c r="AE31" s="124">
        <f>(AD31*$AE$4*(1-$B31-$C31)+AD31)</f>
        <v/>
      </c>
      <c r="AF31" s="124">
        <f>(AE31*$AF$4*(1-$B31-$C31)+AE31)</f>
        <v/>
      </c>
      <c r="AG31" s="124">
        <f>(AF31*$AG$4*(1-$B31-$C31)+AF31)</f>
        <v/>
      </c>
      <c r="AH31" s="124">
        <f>(AG31*AH$4*(1-$B31-$C31)+AG31)+SUMIFS(Investments!$D:$D,Investments!$B:$B,$A31,Investments!$C:$C,"USDT",Investments!$A:$A,AH$8)</f>
        <v/>
      </c>
      <c r="AI31" s="124">
        <f>(AH31*AI$4*(1-$B31-$C31)+AH31)+SUMIFS(Investments!$D:$D,Investments!$B:$B,$A31,Investments!$C:$C,"USDT",Investments!$A:$A,AI$8)</f>
        <v/>
      </c>
      <c r="AJ31" s="124">
        <f>(AI31*AJ$4*(1-$B31-$C31)+AI31)+SUMIFS(Investments!$D:$D,Investments!$B:$B,$A31,Investments!$C:$C,"USDT",Investments!$A:$A,AJ$8)</f>
        <v/>
      </c>
      <c r="AK31" s="124">
        <f>(AJ31*AK$4*(1-$B31-$C31)+AJ31)+SUMIFS(Investments!$D:$D,Investments!$B:$B,$A31,Investments!$C:$C,"USDT",Investments!$A:$A,AK$8)</f>
        <v/>
      </c>
      <c r="AL31" s="124">
        <f>(AK31*AL$4*(1-$B31-$C31)+AK31)+SUMIFS(Investments!$D:$D,Investments!$B:$B,$A31,Investments!$C:$C,"USDT",Investments!$A:$A,AL$8)</f>
        <v/>
      </c>
      <c r="AM31" s="124">
        <f>(AL31*AM$4*(1-$B31-$C31)+AL31)+SUMIFS(Investments!$D:$D,Investments!$B:$B,$A31,Investments!$C:$C,"USDT",Investments!$A:$A,AM$8)</f>
        <v/>
      </c>
      <c r="AN31" s="124">
        <f>(AM31*AN$4*(1-$B31-$C31)+AM31)+SUMIFS(Investments!$D:$D,Investments!$B:$B,$A31,Investments!$C:$C,"USDT",Investments!$A:$A,AN$8)</f>
        <v/>
      </c>
      <c r="AO31" s="124">
        <f>(AN31*AO$4*(1-$B31-$C31)+AN31)+SUMIFS(Investments!$D:$D,Investments!$B:$B,$A31,Investments!$C:$C,"USDT",Investments!$A:$A,AO$8)</f>
        <v/>
      </c>
      <c r="AP31" s="124">
        <f>(AO31*AP$4*(1-$B31-$C31)+AO31)+SUMIFS(Investments!$D:$D,Investments!$B:$B,$A31,Investments!$C:$C,"USDT",Investments!$A:$A,AP$8)</f>
        <v/>
      </c>
      <c r="AQ31" s="124">
        <f>(AP31*AQ$4*(1-$B31-$C31)+AP31)+SUMIFS(Investments!$D:$D,Investments!$B:$B,$A31,Investments!$C:$C,"USDT",Investments!$A:$A,AQ$8)</f>
        <v/>
      </c>
      <c r="AR31" s="124">
        <f>(AQ31*AR$4*(1-$B31-$C31)+AQ31)+SUMIFS(Investments!$D:$D,Investments!$B:$B,$A31,Investments!$C:$C,"USDT",Investments!$A:$A,AR$8)</f>
        <v/>
      </c>
      <c r="AS31" s="124">
        <f>(AR31*AS$4*(1-$B31-$C31)+AR31)+SUMIFS(Investments!$D:$D,Investments!$B:$B,$A31,Investments!$C:$C,"USDT",Investments!$A:$A,AS$8)</f>
        <v/>
      </c>
      <c r="AT31" s="124">
        <f>(AS31*AT$4*(1-$B31-$C31)+AS31)+SUMIFS(Investments!$D:$D,Investments!$B:$B,$A31,Investments!$C:$C,"USDT",Investments!$A:$A,AT$8)</f>
        <v/>
      </c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</row>
    <row r="32" ht="15.75" customHeight="1" s="252">
      <c r="A32" s="123" t="inlineStr">
        <is>
          <t>Joel Barbeau</t>
        </is>
      </c>
      <c r="B32" s="113" t="n">
        <v>0.2</v>
      </c>
      <c r="C32" s="113" t="n"/>
      <c r="D32" s="124" t="n">
        <v>0</v>
      </c>
      <c r="E32" s="124">
        <f>D32*$E$4*(1-$B32)+D32</f>
        <v/>
      </c>
      <c r="F32" s="124">
        <f>E32*$F$4*(1-$B32)+E32</f>
        <v/>
      </c>
      <c r="G32" s="124">
        <f>F32*$G$4*(1-$B32)+F32</f>
        <v/>
      </c>
      <c r="H32" s="124">
        <f>G32*$H$4*(1-$B32)+G32</f>
        <v/>
      </c>
      <c r="I32" s="124">
        <f>H32*$P$4*(1-$B32)+H32</f>
        <v/>
      </c>
      <c r="J32" s="124">
        <f>(I32*$J$4*(1-$B32)+I32)+(I31*$J$4*$C31)</f>
        <v/>
      </c>
      <c r="K32" s="124">
        <f>(J32*$K$4*(1-$B32)+J32)+(J31*$K$4*$C31)</f>
        <v/>
      </c>
      <c r="L32" s="124">
        <f>(K32*$L$4*(1-$B32)+K32)+(K31*$L$4*$C31)</f>
        <v/>
      </c>
      <c r="M32" s="124">
        <f>(L32*$M$4*(1-$B32)+L32)+(L31*$M$4*$C31)</f>
        <v/>
      </c>
      <c r="N32" s="124">
        <f>(M32*$N$4*(1-$B32)+M32)+(M31*$N$4*$C31)</f>
        <v/>
      </c>
      <c r="O32" s="124">
        <f>(N32*$O$4*(1-$B32)+N32)+(N31*$O$4*$C31)</f>
        <v/>
      </c>
      <c r="P32" s="124">
        <f>(O32*$P$4*(1-$B32)+O32)+(O31*$P$4*$C31)</f>
        <v/>
      </c>
      <c r="Q32" s="124">
        <f>(P32*$Q$4*(1-$B32)+P32)+(P31*$Q$4*$C31)</f>
        <v/>
      </c>
      <c r="R32" s="124">
        <f>(Q32*$R$4*(1-$B32)+Q32)+(Q31*$R$4*$C31)</f>
        <v/>
      </c>
      <c r="S32" s="124">
        <f>(R32*$S$4*(1-$B32)+R32)+(R31*$S$4*$C31)</f>
        <v/>
      </c>
      <c r="T32" s="124">
        <f>(S32*$T$4*(1-$B32)+S32)+(S31*$T$4*$C31)</f>
        <v/>
      </c>
      <c r="U32" s="124">
        <f>(T32*$U$4*(1-$B32)+T32)+(T31*$U$4*$C31)</f>
        <v/>
      </c>
      <c r="V32" s="124">
        <f>(U32*$V$4*(1-$B32)+U32)+(U31*$V$4*$C31)</f>
        <v/>
      </c>
      <c r="W32" s="124">
        <f>(V32*$W$4*(1-$B32)+V32)+(V31*$W$4*$C31)</f>
        <v/>
      </c>
      <c r="X32" s="124">
        <f>(W32*$X$4*(1-$B32)+W32)+(W31*$X$4*$C31)</f>
        <v/>
      </c>
      <c r="Y32" s="124">
        <f>(X32*$Y$4*(1-$B32)+X32)+(X31*$Y$4*$C31)</f>
        <v/>
      </c>
      <c r="Z32" s="124">
        <f>(Y32*$Z$4*(1-$B32)+Y32)+(Y31*$Z$4*$C31)</f>
        <v/>
      </c>
      <c r="AA32" s="124">
        <f>(Z32*$AA$4*(1-$B32)+Z32)+(Z31*$AA$4*$C31)</f>
        <v/>
      </c>
      <c r="AB32" s="124">
        <f>(AA32*$AB$4*(1-$B32)+AA32)+(AA31*$AB$4*$C31)</f>
        <v/>
      </c>
      <c r="AC32" s="124">
        <f>(AB32*$AC$4*(1-$B32)+AB32)+(AB31*$AC$4*$C31)</f>
        <v/>
      </c>
      <c r="AD32" s="124">
        <f>(AC32*$AD$4*(1-$B32)+AC32)+(AC31*$AD$4*$C31)</f>
        <v/>
      </c>
      <c r="AE32" s="124">
        <f>(AD32*$AE$4*(1-$B32)+AD32)+(AD31*$AE$4*$C31)</f>
        <v/>
      </c>
      <c r="AF32" s="124">
        <f>(AE32*$AF$4*(1-$B32)+AE32)+(AE31*$AF$4*$C31)</f>
        <v/>
      </c>
      <c r="AG32" s="124">
        <f>(AF32*$AG$4*(1-$B32)+AF32)+(AF31*$AG$4*$C31)</f>
        <v/>
      </c>
      <c r="AH32" s="124">
        <f>(AG32*AH$4*(1-$B32)+AG32)+(AG31*AH$4*$C31)+SUMIFS(Investments!$D:$D,Investments!$B:$B,$A32,Investments!$C:$C,"USDT",Investments!$A:$A,AH$8)</f>
        <v/>
      </c>
      <c r="AI32" s="124">
        <f>(AH32*AI$4*(1-$B32)+AH32)+(AH31*AI$4*$C31)+SUMIFS(Investments!$D:$D,Investments!$B:$B,$A32,Investments!$C:$C,"USDT",Investments!$A:$A,AI$8)</f>
        <v/>
      </c>
      <c r="AJ32" s="124">
        <f>(AI32*AJ$4*(1-$B32)+AI32)+(AI31*AJ$4*$C31)+SUMIFS(Investments!$D:$D,Investments!$B:$B,$A32,Investments!$C:$C,"USDT",Investments!$A:$A,AJ$8)</f>
        <v/>
      </c>
      <c r="AK32" s="124">
        <f>(AJ32*AK$4*(1-$B32)+AJ32)+(AJ31*AK$4*$C31)+SUMIFS(Investments!$D:$D,Investments!$B:$B,$A32,Investments!$C:$C,"USDT",Investments!$A:$A,AK$8)</f>
        <v/>
      </c>
      <c r="AL32" s="124">
        <f>(AK32*AL$4*(1-$B32)+AK32)+(AK31*AL$4*$C31)+SUMIFS(Investments!$D:$D,Investments!$B:$B,$A32,Investments!$C:$C,"USDT",Investments!$A:$A,AL$8)</f>
        <v/>
      </c>
      <c r="AM32" s="124">
        <f>(AL32*AM$4*(1-$B32)+AL32)+(AL31*AM$4*$C31)+SUMIFS(Investments!$D:$D,Investments!$B:$B,$A32,Investments!$C:$C,"USDT",Investments!$A:$A,AM$8)</f>
        <v/>
      </c>
      <c r="AN32" s="124">
        <f>(AM32*AN$4*(1-$B32)+AM32)+(AM31*AN$4*$C31)+SUMIFS(Investments!$D:$D,Investments!$B:$B,$A32,Investments!$C:$C,"USDT",Investments!$A:$A,AN$8)</f>
        <v/>
      </c>
      <c r="AO32" s="124">
        <f>(AN32*AO$4*(1-$B32)+AN32)+(AN31*AO$4*$C31)+SUMIFS(Investments!$D:$D,Investments!$B:$B,$A32,Investments!$C:$C,"USDT",Investments!$A:$A,AO$8)</f>
        <v/>
      </c>
      <c r="AP32" s="124">
        <f>(AO32*AP$4*(1-$B32)+AO32)+(AO31*AP$4*$C31)+SUMIFS(Investments!$D:$D,Investments!$B:$B,$A32,Investments!$C:$C,"USDT",Investments!$A:$A,AP$8)</f>
        <v/>
      </c>
      <c r="AQ32" s="124">
        <f>(AP32*AQ$4*(1-$B32)+AP32)+(AP31*AQ$4*$C31)+SUMIFS(Investments!$D:$D,Investments!$B:$B,$A32,Investments!$C:$C,"USDT",Investments!$A:$A,AQ$8)</f>
        <v/>
      </c>
      <c r="AR32" s="124">
        <f>(AQ32*AR$4*(1-$B32)+AQ32)+(AQ31*AR$4*$C31)+SUMIFS(Investments!$D:$D,Investments!$B:$B,$A32,Investments!$C:$C,"USDT",Investments!$A:$A,AR$8)</f>
        <v/>
      </c>
      <c r="AS32" s="124">
        <f>(AR32*AS$4*(1-$B32)+AR32)+(AR31*AS$4*$C31)+SUMIFS(Investments!$D:$D,Investments!$B:$B,$A32,Investments!$C:$C,"USDT",Investments!$A:$A,AS$8)</f>
        <v/>
      </c>
      <c r="AT32" s="124">
        <f>(AS32*AT$4*(1-$B32)+AS32)+(AS31*AT$4*$C31)+SUMIFS(Investments!$D:$D,Investments!$B:$B,$A32,Investments!$C:$C,"USDT",Investments!$A:$A,AT$8)</f>
        <v/>
      </c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</row>
    <row r="33" ht="15.75" customHeight="1" s="252">
      <c r="A33" s="123" t="inlineStr">
        <is>
          <t>Thomas Puech</t>
        </is>
      </c>
      <c r="B33" s="113" t="n">
        <v>0</v>
      </c>
      <c r="C33" s="126" t="n"/>
      <c r="D33" s="124" t="n">
        <v>0</v>
      </c>
      <c r="E33" s="124">
        <f>D33*$E$4*(1-$B33)+D33</f>
        <v/>
      </c>
      <c r="F33" s="124">
        <f>E33*$F$4*(1-$B33)+E33</f>
        <v/>
      </c>
      <c r="G33" s="124">
        <f>F33*$G$4*(1-$B33)+F33</f>
        <v/>
      </c>
      <c r="H33" s="124">
        <f>G33*$H$4*(1-$B33)+G33</f>
        <v/>
      </c>
      <c r="I33" s="124">
        <f>H33*$I$4*(1-$B33)+H33</f>
        <v/>
      </c>
      <c r="J33" s="124">
        <f>(I33*$J$4*(1-$B33)+I33)</f>
        <v/>
      </c>
      <c r="K33" s="124">
        <f>(J33*$K$4*(1-$B33)+J33)</f>
        <v/>
      </c>
      <c r="L33" s="124">
        <f>(K33*$L$4*(1-$B33)+K33)</f>
        <v/>
      </c>
      <c r="M33" s="124">
        <f>(L33*$M$4*(1-$B33)+L33)</f>
        <v/>
      </c>
      <c r="N33" s="124">
        <f>(M33*$N$4*(1-$B33)+M33)</f>
        <v/>
      </c>
      <c r="O33" s="124">
        <f>(N33*$O$4*(1-$B33)+N33)</f>
        <v/>
      </c>
      <c r="P33" s="124">
        <f>(O33*$P$4*(1-$B33)+O33)</f>
        <v/>
      </c>
      <c r="Q33" s="124">
        <f>(P33*$Q$4*(1-$B33)+P33)</f>
        <v/>
      </c>
      <c r="R33" s="124">
        <f>(Q33*$R$4*(1-$B33)+Q33)</f>
        <v/>
      </c>
      <c r="S33" s="124">
        <f>(R33*$S$4*(1-$B33)+R33)</f>
        <v/>
      </c>
      <c r="T33" s="124">
        <f>(S33*$T$4*(1-$B33)+S33)</f>
        <v/>
      </c>
      <c r="U33" s="124">
        <f>(T33*$U$4*(1-$B33)+T33)</f>
        <v/>
      </c>
      <c r="V33" s="124">
        <f>(U33*$V$4*(1-$B33)+U33)</f>
        <v/>
      </c>
      <c r="W33" s="124">
        <f>(V33*$W$4*(1-$B33)+V33)</f>
        <v/>
      </c>
      <c r="X33" s="124">
        <f>(W33*$X$4*(1-$B33)+W33)</f>
        <v/>
      </c>
      <c r="Y33" s="124">
        <f>(X33*$Y$4*(1-$B33)+X33)</f>
        <v/>
      </c>
      <c r="Z33" s="124">
        <f>(Y33*$Z$4*(1-$B33)+Y33)</f>
        <v/>
      </c>
      <c r="AA33" s="124">
        <f>(Z33*$AA$4*(1-$B33)+Z33)</f>
        <v/>
      </c>
      <c r="AB33" s="124">
        <f>(AA33*$AB$4*(1-$B33)+AA33)</f>
        <v/>
      </c>
      <c r="AC33" s="124">
        <f>(AB33*$AC$4*(1-$B33)+AB33)</f>
        <v/>
      </c>
      <c r="AD33" s="124">
        <f>(AC33*$AD$4*(1-$B33)+AC33)</f>
        <v/>
      </c>
      <c r="AE33" s="124">
        <f>(AD33*$AE$4*(1-$B33)+AD33)</f>
        <v/>
      </c>
      <c r="AF33" s="124">
        <f>(AE33*$AF$4*(1-$B33)+AE33)+106750.8-60000</f>
        <v/>
      </c>
      <c r="AG33" s="124">
        <f>(AF33*$AG$4*(1-$B33)+AF33)</f>
        <v/>
      </c>
      <c r="AH33" s="124">
        <f>(AG33*AH$4*(1-$B33)+AG33)+SUMIFS(Investments!$D:$D,Investments!$B:$B,$A33,Investments!$C:$C,"USDT",Investments!$A:$A,AH$8)</f>
        <v/>
      </c>
      <c r="AI33" s="124">
        <f>(AH33*AI$4*(1-$B33)+AH33)+SUMIFS(Investments!$D:$D,Investments!$B:$B,$A33,Investments!$C:$C,"USDT",Investments!$A:$A,AI$8)</f>
        <v/>
      </c>
      <c r="AJ33" s="124">
        <f>(AI33*AJ$4*(1-$B33)+AI33)+SUMIFS(Investments!$D:$D,Investments!$B:$B,$A33,Investments!$C:$C,"USDT",Investments!$A:$A,AJ$8)</f>
        <v/>
      </c>
      <c r="AK33" s="124">
        <f>(AJ33*AK$4*(1-$B33)+AJ33)+SUMIFS(Investments!$D:$D,Investments!$B:$B,$A33,Investments!$C:$C,"USDT",Investments!$A:$A,AK$8)</f>
        <v/>
      </c>
      <c r="AL33" s="124">
        <f>(AK33*AL$4*(1-$B33)+AK33)+SUMIFS(Investments!$D:$D,Investments!$B:$B,$A33,Investments!$C:$C,"USDT",Investments!$A:$A,AL$8)</f>
        <v/>
      </c>
      <c r="AM33" s="124">
        <f>(AL33*AM$4*(1-$B33)+AL33)-(AL33*AM$4*(1-$B33)+AL33)</f>
        <v/>
      </c>
      <c r="AN33" s="124">
        <f>(AM33*AN$4*(1-$B33)+AM33)-(AM33*AN$4*(1-$B33)+AM33)</f>
        <v/>
      </c>
      <c r="AO33" s="124">
        <f>(AN33*AO$4*(1-$B33)+AN33)-(AN33*AO$4*(1-$B33)+AN33)</f>
        <v/>
      </c>
      <c r="AP33" s="124">
        <f>(AO33*AP$4*(1-$B33)+AO33)-(AO33*AP$4*(1-$B33)+AO33)</f>
        <v/>
      </c>
      <c r="AQ33" s="124">
        <f>(AP33*AQ$4*(1-$B33)+AP33)-(AP33*AQ$4*(1-$B33)+AP33)</f>
        <v/>
      </c>
      <c r="AR33" s="124">
        <f>(AQ33*AR$4*(1-$B33)+AQ33)-(AQ33*AR$4*(1-$B33)+AQ33)</f>
        <v/>
      </c>
      <c r="AS33" s="124">
        <f>(AR33*AS$4*(1-$B33)+AR33)-(AR33*AS$4*(1-$B33)+AR33)</f>
        <v/>
      </c>
      <c r="AT33" s="124">
        <f>(AS33*AT$4*(1-$B33)+AS33)-(AS33*AT$4*(1-$B33)+AS33)</f>
        <v/>
      </c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</row>
    <row r="34" ht="15.75" customHeight="1" s="252">
      <c r="A34" s="123" t="inlineStr">
        <is>
          <t>Tomer Mazar</t>
        </is>
      </c>
      <c r="B34" s="113" t="n">
        <v>0</v>
      </c>
      <c r="C34" s="126" t="n"/>
      <c r="D34" s="124" t="n">
        <v>0</v>
      </c>
      <c r="E34" s="124">
        <f>D34*$E$4*(1-$B34)+D34</f>
        <v/>
      </c>
      <c r="F34" s="124">
        <f>E34*$F$4*(1-$B34)+E34</f>
        <v/>
      </c>
      <c r="G34" s="124">
        <f>F34*$G$4*(1-$B34)+F34</f>
        <v/>
      </c>
      <c r="H34" s="124">
        <f>G34*$H$4*(1-$B34)+G34</f>
        <v/>
      </c>
      <c r="I34" s="124">
        <f>H34*$I$4*(1-$B34)+H34</f>
        <v/>
      </c>
      <c r="J34" s="124">
        <f>(I34*$J$4*(1-$B34)+I34)</f>
        <v/>
      </c>
      <c r="K34" s="124">
        <f>(J34*$K$4*(1-$B34)+J34)</f>
        <v/>
      </c>
      <c r="L34" s="124">
        <f>(K34*$L$4*(1-$B34)+K34)</f>
        <v/>
      </c>
      <c r="M34" s="124">
        <f>(L34*$M$4*(1-$B34)+L34)</f>
        <v/>
      </c>
      <c r="N34" s="124">
        <f>(M34*$N$4*(1-$B34)+M34)</f>
        <v/>
      </c>
      <c r="O34" s="124">
        <f>(N34*$O$4*(1-$B34)+N34)</f>
        <v/>
      </c>
      <c r="P34" s="124">
        <f>(O34*$P$4*(1-$B34)+O34)</f>
        <v/>
      </c>
      <c r="Q34" s="124">
        <f>(P34*$Q$4*(1-$B34)+P34)</f>
        <v/>
      </c>
      <c r="R34" s="124">
        <f>(Q34*$R$4*(1-$B34)+Q34)</f>
        <v/>
      </c>
      <c r="S34" s="124">
        <f>(R34*$S$4*(1-$B34)+R34)</f>
        <v/>
      </c>
      <c r="T34" s="124">
        <f>(S34*$T$4*(1-$B34)+S34)</f>
        <v/>
      </c>
      <c r="U34" s="124">
        <f>(T34*$U$4*(1-$B34)+T34)</f>
        <v/>
      </c>
      <c r="V34" s="124">
        <f>(U34*$V$4*(1-$B34)+U34)</f>
        <v/>
      </c>
      <c r="W34" s="124">
        <f>(V34*$W$4*(1-$B34)+V34)</f>
        <v/>
      </c>
      <c r="X34" s="124">
        <f>(W34*$X$4*(1-$B34)+W34)</f>
        <v/>
      </c>
      <c r="Y34" s="124">
        <f>(X34*$Y$4*(1-$B34)+X34)</f>
        <v/>
      </c>
      <c r="Z34" s="124">
        <f>(Y34*$Z$4*(1-$B34)+Y34)</f>
        <v/>
      </c>
      <c r="AA34" s="124">
        <f>(Z34*$AA$4*(1-$B34)+Z34)</f>
        <v/>
      </c>
      <c r="AB34" s="124">
        <f>(AA34*$AB$4*(1-$B34)+AA34)</f>
        <v/>
      </c>
      <c r="AC34" s="124">
        <f>(AB34*$AC$4*(1-$B34)+AB34)</f>
        <v/>
      </c>
      <c r="AD34" s="124">
        <f>(AC34*$AD$4*(1-$B34)+AC34)</f>
        <v/>
      </c>
      <c r="AE34" s="124">
        <f>(AD34*$AE$4*(1-$B34)+AD34)</f>
        <v/>
      </c>
      <c r="AF34" s="124">
        <f>(AE34*$AF$4*(1-$B34)+AE34)</f>
        <v/>
      </c>
      <c r="AG34" s="124">
        <f>(AF34*$AG$4*(1-$B34)+AF34)</f>
        <v/>
      </c>
      <c r="AH34" s="124">
        <f>(AG34*AH$4*(1-$B34)+AG34)+SUMIFS(Investments!$D:$D,Investments!$B:$B,$A34,Investments!$C:$C,"USDT",Investments!$A:$A,AH$8)</f>
        <v/>
      </c>
      <c r="AI34" s="124">
        <f>(AH34*AI$4*(1-$B34)+AH34)+SUMIFS(Investments!$D:$D,Investments!$B:$B,$A34,Investments!$C:$C,"USDT",Investments!$A:$A,AI$8)</f>
        <v/>
      </c>
      <c r="AJ34" s="124">
        <f>(AI34*AJ$4*(1-$B34)+AI34)+SUMIFS(Investments!$D:$D,Investments!$B:$B,$A34,Investments!$C:$C,"USDT",Investments!$A:$A,AJ$8)</f>
        <v/>
      </c>
      <c r="AK34" s="124">
        <f>(AJ34*AK$4*(1-$B34)+AJ34)+SUMIFS(Investments!$D:$D,Investments!$B:$B,$A34,Investments!$C:$C,"USDT",Investments!$A:$A,AK$8)</f>
        <v/>
      </c>
      <c r="AL34" s="124">
        <f>(AK34*AL$4*(1-$B34)+AK34)+SUMIFS(Investments!$D:$D,Investments!$B:$B,$A34,Investments!$C:$C,"USDT",Investments!$A:$A,AL$8)</f>
        <v/>
      </c>
      <c r="AM34" s="124">
        <f>(AL34*AM$4*(1-$B34)+AL34)+SUMIFS(Investments!$D:$D,Investments!$B:$B,$A34,Investments!$C:$C,"USDT",Investments!$A:$A,AM$8)</f>
        <v/>
      </c>
      <c r="AN34" s="124">
        <f>(AM34*AN$4*(1-$B34)+AM34)+SUMIFS(Investments!$D:$D,Investments!$B:$B,$A34,Investments!$C:$C,"USDT",Investments!$A:$A,AN$8)</f>
        <v/>
      </c>
      <c r="AO34" s="124">
        <f>(AN34*AO$4*(1-$B34)+AN34)+SUMIFS(Investments!$D:$D,Investments!$B:$B,$A34,Investments!$C:$C,"USDT",Investments!$A:$A,AO$8)</f>
        <v/>
      </c>
      <c r="AP34" s="124">
        <f>(AO34*AP$4*(1-$B34)+AO34)+SUMIFS(Investments!$D:$D,Investments!$B:$B,$A34,Investments!$C:$C,"USDT",Investments!$A:$A,AP$8)</f>
        <v/>
      </c>
      <c r="AQ34" s="124">
        <f>(AP34*AQ$4*(1-$B34)+AP34)+SUMIFS(Investments!$D:$D,Investments!$B:$B,$A34,Investments!$C:$C,"USDT",Investments!$A:$A,AQ$8)</f>
        <v/>
      </c>
      <c r="AR34" s="124">
        <f>(AQ34*AR$4*(1-$B34)+AQ34)+SUMIFS(Investments!$D:$D,Investments!$B:$B,$A34,Investments!$C:$C,"USDT",Investments!$A:$A,AR$8)</f>
        <v/>
      </c>
      <c r="AS34" s="124">
        <f>(AR34*AS$4*(1-$B34)+AR34)+SUMIFS(Investments!$D:$D,Investments!$B:$B,$A34,Investments!$C:$C,"USDT",Investments!$A:$A,AS$8)</f>
        <v/>
      </c>
      <c r="AT34" s="124">
        <f>(AS34*AT$4*(1-$B34)+AS34)+SUMIFS(Investments!$D:$D,Investments!$B:$B,$A34,Investments!$C:$C,"USDT",Investments!$A:$A,AT$8)</f>
        <v/>
      </c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</row>
    <row r="35" ht="15.75" customHeight="1" s="252">
      <c r="A35" s="123" t="inlineStr">
        <is>
          <t>Nathanaël Cohen</t>
        </is>
      </c>
      <c r="B35" s="113" t="n">
        <v>0</v>
      </c>
      <c r="C35" s="126" t="n"/>
      <c r="D35" s="124" t="n">
        <v>0</v>
      </c>
      <c r="E35" s="124">
        <f>D35*$E$4*(1-$B35)+D35</f>
        <v/>
      </c>
      <c r="F35" s="124">
        <f>E35*$F$4*(1-$B35)+E35</f>
        <v/>
      </c>
      <c r="G35" s="124">
        <f>F35*$G$4*(1-$B35)+F35</f>
        <v/>
      </c>
      <c r="H35" s="124">
        <f>G35*$H$4*(1-$B35)+G35</f>
        <v/>
      </c>
      <c r="I35" s="124">
        <f>H35*$I$4*(1-$B35)+H35</f>
        <v/>
      </c>
      <c r="J35" s="124">
        <f>(I35*$J$4*(1-$B35)+I35)</f>
        <v/>
      </c>
      <c r="K35" s="124">
        <f>(J35*$K$4*(1-$B35)+J35)</f>
        <v/>
      </c>
      <c r="L35" s="124">
        <f>(K35*$L$4*(1-$B35)+K35)</f>
        <v/>
      </c>
      <c r="M35" s="124">
        <f>(L35*$M$4*(1-$B35)+L35)</f>
        <v/>
      </c>
      <c r="N35" s="124">
        <f>(M35*$N$4*(1-$B35)+M35)</f>
        <v/>
      </c>
      <c r="O35" s="124">
        <f>(N35*$O$4*(1-$B35)+N35)</f>
        <v/>
      </c>
      <c r="P35" s="124">
        <f>(O35*$P$4*(1-$B35)+O35)</f>
        <v/>
      </c>
      <c r="Q35" s="124">
        <f>(P35*$Q$4*(1-$B35)+P35)</f>
        <v/>
      </c>
      <c r="R35" s="124">
        <f>(Q35*$R$4*(1-$B35)+Q35)</f>
        <v/>
      </c>
      <c r="S35" s="124">
        <f>(R35*$S$4*(1-$B35)+R35)</f>
        <v/>
      </c>
      <c r="T35" s="124">
        <f>(S35*$T$4*(1-$B35)+S35)</f>
        <v/>
      </c>
      <c r="U35" s="124">
        <f>(T35*$U$4*(1-$B35)+T35)</f>
        <v/>
      </c>
      <c r="V35" s="124">
        <f>(U35*$V$4*(1-$B35)+U35)</f>
        <v/>
      </c>
      <c r="W35" s="124">
        <f>(V35*$W$4*(1-$B35)+V35)</f>
        <v/>
      </c>
      <c r="X35" s="124">
        <f>(W35*$X$4*(1-$B35)+W35)</f>
        <v/>
      </c>
      <c r="Y35" s="124">
        <f>(X35*$Y$4*(1-$B35)+X35)</f>
        <v/>
      </c>
      <c r="Z35" s="124">
        <f>(Y35*$Z$4*(1-$B35)+Y35)</f>
        <v/>
      </c>
      <c r="AA35" s="124">
        <f>(Z35*$AA$4*(1-$B35)+Z35)</f>
        <v/>
      </c>
      <c r="AB35" s="124">
        <f>(AA35*$AB$4*(1-$B35)+AA35)</f>
        <v/>
      </c>
      <c r="AC35" s="124">
        <f>(AB35*$AC$4*(1-$B35)+AB35)</f>
        <v/>
      </c>
      <c r="AD35" s="124">
        <f>(AC35*$AD$4*(1-$B35)+AC35)</f>
        <v/>
      </c>
      <c r="AE35" s="124">
        <f>(AD35*$AE$4*(1-$B35)+AD35)</f>
        <v/>
      </c>
      <c r="AF35" s="124">
        <f>(AE35*$AF$4*(1-$B35)+AE35)</f>
        <v/>
      </c>
      <c r="AG35" s="124">
        <f>(AF35*$AG$4*(1-$B35)+AF35)</f>
        <v/>
      </c>
      <c r="AH35" s="124">
        <f>(AG35*AH$4*(1-$B35)+AG35)+SUMIFS(Investments!$D:$D,Investments!$B:$B,$A35,Investments!$C:$C,"USDT",Investments!$A:$A,AH$8)</f>
        <v/>
      </c>
      <c r="AI35" s="124">
        <f>(AH35*AI$4*(1-$B35)+AH35)+SUMIFS(Investments!$D:$D,Investments!$B:$B,$A35,Investments!$C:$C,"USDT",Investments!$A:$A,AI$8)</f>
        <v/>
      </c>
      <c r="AJ35" s="124">
        <f>(AI35*AJ$4*(1-$B35)+AI35)+SUMIFS(Investments!$D:$D,Investments!$B:$B,$A35,Investments!$C:$C,"USDT",Investments!$A:$A,AJ$8)</f>
        <v/>
      </c>
      <c r="AK35" s="124">
        <f>(AJ35*AK$4*(1-$B35)+AJ35)+SUMIFS(Investments!$D:$D,Investments!$B:$B,$A35,Investments!$C:$C,"USDT",Investments!$A:$A,AK$8)</f>
        <v/>
      </c>
      <c r="AL35" s="124">
        <f>(AK35*AL$4*(1-$B35)+AK35)+SUMIFS(Investments!$D:$D,Investments!$B:$B,$A35,Investments!$C:$C,"USDT",Investments!$A:$A,AL$8)</f>
        <v/>
      </c>
      <c r="AM35" s="124">
        <f>(AL35*AM$4*(1-$B35)+AL35)+SUMIFS(Investments!$D:$D,Investments!$B:$B,$A35,Investments!$C:$C,"USDT",Investments!$A:$A,AM$8)</f>
        <v/>
      </c>
      <c r="AN35" s="124">
        <f>(AM35*AN$4*(1-$B35)+AM35)+SUMIFS(Investments!$D:$D,Investments!$B:$B,$A35,Investments!$C:$C,"USDT",Investments!$A:$A,AN$8)</f>
        <v/>
      </c>
      <c r="AO35" s="124">
        <f>(AN35*AO$4*(1-$B35)+AN35)+SUMIFS(Investments!$D:$D,Investments!$B:$B,$A35,Investments!$C:$C,"USDT",Investments!$A:$A,AO$8)</f>
        <v/>
      </c>
      <c r="AP35" s="124">
        <f>(AO35*AP$4*(1-$B35)+AO35)+SUMIFS(Investments!$D:$D,Investments!$B:$B,$A35,Investments!$C:$C,"USDT",Investments!$A:$A,AP$8)</f>
        <v/>
      </c>
      <c r="AQ35" s="124">
        <f>(AP35*AQ$4*(1-$B35)+AP35)+SUMIFS(Investments!$D:$D,Investments!$B:$B,$A35,Investments!$C:$C,"USDT",Investments!$A:$A,AQ$8)</f>
        <v/>
      </c>
      <c r="AR35" s="124">
        <f>(AQ35*AR$4*(1-$B35)+AQ35)+SUMIFS(Investments!$D:$D,Investments!$B:$B,$A35,Investments!$C:$C,"USDT",Investments!$A:$A,AR$8)</f>
        <v/>
      </c>
      <c r="AS35" s="124">
        <f>(AR35*AS$4*(1-$B35)+AR35)+SUMIFS(Investments!$D:$D,Investments!$B:$B,$A35,Investments!$C:$C,"USDT",Investments!$A:$A,AS$8)</f>
        <v/>
      </c>
      <c r="AT35" s="124">
        <f>(AS35*AT$4*(1-$B35)+AS35)+SUMIFS(Investments!$D:$D,Investments!$B:$B,$A35,Investments!$C:$C,"USDT",Investments!$A:$A,AT$8)</f>
        <v/>
      </c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</row>
    <row r="36" ht="15.75" customHeight="1" s="252">
      <c r="A36" s="123" t="inlineStr">
        <is>
          <t>No Limit Payments</t>
        </is>
      </c>
      <c r="B36" s="113" t="n">
        <v>0.2</v>
      </c>
      <c r="C36" s="126" t="n"/>
      <c r="D36" s="124" t="n">
        <v>0</v>
      </c>
      <c r="E36" s="124">
        <f>D36*$E$4*(1-$B36)+D36</f>
        <v/>
      </c>
      <c r="F36" s="124">
        <f>E36*$F$4*(1-$B36)+E36</f>
        <v/>
      </c>
      <c r="G36" s="124">
        <f>F36*$G$4*(1-$B36)+F36</f>
        <v/>
      </c>
      <c r="H36" s="124">
        <f>G36*$H$4*(1-$B36)+G36</f>
        <v/>
      </c>
      <c r="I36" s="124">
        <f>H36*$I$4*(1-$B36)+H36</f>
        <v/>
      </c>
      <c r="J36" s="124">
        <f>(I36*$J$4*(1-$B36)+I36)</f>
        <v/>
      </c>
      <c r="K36" s="124">
        <f>(J36*$K$4*(1-$B36)+J36)</f>
        <v/>
      </c>
      <c r="L36" s="124">
        <f>(K36*$L$4*(1-$B36)+K36)</f>
        <v/>
      </c>
      <c r="M36" s="124">
        <f>(L36*$M$4*(1-$B36)+L36)</f>
        <v/>
      </c>
      <c r="N36" s="124">
        <f>(M36*$N$4*(1-$B36)+M36)</f>
        <v/>
      </c>
      <c r="O36" s="124">
        <f>(N36*$O$4*(1-$B36)+N36)</f>
        <v/>
      </c>
      <c r="P36" s="124">
        <f>(O36*$P$4*(1-$B36)+O36)</f>
        <v/>
      </c>
      <c r="Q36" s="124">
        <f>(P36*$Q$4*(1-$B36)+P36)</f>
        <v/>
      </c>
      <c r="R36" s="124">
        <f>(Q36*$R$4*(1-$B36)+Q36)</f>
        <v/>
      </c>
      <c r="S36" s="124">
        <f>(R36*$S$4*(1-$B36)+R36)</f>
        <v/>
      </c>
      <c r="T36" s="124">
        <f>(S36*$T$4*(1-$B36)+S36)</f>
        <v/>
      </c>
      <c r="U36" s="124">
        <f>(T36*$U$4*(1-$B36)+T36)</f>
        <v/>
      </c>
      <c r="V36" s="124">
        <f>(U36*$V$4*(1-$B36)+U36)</f>
        <v/>
      </c>
      <c r="W36" s="124">
        <f>(V36*$W$4*(1-$B36)+V36)</f>
        <v/>
      </c>
      <c r="X36" s="124">
        <f>(W36*$X$4*(1-$B36)+W36)</f>
        <v/>
      </c>
      <c r="Y36" s="124">
        <f>(X36*$Y$4*(1-$B36)+X36)</f>
        <v/>
      </c>
      <c r="Z36" s="124">
        <f>(Y36*$Z$4*(1-$B36)+Y36)</f>
        <v/>
      </c>
      <c r="AA36" s="124">
        <f>(Z36*$AA$4*(1-$B36)+Z36)</f>
        <v/>
      </c>
      <c r="AB36" s="124">
        <f>(AA36*$AB$4*(1-$B36)+AA36)</f>
        <v/>
      </c>
      <c r="AC36" s="124">
        <f>(AB36*$AC$4*(1-$B36)+AB36)</f>
        <v/>
      </c>
      <c r="AD36" s="124">
        <f>(AC36*$AD$4*(1-$B36)+AC36)</f>
        <v/>
      </c>
      <c r="AE36" s="124">
        <f>(AD36*$AE$4*(1-$B36)+AD36)</f>
        <v/>
      </c>
      <c r="AF36" s="124">
        <f>(AE36*$AF$4*(1-$B36)+AE36)</f>
        <v/>
      </c>
      <c r="AG36" s="124">
        <f>(AF36*$AG$4*(1-$B36)+AF36)</f>
        <v/>
      </c>
      <c r="AH36" s="124">
        <f>(AG36*AH$4*(1-$B36)+AG36)+SUMIFS(Investments!$D:$D,Investments!$B:$B,$A36,Investments!$C:$C,"USDT",Investments!$A:$A,AH$8)</f>
        <v/>
      </c>
      <c r="AI36" s="124">
        <f>(AH36*AI$4*(1-$B36)+AH36)+SUMIFS(Investments!$D:$D,Investments!$B:$B,$A36,Investments!$C:$C,"USDT",Investments!$A:$A,AI$8)</f>
        <v/>
      </c>
      <c r="AJ36" s="124">
        <f>(AI36*AJ$4*(1-$B36)+AI36)+SUMIFS(Investments!$D:$D,Investments!$B:$B,$A36,Investments!$C:$C,"USDT",Investments!$A:$A,AJ$8)</f>
        <v/>
      </c>
      <c r="AK36" s="124">
        <f>(AJ36*AK$4*(1-$B36)+AJ36)+SUMIFS(Investments!$D:$D,Investments!$B:$B,$A36,Investments!$C:$C,"USDT",Investments!$A:$A,AK$8)</f>
        <v/>
      </c>
      <c r="AL36" s="124">
        <f>(AK36*AL$4*(1-$B36)+AK36)+SUMIFS(Investments!$D:$D,Investments!$B:$B,$A36,Investments!$C:$C,"USDT",Investments!$A:$A,AL$8)</f>
        <v/>
      </c>
      <c r="AM36" s="124">
        <f>(AL36*AM$4*(1-$B36)+AL36)+SUMIFS(Investments!$D:$D,Investments!$B:$B,$A36,Investments!$C:$C,"USDT",Investments!$A:$A,AM$8)</f>
        <v/>
      </c>
      <c r="AN36" s="124">
        <f>(AM36*AN$4*(1-$B36)+AM36)+SUMIFS(Investments!$D:$D,Investments!$B:$B,$A36,Investments!$C:$C,"USDT",Investments!$A:$A,AN$8)</f>
        <v/>
      </c>
      <c r="AO36" s="124">
        <f>(AN36*AO$4*(1-$B36)+AN36)+SUMIFS(Investments!$D:$D,Investments!$B:$B,$A36,Investments!$C:$C,"USDT",Investments!$A:$A,AO$8)</f>
        <v/>
      </c>
      <c r="AP36" s="124">
        <f>(AO36*AP$4*(1-$B36)+AO36)+SUMIFS(Investments!$D:$D,Investments!$B:$B,$A36,Investments!$C:$C,"USDT",Investments!$A:$A,AP$8)</f>
        <v/>
      </c>
      <c r="AQ36" s="124">
        <f>(AP36*AQ$4*(1-$B36)+AP36)+SUMIFS(Investments!$D:$D,Investments!$B:$B,$A36,Investments!$C:$C,"USDT",Investments!$A:$A,AQ$8)</f>
        <v/>
      </c>
      <c r="AR36" s="124">
        <f>(AQ36*AR$4*(1-$B36)+AQ36)+SUMIFS(Investments!$D:$D,Investments!$B:$B,$A36,Investments!$C:$C,"USDT",Investments!$A:$A,AR$8)</f>
        <v/>
      </c>
      <c r="AS36" s="124">
        <f>(AR36*AS$4*(1-$B36)+AR36)+SUMIFS(Investments!$D:$D,Investments!$B:$B,$A36,Investments!$C:$C,"USDT",Investments!$A:$A,AS$8)</f>
        <v/>
      </c>
      <c r="AT36" s="124">
        <f>(AS36*AT$4*(1-$B36)+AS36)+SUMIFS(Investments!$D:$D,Investments!$B:$B,$A36,Investments!$C:$C,"USDT",Investments!$A:$A,AT$8)</f>
        <v/>
      </c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</row>
    <row r="37" ht="15.75" customHeight="1" s="252">
      <c r="A37" s="128" t="inlineStr">
        <is>
          <t>Total AUM</t>
        </is>
      </c>
      <c r="B37" s="129" t="n"/>
      <c r="C37" s="129" t="n"/>
      <c r="D37" s="129">
        <f>SUM(D9:D36)</f>
        <v/>
      </c>
      <c r="E37" s="129">
        <f>SUM(E9:E36)</f>
        <v/>
      </c>
      <c r="F37" s="129">
        <f>SUM(F9:F36)</f>
        <v/>
      </c>
      <c r="G37" s="129">
        <f>SUM(G9:G36)</f>
        <v/>
      </c>
      <c r="H37" s="129">
        <f>SUM(H9:H36)</f>
        <v/>
      </c>
      <c r="I37" s="129">
        <f>SUM(I9:I36)</f>
        <v/>
      </c>
      <c r="J37" s="129">
        <f>SUM(J9:J36)</f>
        <v/>
      </c>
      <c r="K37" s="129">
        <f>SUM(K9:K36)</f>
        <v/>
      </c>
      <c r="L37" s="129">
        <f>SUM(L9:L36)</f>
        <v/>
      </c>
      <c r="M37" s="129">
        <f>SUM(M9:M36)</f>
        <v/>
      </c>
      <c r="N37" s="129">
        <f>SUM(N9:N36)</f>
        <v/>
      </c>
      <c r="O37" s="129">
        <f>SUM(O9:O36)</f>
        <v/>
      </c>
      <c r="P37" s="129">
        <f>SUM(P9:P36)</f>
        <v/>
      </c>
      <c r="Q37" s="129">
        <f>SUM(Q9:Q36)</f>
        <v/>
      </c>
      <c r="R37" s="129">
        <f>SUM(R9:R36)</f>
        <v/>
      </c>
      <c r="S37" s="129">
        <f>SUM(S9:S36)</f>
        <v/>
      </c>
      <c r="T37" s="129">
        <f>SUM(T9:T36)</f>
        <v/>
      </c>
      <c r="U37" s="129">
        <f>SUM(U9:U36)</f>
        <v/>
      </c>
      <c r="V37" s="129">
        <f>SUM(V9:V36)</f>
        <v/>
      </c>
      <c r="W37" s="129">
        <f>SUM(W9:W36)</f>
        <v/>
      </c>
      <c r="X37" s="129">
        <f>SUM(X9:X36)</f>
        <v/>
      </c>
      <c r="Y37" s="129">
        <f>SUM(Y9:Y36)</f>
        <v/>
      </c>
      <c r="Z37" s="129">
        <f>SUM(Z9:Z36)</f>
        <v/>
      </c>
      <c r="AA37" s="129">
        <f>SUM(AA9:AA36)</f>
        <v/>
      </c>
      <c r="AB37" s="129">
        <f>SUM(AB9:AB36)</f>
        <v/>
      </c>
      <c r="AC37" s="129">
        <f>SUM(AC9:AC36)</f>
        <v/>
      </c>
      <c r="AD37" s="129">
        <f>SUM(AD9:AD36)</f>
        <v/>
      </c>
      <c r="AE37" s="129">
        <f>SUM(AE9:AE36)</f>
        <v/>
      </c>
      <c r="AF37" s="129">
        <f>SUM(AF9:AF36)</f>
        <v/>
      </c>
      <c r="AG37" s="129">
        <f>SUM(AG9:AG36)</f>
        <v/>
      </c>
      <c r="AH37" s="129">
        <f>SUM(AH9:AH36)</f>
        <v/>
      </c>
      <c r="AI37" s="129">
        <f>SUM(AI9:AI36)</f>
        <v/>
      </c>
      <c r="AJ37" s="129">
        <f>SUM(AJ9:AJ36)</f>
        <v/>
      </c>
      <c r="AK37" s="129">
        <f>SUM(AK9:AK36)</f>
        <v/>
      </c>
      <c r="AL37" s="129">
        <f>SUM(AL9:AL36)</f>
        <v/>
      </c>
      <c r="AM37" s="129">
        <f>SUM(AM9:AM36)</f>
        <v/>
      </c>
      <c r="AN37" s="129">
        <f>SUM(AN9:AN36)</f>
        <v/>
      </c>
      <c r="AO37" s="129">
        <f>SUM(AO9:AO36)</f>
        <v/>
      </c>
      <c r="AP37" s="129">
        <f>SUM(AP9:AP36)</f>
        <v/>
      </c>
      <c r="AQ37" s="129">
        <f>SUM(AQ9:AQ36)</f>
        <v/>
      </c>
      <c r="AR37" s="129">
        <f>SUM(AR9:AR36)</f>
        <v/>
      </c>
      <c r="AS37" s="129">
        <f>SUM(AS9:AS36)</f>
        <v/>
      </c>
      <c r="AT37" s="129">
        <f>SUM(AT9:AT36)</f>
        <v/>
      </c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</row>
    <row r="38" ht="15.75" customHeight="1" s="252"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</row>
    <row r="39" ht="15.75" customHeight="1" s="252">
      <c r="A39" s="11" t="inlineStr">
        <is>
          <t>Indigo fees</t>
        </is>
      </c>
      <c r="C39" s="18" t="n"/>
      <c r="D39" s="18">
        <f>IFERROR(D9/D$37,"")</f>
        <v/>
      </c>
      <c r="E39" s="18">
        <f>IFERROR(E9/E$37,"")</f>
        <v/>
      </c>
      <c r="F39" s="18">
        <f>IFERROR(F9/F$37,"")</f>
        <v/>
      </c>
      <c r="G39" s="18">
        <f>IFERROR(G9/G$37,"")</f>
        <v/>
      </c>
      <c r="H39" s="18">
        <f>IFERROR(H9/H$37,"")</f>
        <v/>
      </c>
      <c r="I39" s="18">
        <f>IFERROR(I9/I$37,"")</f>
        <v/>
      </c>
      <c r="J39" s="18">
        <f>IFERROR(J9/J$37,"")</f>
        <v/>
      </c>
      <c r="K39" s="18">
        <f>IFERROR(K9/K$37,"")</f>
        <v/>
      </c>
      <c r="L39" s="18">
        <f>IFERROR(L9/L$37,"")</f>
        <v/>
      </c>
      <c r="M39" s="18">
        <f>IFERROR(M9/M$37,"")</f>
        <v/>
      </c>
      <c r="N39" s="18">
        <f>IFERROR(N9/N$37,"")</f>
        <v/>
      </c>
      <c r="O39" s="18">
        <f>IFERROR(O9/O$37,"")</f>
        <v/>
      </c>
      <c r="P39" s="18">
        <f>IFERROR(P9/P$37,"")</f>
        <v/>
      </c>
      <c r="Q39" s="18">
        <f>IFERROR(Q9/Q$37,"")</f>
        <v/>
      </c>
      <c r="R39" s="18">
        <f>IFERROR(R9/R$37,"")</f>
        <v/>
      </c>
      <c r="S39" s="18">
        <f>IFERROR(S9/S$37,"")</f>
        <v/>
      </c>
      <c r="T39" s="18">
        <f>IFERROR(T9/T$37,"")</f>
        <v/>
      </c>
      <c r="U39" s="18">
        <f>IFERROR(U9/U$37,"")</f>
        <v/>
      </c>
      <c r="V39" s="18">
        <f>IFERROR(V9/V$37,"")</f>
        <v/>
      </c>
      <c r="W39" s="18">
        <f>IFERROR(W9/W$37,"")</f>
        <v/>
      </c>
      <c r="X39" s="18">
        <f>IFERROR(X9/X$37,"")</f>
        <v/>
      </c>
      <c r="Y39" s="18">
        <f>IFERROR(Y9/Y$37,"")</f>
        <v/>
      </c>
      <c r="Z39" s="18">
        <f>IFERROR(Z9/Z$37,"")</f>
        <v/>
      </c>
      <c r="AA39" s="18">
        <f>IFERROR(AA9/AA$37,"")</f>
        <v/>
      </c>
      <c r="AB39" s="18">
        <f>IFERROR(AB9/AB$37,"")</f>
        <v/>
      </c>
      <c r="AC39" s="18">
        <f>IFERROR(AC9/AC$37,"")</f>
        <v/>
      </c>
      <c r="AD39" s="18">
        <f>IFERROR(AD9/AD$37,"")</f>
        <v/>
      </c>
      <c r="AE39" s="18">
        <f>IFERROR(AE9/AE$37,"")</f>
        <v/>
      </c>
      <c r="AF39" s="18">
        <f>IFERROR(AF9/AF$37,"")</f>
        <v/>
      </c>
      <c r="AG39" s="18">
        <f>IFERROR(AG9/AG$37,"")</f>
        <v/>
      </c>
      <c r="AH39" s="18">
        <f>IFERROR(AH9/AH$37,"")</f>
        <v/>
      </c>
      <c r="AI39" s="18">
        <f>IFERROR(AI9/AI$37,"")</f>
        <v/>
      </c>
      <c r="AJ39" s="18">
        <f>IFERROR(AJ9/AJ$37,"")</f>
        <v/>
      </c>
      <c r="AK39" s="18">
        <f>IFERROR(AK9/AK$37,"")</f>
        <v/>
      </c>
      <c r="AL39" s="18">
        <f>IFERROR(AL9/AL$37,"")</f>
        <v/>
      </c>
      <c r="AM39" s="18">
        <f>IFERROR(AM9/AM$37,"")</f>
        <v/>
      </c>
      <c r="AN39" s="18">
        <f>IFERROR(AN9/AN$37,"")</f>
        <v/>
      </c>
      <c r="AO39" s="18">
        <f>IFERROR(AO9/AO$37,"")</f>
        <v/>
      </c>
      <c r="AP39" s="18">
        <f>IFERROR(AP9/AP$37,"")</f>
        <v/>
      </c>
      <c r="AQ39" s="18">
        <f>IFERROR(AQ9/AQ$37,"")</f>
        <v/>
      </c>
      <c r="AR39" s="18">
        <f>IFERROR(AR9/AR$37,"")</f>
        <v/>
      </c>
      <c r="AS39" s="18">
        <f>IFERROR(AS9/AS$37,"")</f>
        <v/>
      </c>
      <c r="AT39" s="18">
        <f>IFERROR(AT9/AT$37,"")</f>
        <v/>
      </c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</row>
    <row r="40" ht="15.75" customHeight="1" s="252">
      <c r="A40" s="11" t="inlineStr">
        <is>
          <t>Babak Eftekhari</t>
        </is>
      </c>
      <c r="C40" s="18" t="n"/>
      <c r="D40" s="18">
        <f>IFERROR(D10/D$37,"")</f>
        <v/>
      </c>
      <c r="E40" s="18">
        <f>IFERROR(E10/E$37,"")</f>
        <v/>
      </c>
      <c r="F40" s="18">
        <f>IFERROR(F10/F$37,"")</f>
        <v/>
      </c>
      <c r="G40" s="18">
        <f>IFERROR(G10/G$37,"")</f>
        <v/>
      </c>
      <c r="H40" s="18">
        <f>IFERROR(H10/H$37,"")</f>
        <v/>
      </c>
      <c r="I40" s="18">
        <f>IFERROR(I10/I$37,"")</f>
        <v/>
      </c>
      <c r="J40" s="18">
        <f>IFERROR(J10/J$37,"")</f>
        <v/>
      </c>
      <c r="K40" s="18">
        <f>IFERROR(K10/K$37,"")</f>
        <v/>
      </c>
      <c r="L40" s="18">
        <f>IFERROR(L10/L$37,"")</f>
        <v/>
      </c>
      <c r="M40" s="18">
        <f>IFERROR(M10/M$37,"")</f>
        <v/>
      </c>
      <c r="N40" s="18">
        <f>IFERROR(N10/N$37,"")</f>
        <v/>
      </c>
      <c r="O40" s="18">
        <f>IFERROR(O10/O$37,"")</f>
        <v/>
      </c>
      <c r="P40" s="18">
        <f>IFERROR(P10/P$37,"")</f>
        <v/>
      </c>
      <c r="Q40" s="18">
        <f>IFERROR(Q10/Q$37,"")</f>
        <v/>
      </c>
      <c r="R40" s="18">
        <f>IFERROR(R10/R$37,"")</f>
        <v/>
      </c>
      <c r="S40" s="18">
        <f>IFERROR(S10/S$37,"")</f>
        <v/>
      </c>
      <c r="T40" s="18">
        <f>IFERROR(T10/T$37,"")</f>
        <v/>
      </c>
      <c r="U40" s="18">
        <f>IFERROR(U10/U$37,"")</f>
        <v/>
      </c>
      <c r="V40" s="18">
        <f>IFERROR(V10/V$37,"")</f>
        <v/>
      </c>
      <c r="W40" s="18">
        <f>IFERROR(W10/W$37,"")</f>
        <v/>
      </c>
      <c r="X40" s="18">
        <f>IFERROR(X10/X$37,"")</f>
        <v/>
      </c>
      <c r="Y40" s="18">
        <f>IFERROR(Y10/Y$37,"")</f>
        <v/>
      </c>
      <c r="Z40" s="18">
        <f>IFERROR(Z10/Z$37,"")</f>
        <v/>
      </c>
      <c r="AA40" s="18">
        <f>IFERROR(AA10/AA$37,"")</f>
        <v/>
      </c>
      <c r="AB40" s="18">
        <f>IFERROR(AB10/AB$37,"")</f>
        <v/>
      </c>
      <c r="AC40" s="18">
        <f>IFERROR(AC10/AC$37,"")</f>
        <v/>
      </c>
      <c r="AD40" s="18">
        <f>IFERROR(AD10/AD$37,"")</f>
        <v/>
      </c>
      <c r="AE40" s="18">
        <f>IFERROR(AE10/AE$37,"")</f>
        <v/>
      </c>
      <c r="AF40" s="18">
        <f>IFERROR(AF10/AF$37,"")</f>
        <v/>
      </c>
      <c r="AG40" s="18">
        <f>IFERROR(AG10/AG$37,"")</f>
        <v/>
      </c>
      <c r="AH40" s="18">
        <f>IFERROR(AH10/AH$37,"")</f>
        <v/>
      </c>
      <c r="AI40" s="18">
        <f>IFERROR(AI10/AI$37,"")</f>
        <v/>
      </c>
      <c r="AJ40" s="18">
        <f>IFERROR(AJ10/AJ$37,"")</f>
        <v/>
      </c>
      <c r="AK40" s="18">
        <f>IFERROR(AK10/AK$37,"")</f>
        <v/>
      </c>
      <c r="AL40" s="18">
        <f>IFERROR(AL10/AL$37,"")</f>
        <v/>
      </c>
      <c r="AM40" s="18">
        <f>IFERROR(AM10/AM$37,"")</f>
        <v/>
      </c>
      <c r="AN40" s="18">
        <f>IFERROR(AN10/AN$37,"")</f>
        <v/>
      </c>
      <c r="AO40" s="18">
        <f>IFERROR(AO10/AO$37,"")</f>
        <v/>
      </c>
      <c r="AP40" s="18">
        <f>IFERROR(AP10/AP$37,"")</f>
        <v/>
      </c>
      <c r="AQ40" s="18">
        <f>IFERROR(AQ10/AQ$37,"")</f>
        <v/>
      </c>
      <c r="AR40" s="18">
        <f>IFERROR(AR10/AR$37,"")</f>
        <v/>
      </c>
      <c r="AS40" s="18">
        <f>IFERROR(AS10/AS$37,"")</f>
        <v/>
      </c>
      <c r="AT40" s="18">
        <f>IFERROR(AT10/AT$37,"")</f>
        <v/>
      </c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</row>
    <row r="41" ht="15.75" customHeight="1" s="252">
      <c r="A41" s="11" t="inlineStr">
        <is>
          <t>julien grunebaum</t>
        </is>
      </c>
      <c r="C41" s="18" t="n"/>
      <c r="D41" s="18">
        <f>IFERROR(D12/D$37,"")</f>
        <v/>
      </c>
      <c r="E41" s="18">
        <f>IFERROR(E12/E$37,"")</f>
        <v/>
      </c>
      <c r="F41" s="18">
        <f>IFERROR(F12/F$37,"")</f>
        <v/>
      </c>
      <c r="G41" s="18">
        <f>IFERROR(G12/G$37,"")</f>
        <v/>
      </c>
      <c r="H41" s="18">
        <f>IFERROR(H12/H$37,"")</f>
        <v/>
      </c>
      <c r="I41" s="18">
        <f>IFERROR(I12/I$37,"")</f>
        <v/>
      </c>
      <c r="J41" s="18">
        <f>IFERROR(J12/J$37,"")</f>
        <v/>
      </c>
      <c r="K41" s="18">
        <f>IFERROR(K12/K$37,"")</f>
        <v/>
      </c>
      <c r="L41" s="18">
        <f>IFERROR(L12/L$37,"")</f>
        <v/>
      </c>
      <c r="M41" s="18">
        <f>IFERROR(M12/M$37,"")</f>
        <v/>
      </c>
      <c r="N41" s="18">
        <f>IFERROR(N12/N$37,"")</f>
        <v/>
      </c>
      <c r="O41" s="18">
        <f>IFERROR(O12/O$37,"")</f>
        <v/>
      </c>
      <c r="P41" s="18">
        <f>IFERROR(P12/P$37,"")</f>
        <v/>
      </c>
      <c r="Q41" s="18">
        <f>IFERROR(Q12/Q$37,"")</f>
        <v/>
      </c>
      <c r="R41" s="18">
        <f>IFERROR(R12/R$37,"")</f>
        <v/>
      </c>
      <c r="S41" s="18">
        <f>IFERROR(S12/S$37,"")</f>
        <v/>
      </c>
      <c r="T41" s="18">
        <f>IFERROR(T12/T$37,"")</f>
        <v/>
      </c>
      <c r="U41" s="18">
        <f>IFERROR(U12/U$37,"")</f>
        <v/>
      </c>
      <c r="V41" s="18">
        <f>IFERROR(V12/V$37,"")</f>
        <v/>
      </c>
      <c r="W41" s="18">
        <f>IFERROR(W12/W$37,"")</f>
        <v/>
      </c>
      <c r="X41" s="18">
        <f>IFERROR(X12/X$37,"")</f>
        <v/>
      </c>
      <c r="Y41" s="18">
        <f>IFERROR(Y12/Y$37,"")</f>
        <v/>
      </c>
      <c r="Z41" s="18">
        <f>IFERROR(Z12/Z$37,"")</f>
        <v/>
      </c>
      <c r="AA41" s="18">
        <f>IFERROR(AA12/AA$37,"")</f>
        <v/>
      </c>
      <c r="AB41" s="18">
        <f>IFERROR(AB12/AB$37,"")</f>
        <v/>
      </c>
      <c r="AC41" s="18">
        <f>IFERROR(AC12/AC$37,"")</f>
        <v/>
      </c>
      <c r="AD41" s="18">
        <f>IFERROR(AD12/AD$37,"")</f>
        <v/>
      </c>
      <c r="AE41" s="18">
        <f>IFERROR(AE12/AE$37,"")</f>
        <v/>
      </c>
      <c r="AF41" s="18">
        <f>IFERROR(AF12/AF$37,"")</f>
        <v/>
      </c>
      <c r="AG41" s="18">
        <f>IFERROR(AG12/AG$37,"")</f>
        <v/>
      </c>
      <c r="AH41" s="18">
        <f>IFERROR(AH12/AH$37,"")</f>
        <v/>
      </c>
      <c r="AI41" s="18">
        <f>IFERROR(AI12/AI$37,"")</f>
        <v/>
      </c>
      <c r="AJ41" s="18">
        <f>IFERROR(AJ12/AJ$37,"")</f>
        <v/>
      </c>
      <c r="AK41" s="18">
        <f>IFERROR(AK12/AK$37,"")</f>
        <v/>
      </c>
      <c r="AL41" s="18">
        <f>IFERROR(AL12/AL$37,"")</f>
        <v/>
      </c>
      <c r="AM41" s="18">
        <f>IFERROR(AM12/AM$37,"")</f>
        <v/>
      </c>
      <c r="AN41" s="18">
        <f>IFERROR(AN12/AN$37,"")</f>
        <v/>
      </c>
      <c r="AO41" s="18">
        <f>IFERROR(AO12/AO$37,"")</f>
        <v/>
      </c>
      <c r="AP41" s="18">
        <f>IFERROR(AP12/AP$37,"")</f>
        <v/>
      </c>
      <c r="AQ41" s="18">
        <f>IFERROR(AQ12/AQ$37,"")</f>
        <v/>
      </c>
      <c r="AR41" s="18">
        <f>IFERROR(AR12/AR$37,"")</f>
        <v/>
      </c>
      <c r="AS41" s="18">
        <f>IFERROR(AS12/AS$37,"")</f>
        <v/>
      </c>
      <c r="AT41" s="18">
        <f>IFERROR(AT12/AT$37,"")</f>
        <v/>
      </c>
    </row>
    <row r="42" ht="15.75" customHeight="1" s="252">
      <c r="A42" s="11" t="inlineStr">
        <is>
          <t>daniele francilia</t>
        </is>
      </c>
      <c r="C42" s="18" t="n"/>
      <c r="D42" s="18">
        <f>IFERROR(D13/D$37,"")</f>
        <v/>
      </c>
      <c r="E42" s="18">
        <f>IFERROR(E13/E$37,"")</f>
        <v/>
      </c>
      <c r="F42" s="18">
        <f>IFERROR(F13/F$37,"")</f>
        <v/>
      </c>
      <c r="G42" s="18">
        <f>IFERROR(G13/G$37,"")</f>
        <v/>
      </c>
      <c r="H42" s="18">
        <f>IFERROR(H13/H$37,"")</f>
        <v/>
      </c>
      <c r="I42" s="18">
        <f>IFERROR(I13/I$37,"")</f>
        <v/>
      </c>
      <c r="J42" s="18">
        <f>IFERROR(J13/J$37,"")</f>
        <v/>
      </c>
      <c r="K42" s="18">
        <f>IFERROR(K13/K$37,"")</f>
        <v/>
      </c>
      <c r="L42" s="18">
        <f>IFERROR(L13/L$37,"")</f>
        <v/>
      </c>
      <c r="M42" s="18">
        <f>IFERROR(M13/M$37,"")</f>
        <v/>
      </c>
      <c r="N42" s="18">
        <f>IFERROR(N13/N$37,"")</f>
        <v/>
      </c>
      <c r="O42" s="18">
        <f>IFERROR(O13/O$37,"")</f>
        <v/>
      </c>
      <c r="P42" s="18">
        <f>IFERROR(P13/P$37,"")</f>
        <v/>
      </c>
      <c r="Q42" s="18">
        <f>IFERROR(Q13/Q$37,"")</f>
        <v/>
      </c>
      <c r="R42" s="18">
        <f>IFERROR(R13/R$37,"")</f>
        <v/>
      </c>
      <c r="S42" s="18">
        <f>IFERROR(S13/S$37,"")</f>
        <v/>
      </c>
      <c r="T42" s="18">
        <f>IFERROR(T13/T$37,"")</f>
        <v/>
      </c>
      <c r="U42" s="18">
        <f>IFERROR(U13/U$37,"")</f>
        <v/>
      </c>
      <c r="V42" s="18">
        <f>IFERROR(V13/V$37,"")</f>
        <v/>
      </c>
      <c r="W42" s="18">
        <f>IFERROR(W13/W$37,"")</f>
        <v/>
      </c>
      <c r="X42" s="18">
        <f>IFERROR(X13/X$37,"")</f>
        <v/>
      </c>
      <c r="Y42" s="18">
        <f>IFERROR(Y13/Y$37,"")</f>
        <v/>
      </c>
      <c r="Z42" s="18">
        <f>IFERROR(Z13/Z$37,"")</f>
        <v/>
      </c>
      <c r="AA42" s="18">
        <f>IFERROR(AA13/AA$37,"")</f>
        <v/>
      </c>
      <c r="AB42" s="18">
        <f>IFERROR(AB13/AB$37,"")</f>
        <v/>
      </c>
      <c r="AC42" s="18">
        <f>IFERROR(AC13/AC$37,"")</f>
        <v/>
      </c>
      <c r="AD42" s="18">
        <f>IFERROR(AD13/AD$37,"")</f>
        <v/>
      </c>
      <c r="AE42" s="18">
        <f>IFERROR(AE13/AE$37,"")</f>
        <v/>
      </c>
      <c r="AF42" s="18">
        <f>IFERROR(AF13/AF$37,"")</f>
        <v/>
      </c>
      <c r="AG42" s="18">
        <f>IFERROR(AG13/AG$37,"")</f>
        <v/>
      </c>
      <c r="AH42" s="18">
        <f>IFERROR(AH13/AH$37,"")</f>
        <v/>
      </c>
      <c r="AI42" s="18">
        <f>IFERROR(AI13/AI$37,"")</f>
        <v/>
      </c>
      <c r="AJ42" s="18">
        <f>IFERROR(AJ13/AJ$37,"")</f>
        <v/>
      </c>
      <c r="AK42" s="18">
        <f>IFERROR(AK13/AK$37,"")</f>
        <v/>
      </c>
      <c r="AL42" s="18">
        <f>IFERROR(AL13/AL$37,"")</f>
        <v/>
      </c>
      <c r="AM42" s="18">
        <f>IFERROR(AM13/AM$37,"")</f>
        <v/>
      </c>
      <c r="AN42" s="18">
        <f>IFERROR(AN13/AN$37,"")</f>
        <v/>
      </c>
      <c r="AO42" s="18">
        <f>IFERROR(AO13/AO$37,"")</f>
        <v/>
      </c>
      <c r="AP42" s="18">
        <f>IFERROR(AP13/AP$37,"")</f>
        <v/>
      </c>
      <c r="AQ42" s="18">
        <f>IFERROR(AQ13/AQ$37,"")</f>
        <v/>
      </c>
      <c r="AR42" s="18">
        <f>IFERROR(AR13/AR$37,"")</f>
        <v/>
      </c>
      <c r="AS42" s="18">
        <f>IFERROR(AS13/AS$37,"")</f>
        <v/>
      </c>
      <c r="AT42" s="18">
        <f>IFERROR(AT13/AT$37,"")</f>
        <v/>
      </c>
      <c r="AU42" s="44" t="n"/>
      <c r="AV42" s="44" t="n"/>
      <c r="AW42" s="44" t="n"/>
      <c r="AX42" s="44" t="n"/>
      <c r="AY42" s="44" t="n"/>
      <c r="AZ42" s="44" t="n"/>
      <c r="BA42" s="44" t="n"/>
      <c r="BB42" s="44" t="n"/>
      <c r="BC42" s="44" t="n"/>
      <c r="BD42" s="44" t="n"/>
      <c r="BE42" s="44" t="n"/>
      <c r="BF42" s="44" t="n"/>
      <c r="BG42" s="44" t="n"/>
      <c r="BH42" s="44" t="n"/>
      <c r="BI42" s="44" t="n"/>
      <c r="BJ42" s="44" t="n"/>
      <c r="BK42" s="44" t="n"/>
      <c r="BL42" s="44" t="n"/>
      <c r="BM42" s="44" t="n"/>
      <c r="BN42" s="44" t="n"/>
    </row>
    <row r="43" ht="15.75" customHeight="1" s="252">
      <c r="A43" s="11" t="inlineStr">
        <is>
          <t>pierre bezencon</t>
        </is>
      </c>
      <c r="C43" s="18" t="n"/>
      <c r="D43" s="18">
        <f>IFERROR(D14/D$37,"")</f>
        <v/>
      </c>
      <c r="E43" s="18">
        <f>IFERROR(E14/E$37,"")</f>
        <v/>
      </c>
      <c r="F43" s="18">
        <f>IFERROR(F14/F$37,"")</f>
        <v/>
      </c>
      <c r="G43" s="18">
        <f>IFERROR(G14/G$37,"")</f>
        <v/>
      </c>
      <c r="H43" s="18">
        <f>IFERROR(H14/H$37,"")</f>
        <v/>
      </c>
      <c r="I43" s="18">
        <f>IFERROR(I14/I$37,"")</f>
        <v/>
      </c>
      <c r="J43" s="18">
        <f>IFERROR(J14/J$37,"")</f>
        <v/>
      </c>
      <c r="K43" s="18">
        <f>IFERROR(K14/K$37,"")</f>
        <v/>
      </c>
      <c r="L43" s="18">
        <f>IFERROR(L14/L$37,"")</f>
        <v/>
      </c>
      <c r="M43" s="18">
        <f>IFERROR(M14/M$37,"")</f>
        <v/>
      </c>
      <c r="N43" s="18">
        <f>IFERROR(N14/N$37,"")</f>
        <v/>
      </c>
      <c r="O43" s="18">
        <f>IFERROR(O14/O$37,"")</f>
        <v/>
      </c>
      <c r="P43" s="18">
        <f>IFERROR(P14/P$37,"")</f>
        <v/>
      </c>
      <c r="Q43" s="18">
        <f>IFERROR(Q14/Q$37,"")</f>
        <v/>
      </c>
      <c r="R43" s="18">
        <f>IFERROR(R14/R$37,"")</f>
        <v/>
      </c>
      <c r="S43" s="18">
        <f>IFERROR(S14/S$37,"")</f>
        <v/>
      </c>
      <c r="T43" s="18">
        <f>IFERROR(T14/T$37,"")</f>
        <v/>
      </c>
      <c r="U43" s="18">
        <f>IFERROR(U14/U$37,"")</f>
        <v/>
      </c>
      <c r="V43" s="18">
        <f>IFERROR(V14/V$37,"")</f>
        <v/>
      </c>
      <c r="W43" s="18">
        <f>IFERROR(W14/W$37,"")</f>
        <v/>
      </c>
      <c r="X43" s="18">
        <f>IFERROR(X14/X$37,"")</f>
        <v/>
      </c>
      <c r="Y43" s="18">
        <f>IFERROR(Y14/Y$37,"")</f>
        <v/>
      </c>
      <c r="Z43" s="18">
        <f>IFERROR(Z14/Z$37,"")</f>
        <v/>
      </c>
      <c r="AA43" s="18">
        <f>IFERROR(AA14/AA$37,"")</f>
        <v/>
      </c>
      <c r="AB43" s="18">
        <f>IFERROR(AB14/AB$37,"")</f>
        <v/>
      </c>
      <c r="AC43" s="18">
        <f>IFERROR(AC14/AC$37,"")</f>
        <v/>
      </c>
      <c r="AD43" s="18">
        <f>IFERROR(AD14/AD$37,"")</f>
        <v/>
      </c>
      <c r="AE43" s="18">
        <f>IFERROR(AE14/AE$37,"")</f>
        <v/>
      </c>
      <c r="AF43" s="18">
        <f>IFERROR(AF14/AF$37,"")</f>
        <v/>
      </c>
      <c r="AG43" s="18">
        <f>IFERROR(AG14/AG$37,"")</f>
        <v/>
      </c>
      <c r="AH43" s="18">
        <f>IFERROR(AH14/AH$37,"")</f>
        <v/>
      </c>
      <c r="AI43" s="18">
        <f>IFERROR(AI14/AI$37,"")</f>
        <v/>
      </c>
      <c r="AJ43" s="18">
        <f>IFERROR(AJ14/AJ$37,"")</f>
        <v/>
      </c>
      <c r="AK43" s="18">
        <f>IFERROR(AK14/AK$37,"")</f>
        <v/>
      </c>
      <c r="AL43" s="18">
        <f>IFERROR(AL14/AL$37,"")</f>
        <v/>
      </c>
      <c r="AM43" s="18">
        <f>IFERROR(AM14/AM$37,"")</f>
        <v/>
      </c>
      <c r="AN43" s="18">
        <f>IFERROR(AN14/AN$37,"")</f>
        <v/>
      </c>
      <c r="AO43" s="18">
        <f>IFERROR(AO14/AO$37,"")</f>
        <v/>
      </c>
      <c r="AP43" s="18">
        <f>IFERROR(AP14/AP$37,"")</f>
        <v/>
      </c>
      <c r="AQ43" s="18">
        <f>IFERROR(AQ14/AQ$37,"")</f>
        <v/>
      </c>
      <c r="AR43" s="18">
        <f>IFERROR(AR14/AR$37,"")</f>
        <v/>
      </c>
      <c r="AS43" s="18">
        <f>IFERROR(AS14/AS$37,"")</f>
        <v/>
      </c>
      <c r="AT43" s="18">
        <f>IFERROR(AT14/AT$37,"")</f>
        <v/>
      </c>
    </row>
    <row r="44" ht="15.75" customHeight="1" s="252">
      <c r="A44" s="11" t="inlineStr">
        <is>
          <t>matthew beatty</t>
        </is>
      </c>
      <c r="C44" s="18" t="n"/>
      <c r="D44" s="18">
        <f>IFERROR(D15/D$37,"")</f>
        <v/>
      </c>
      <c r="E44" s="18">
        <f>IFERROR(E15/E$37,"")</f>
        <v/>
      </c>
      <c r="F44" s="18">
        <f>IFERROR(F15/F$37,"")</f>
        <v/>
      </c>
      <c r="G44" s="18">
        <f>IFERROR(G15/G$37,"")</f>
        <v/>
      </c>
      <c r="H44" s="18">
        <f>IFERROR(H15/H$37,"")</f>
        <v/>
      </c>
      <c r="I44" s="18">
        <f>IFERROR(I15/I$37,"")</f>
        <v/>
      </c>
      <c r="J44" s="18">
        <f>IFERROR(J15/J$37,"")</f>
        <v/>
      </c>
      <c r="K44" s="18">
        <f>IFERROR(K15/K$37,"")</f>
        <v/>
      </c>
      <c r="L44" s="18">
        <f>IFERROR(L15/L$37,"")</f>
        <v/>
      </c>
      <c r="M44" s="18">
        <f>IFERROR(M15/M$37,"")</f>
        <v/>
      </c>
      <c r="N44" s="18">
        <f>IFERROR(N15/N$37,"")</f>
        <v/>
      </c>
      <c r="O44" s="18">
        <f>IFERROR(O15/O$37,"")</f>
        <v/>
      </c>
      <c r="P44" s="18">
        <f>IFERROR(P15/P$37,"")</f>
        <v/>
      </c>
      <c r="Q44" s="18">
        <f>IFERROR(Q15/Q$37,"")</f>
        <v/>
      </c>
      <c r="R44" s="18">
        <f>IFERROR(R15/R$37,"")</f>
        <v/>
      </c>
      <c r="S44" s="18">
        <f>IFERROR(S15/S$37,"")</f>
        <v/>
      </c>
      <c r="T44" s="18">
        <f>IFERROR(T15/T$37,"")</f>
        <v/>
      </c>
      <c r="U44" s="18">
        <f>IFERROR(U15/U$37,"")</f>
        <v/>
      </c>
      <c r="V44" s="18">
        <f>IFERROR(V15/V$37,"")</f>
        <v/>
      </c>
      <c r="W44" s="18">
        <f>IFERROR(W15/W$37,"")</f>
        <v/>
      </c>
      <c r="X44" s="18">
        <f>IFERROR(X15/X$37,"")</f>
        <v/>
      </c>
      <c r="Y44" s="18">
        <f>IFERROR(Y15/Y$37,"")</f>
        <v/>
      </c>
      <c r="Z44" s="18">
        <f>IFERROR(Z15/Z$37,"")</f>
        <v/>
      </c>
      <c r="AA44" s="18">
        <f>IFERROR(AA15/AA$37,"")</f>
        <v/>
      </c>
      <c r="AB44" s="18">
        <f>IFERROR(AB15/AB$37,"")</f>
        <v/>
      </c>
      <c r="AC44" s="18">
        <f>IFERROR(AC15/AC$37,"")</f>
        <v/>
      </c>
      <c r="AD44" s="18">
        <f>IFERROR(AD15/AD$37,"")</f>
        <v/>
      </c>
      <c r="AE44" s="18">
        <f>IFERROR(AE15/AE$37,"")</f>
        <v/>
      </c>
      <c r="AF44" s="18">
        <f>IFERROR(AF15/AF$37,"")</f>
        <v/>
      </c>
      <c r="AG44" s="18">
        <f>IFERROR(AG15/AG$37,"")</f>
        <v/>
      </c>
      <c r="AH44" s="18">
        <f>IFERROR(AH15/AH$37,"")</f>
        <v/>
      </c>
      <c r="AI44" s="18">
        <f>IFERROR(AI15/AI$37,"")</f>
        <v/>
      </c>
      <c r="AJ44" s="18">
        <f>IFERROR(AJ15/AJ$37,"")</f>
        <v/>
      </c>
      <c r="AK44" s="18">
        <f>IFERROR(AK15/AK$37,"")</f>
        <v/>
      </c>
      <c r="AL44" s="18">
        <f>IFERROR(AL15/AL$37,"")</f>
        <v/>
      </c>
      <c r="AM44" s="18">
        <f>IFERROR(AM15/AM$37,"")</f>
        <v/>
      </c>
      <c r="AN44" s="18">
        <f>IFERROR(AN15/AN$37,"")</f>
        <v/>
      </c>
      <c r="AO44" s="18">
        <f>IFERROR(AO15/AO$37,"")</f>
        <v/>
      </c>
      <c r="AP44" s="18">
        <f>IFERROR(AP15/AP$37,"")</f>
        <v/>
      </c>
      <c r="AQ44" s="18">
        <f>IFERROR(AQ15/AQ$37,"")</f>
        <v/>
      </c>
      <c r="AR44" s="18">
        <f>IFERROR(AR15/AR$37,"")</f>
        <v/>
      </c>
      <c r="AS44" s="18">
        <f>IFERROR(AS15/AS$37,"")</f>
        <v/>
      </c>
      <c r="AT44" s="18">
        <f>IFERROR(AT15/AT$37,"")</f>
        <v/>
      </c>
    </row>
    <row r="45" ht="15.75" customHeight="1" s="252">
      <c r="A45" s="11" t="inlineStr">
        <is>
          <t>bo kriek</t>
        </is>
      </c>
      <c r="C45" s="18" t="n"/>
      <c r="D45" s="18">
        <f>IFERROR(D16/D$37,"")</f>
        <v/>
      </c>
      <c r="E45" s="18">
        <f>IFERROR(E16/E$37,"")</f>
        <v/>
      </c>
      <c r="F45" s="18">
        <f>IFERROR(F16/F$37,"")</f>
        <v/>
      </c>
      <c r="G45" s="18">
        <f>IFERROR(G16/G$37,"")</f>
        <v/>
      </c>
      <c r="H45" s="18">
        <f>IFERROR(H16/H$37,"")</f>
        <v/>
      </c>
      <c r="I45" s="18">
        <f>IFERROR(I16/I$37,"")</f>
        <v/>
      </c>
      <c r="J45" s="18">
        <f>IFERROR(J16/J$37,"")</f>
        <v/>
      </c>
      <c r="K45" s="18">
        <f>IFERROR(K16/K$37,"")</f>
        <v/>
      </c>
      <c r="L45" s="18">
        <f>IFERROR(L16/L$37,"")</f>
        <v/>
      </c>
      <c r="M45" s="18">
        <f>IFERROR(M16/M$37,"")</f>
        <v/>
      </c>
      <c r="N45" s="18">
        <f>IFERROR(N16/N$37,"")</f>
        <v/>
      </c>
      <c r="O45" s="18">
        <f>IFERROR(O16/O$37,"")</f>
        <v/>
      </c>
      <c r="P45" s="18">
        <f>IFERROR(P16/P$37,"")</f>
        <v/>
      </c>
      <c r="Q45" s="18">
        <f>IFERROR(Q16/Q$37,"")</f>
        <v/>
      </c>
      <c r="R45" s="18">
        <f>IFERROR(R16/R$37,"")</f>
        <v/>
      </c>
      <c r="S45" s="18">
        <f>IFERROR(S16/S$37,"")</f>
        <v/>
      </c>
      <c r="T45" s="18">
        <f>IFERROR(T16/T$37,"")</f>
        <v/>
      </c>
      <c r="U45" s="18">
        <f>IFERROR(U16/U$37,"")</f>
        <v/>
      </c>
      <c r="V45" s="18">
        <f>IFERROR(V16/V$37,"")</f>
        <v/>
      </c>
      <c r="W45" s="18">
        <f>IFERROR(W16/W$37,"")</f>
        <v/>
      </c>
      <c r="X45" s="18">
        <f>IFERROR(X16/X$37,"")</f>
        <v/>
      </c>
      <c r="Y45" s="18">
        <f>IFERROR(Y16/Y$37,"")</f>
        <v/>
      </c>
      <c r="Z45" s="18">
        <f>IFERROR(Z16/Z$37,"")</f>
        <v/>
      </c>
      <c r="AA45" s="18">
        <f>IFERROR(AA16/AA$37,"")</f>
        <v/>
      </c>
      <c r="AB45" s="18">
        <f>IFERROR(AB16/AB$37,"")</f>
        <v/>
      </c>
      <c r="AC45" s="18">
        <f>IFERROR(AC16/AC$37,"")</f>
        <v/>
      </c>
      <c r="AD45" s="18">
        <f>IFERROR(AD16/AD$37,"")</f>
        <v/>
      </c>
      <c r="AE45" s="18">
        <f>IFERROR(AE16/AE$37,"")</f>
        <v/>
      </c>
      <c r="AF45" s="18">
        <f>IFERROR(AF16/AF$37,"")</f>
        <v/>
      </c>
      <c r="AG45" s="18">
        <f>IFERROR(AG16/AG$37,"")</f>
        <v/>
      </c>
      <c r="AH45" s="18">
        <f>IFERROR(AH16/AH$37,"")</f>
        <v/>
      </c>
      <c r="AI45" s="18">
        <f>IFERROR(AI16/AI$37,"")</f>
        <v/>
      </c>
      <c r="AJ45" s="18">
        <f>IFERROR(AJ16/AJ$37,"")</f>
        <v/>
      </c>
      <c r="AK45" s="18">
        <f>IFERROR(AK16/AK$37,"")</f>
        <v/>
      </c>
      <c r="AL45" s="18">
        <f>IFERROR(AL16/AL$37,"")</f>
        <v/>
      </c>
      <c r="AM45" s="18">
        <f>IFERROR(AM16/AM$37,"")</f>
        <v/>
      </c>
      <c r="AN45" s="18">
        <f>IFERROR(AN16/AN$37,"")</f>
        <v/>
      </c>
      <c r="AO45" s="18">
        <f>IFERROR(AO16/AO$37,"")</f>
        <v/>
      </c>
      <c r="AP45" s="18">
        <f>IFERROR(AP16/AP$37,"")</f>
        <v/>
      </c>
      <c r="AQ45" s="18">
        <f>IFERROR(AQ16/AQ$37,"")</f>
        <v/>
      </c>
      <c r="AR45" s="18">
        <f>IFERROR(AR16/AR$37,"")</f>
        <v/>
      </c>
      <c r="AS45" s="18">
        <f>IFERROR(AS16/AS$37,"")</f>
        <v/>
      </c>
      <c r="AT45" s="18">
        <f>IFERROR(AT16/AT$37,"")</f>
        <v/>
      </c>
    </row>
    <row r="46" ht="15.75" customHeight="1" s="252">
      <c r="A46" s="11" t="inlineStr">
        <is>
          <t>Dario Deiana</t>
        </is>
      </c>
      <c r="B46" s="7" t="n"/>
      <c r="C46" s="18" t="n"/>
      <c r="D46" s="18">
        <f>IFERROR(D17/D$37,"")</f>
        <v/>
      </c>
      <c r="E46" s="18">
        <f>IFERROR(E17/E$37,"")</f>
        <v/>
      </c>
      <c r="F46" s="18">
        <f>IFERROR(F17/F$37,"")</f>
        <v/>
      </c>
      <c r="G46" s="18">
        <f>IFERROR(G17/G$37,"")</f>
        <v/>
      </c>
      <c r="H46" s="18">
        <f>IFERROR(H17/H$37,"")</f>
        <v/>
      </c>
      <c r="I46" s="18">
        <f>IFERROR(I17/I$37,"")</f>
        <v/>
      </c>
      <c r="J46" s="18">
        <f>IFERROR(J17/J$37,"")</f>
        <v/>
      </c>
      <c r="K46" s="18">
        <f>IFERROR(K17/K$37,"")</f>
        <v/>
      </c>
      <c r="L46" s="18">
        <f>IFERROR(L17/L$37,"")</f>
        <v/>
      </c>
      <c r="M46" s="18">
        <f>IFERROR(M17/M$37,"")</f>
        <v/>
      </c>
      <c r="N46" s="18">
        <f>IFERROR(N17/N$37,"")</f>
        <v/>
      </c>
      <c r="O46" s="18">
        <f>IFERROR(O17/O$37,"")</f>
        <v/>
      </c>
      <c r="P46" s="18">
        <f>IFERROR(P17/P$37,"")</f>
        <v/>
      </c>
      <c r="Q46" s="18">
        <f>IFERROR(Q17/Q$37,"")</f>
        <v/>
      </c>
      <c r="R46" s="18">
        <f>IFERROR(R17/R$37,"")</f>
        <v/>
      </c>
      <c r="S46" s="18">
        <f>IFERROR(S17/S$37,"")</f>
        <v/>
      </c>
      <c r="T46" s="18">
        <f>IFERROR(T17/T$37,"")</f>
        <v/>
      </c>
      <c r="U46" s="18">
        <f>IFERROR(U17/U$37,"")</f>
        <v/>
      </c>
      <c r="V46" s="18">
        <f>IFERROR(V17/V$37,"")</f>
        <v/>
      </c>
      <c r="W46" s="18">
        <f>IFERROR(W17/W$37,"")</f>
        <v/>
      </c>
      <c r="X46" s="18">
        <f>IFERROR(X17/X$37,"")</f>
        <v/>
      </c>
      <c r="Y46" s="18">
        <f>IFERROR(Y17/Y$37,"")</f>
        <v/>
      </c>
      <c r="Z46" s="18">
        <f>IFERROR(Z17/Z$37,"")</f>
        <v/>
      </c>
      <c r="AA46" s="18">
        <f>IFERROR(AA17/AA$37,"")</f>
        <v/>
      </c>
      <c r="AB46" s="18">
        <f>IFERROR(AB17/AB$37,"")</f>
        <v/>
      </c>
      <c r="AC46" s="18">
        <f>IFERROR(AC17/AC$37,"")</f>
        <v/>
      </c>
      <c r="AD46" s="18">
        <f>IFERROR(AD17/AD$37,"")</f>
        <v/>
      </c>
      <c r="AE46" s="18">
        <f>IFERROR(AE17/AE$37,"")</f>
        <v/>
      </c>
      <c r="AF46" s="18">
        <f>IFERROR(AF17/AF$37,"")</f>
        <v/>
      </c>
      <c r="AG46" s="18">
        <f>IFERROR(AG17/AG$37,"")</f>
        <v/>
      </c>
      <c r="AH46" s="18">
        <f>IFERROR(AH17/AH$37,"")</f>
        <v/>
      </c>
      <c r="AI46" s="18">
        <f>IFERROR(AI17/AI$37,"")</f>
        <v/>
      </c>
      <c r="AJ46" s="18">
        <f>IFERROR(AJ17/AJ$37,"")</f>
        <v/>
      </c>
      <c r="AK46" s="18">
        <f>IFERROR(AK17/AK$37,"")</f>
        <v/>
      </c>
      <c r="AL46" s="18">
        <f>IFERROR(AL17/AL$37,"")</f>
        <v/>
      </c>
      <c r="AM46" s="18">
        <f>IFERROR(AM17/AM$37,"")</f>
        <v/>
      </c>
      <c r="AN46" s="18">
        <f>IFERROR(AN17/AN$37,"")</f>
        <v/>
      </c>
      <c r="AO46" s="18">
        <f>IFERROR(AO17/AO$37,"")</f>
        <v/>
      </c>
      <c r="AP46" s="18">
        <f>IFERROR(AP17/AP$37,"")</f>
        <v/>
      </c>
      <c r="AQ46" s="18">
        <f>IFERROR(AQ17/AQ$37,"")</f>
        <v/>
      </c>
      <c r="AR46" s="18">
        <f>IFERROR(AR17/AR$37,"")</f>
        <v/>
      </c>
      <c r="AS46" s="18">
        <f>IFERROR(AS17/AS$37,"")</f>
        <v/>
      </c>
      <c r="AT46" s="18">
        <f>IFERROR(AT17/AT$37,"")</f>
        <v/>
      </c>
    </row>
    <row r="47" ht="15.75" customHeight="1" s="252">
      <c r="A47" s="11" t="inlineStr">
        <is>
          <t>alain bensimon</t>
        </is>
      </c>
      <c r="B47" s="7" t="n"/>
      <c r="C47" s="18" t="n"/>
      <c r="D47" s="18">
        <f>IFERROR(D18/D$37,"")</f>
        <v/>
      </c>
      <c r="E47" s="18">
        <f>IFERROR(E18/E$37,"")</f>
        <v/>
      </c>
      <c r="F47" s="18">
        <f>IFERROR(F18/F$37,"")</f>
        <v/>
      </c>
      <c r="G47" s="18">
        <f>IFERROR(G18/G$37,"")</f>
        <v/>
      </c>
      <c r="H47" s="18">
        <f>IFERROR(H18/H$37,"")</f>
        <v/>
      </c>
      <c r="I47" s="18">
        <f>IFERROR(I18/I$37,"")</f>
        <v/>
      </c>
      <c r="J47" s="18">
        <f>IFERROR(J18/J$37,"")</f>
        <v/>
      </c>
      <c r="K47" s="18">
        <f>IFERROR(K18/K$37,"")</f>
        <v/>
      </c>
      <c r="L47" s="18">
        <f>IFERROR(L18/L$37,"")</f>
        <v/>
      </c>
      <c r="M47" s="18">
        <f>IFERROR(M18/M$37,"")</f>
        <v/>
      </c>
      <c r="N47" s="18">
        <f>IFERROR(N18/N$37,"")</f>
        <v/>
      </c>
      <c r="O47" s="18">
        <f>IFERROR(O18/O$37,"")</f>
        <v/>
      </c>
      <c r="P47" s="18">
        <f>IFERROR(P18/P$37,"")</f>
        <v/>
      </c>
      <c r="Q47" s="18">
        <f>IFERROR(Q18/Q$37,"")</f>
        <v/>
      </c>
      <c r="R47" s="18">
        <f>IFERROR(R18/R$37,"")</f>
        <v/>
      </c>
      <c r="S47" s="18">
        <f>IFERROR(S18/S$37,"")</f>
        <v/>
      </c>
      <c r="T47" s="18">
        <f>IFERROR(T18/T$37,"")</f>
        <v/>
      </c>
      <c r="U47" s="18">
        <f>IFERROR(U18/U$37,"")</f>
        <v/>
      </c>
      <c r="V47" s="18">
        <f>IFERROR(V18/V$37,"")</f>
        <v/>
      </c>
      <c r="W47" s="18">
        <f>IFERROR(W18/W$37,"")</f>
        <v/>
      </c>
      <c r="X47" s="18">
        <f>IFERROR(X18/X$37,"")</f>
        <v/>
      </c>
      <c r="Y47" s="18">
        <f>IFERROR(Y18/Y$37,"")</f>
        <v/>
      </c>
      <c r="Z47" s="18">
        <f>IFERROR(Z18/Z$37,"")</f>
        <v/>
      </c>
      <c r="AA47" s="18">
        <f>IFERROR(AA18/AA$37,"")</f>
        <v/>
      </c>
      <c r="AB47" s="18">
        <f>IFERROR(AB18/AB$37,"")</f>
        <v/>
      </c>
      <c r="AC47" s="18">
        <f>IFERROR(AC18/AC$37,"")</f>
        <v/>
      </c>
      <c r="AD47" s="18">
        <f>IFERROR(AD18/AD$37,"")</f>
        <v/>
      </c>
      <c r="AE47" s="18">
        <f>IFERROR(AE18/AE$37,"")</f>
        <v/>
      </c>
      <c r="AF47" s="18">
        <f>IFERROR(AF18/AF$37,"")</f>
        <v/>
      </c>
      <c r="AG47" s="18">
        <f>IFERROR(AG18/AG$37,"")</f>
        <v/>
      </c>
      <c r="AH47" s="18">
        <f>IFERROR(AH18/AH$37,"")</f>
        <v/>
      </c>
      <c r="AI47" s="18">
        <f>IFERROR(AI18/AI$37,"")</f>
        <v/>
      </c>
      <c r="AJ47" s="18">
        <f>IFERROR(AJ18/AJ$37,"")</f>
        <v/>
      </c>
      <c r="AK47" s="18">
        <f>IFERROR(AK18/AK$37,"")</f>
        <v/>
      </c>
      <c r="AL47" s="18">
        <f>IFERROR(AL18/AL$37,"")</f>
        <v/>
      </c>
      <c r="AM47" s="18">
        <f>IFERROR(AM18/AM$37,"")</f>
        <v/>
      </c>
      <c r="AN47" s="18">
        <f>IFERROR(AN18/AN$37,"")</f>
        <v/>
      </c>
      <c r="AO47" s="18">
        <f>IFERROR(AO18/AO$37,"")</f>
        <v/>
      </c>
      <c r="AP47" s="18">
        <f>IFERROR(AP18/AP$37,"")</f>
        <v/>
      </c>
      <c r="AQ47" s="18">
        <f>IFERROR(AQ18/AQ$37,"")</f>
        <v/>
      </c>
      <c r="AR47" s="18">
        <f>IFERROR(AR18/AR$37,"")</f>
        <v/>
      </c>
      <c r="AS47" s="18">
        <f>IFERROR(AS18/AS$37,"")</f>
        <v/>
      </c>
      <c r="AT47" s="18">
        <f>IFERROR(AT18/AT$37,"")</f>
        <v/>
      </c>
    </row>
    <row r="48" ht="15.75" customHeight="1" s="252">
      <c r="A48" s="11" t="inlineStr">
        <is>
          <t>anne cecile noique</t>
        </is>
      </c>
      <c r="B48" s="7" t="n"/>
      <c r="C48" s="18" t="n"/>
      <c r="D48" s="18">
        <f>IFERROR(D19/D$37,"")</f>
        <v/>
      </c>
      <c r="E48" s="18">
        <f>IFERROR(E19/E$37,"")</f>
        <v/>
      </c>
      <c r="F48" s="18">
        <f>IFERROR(F19/F$37,"")</f>
        <v/>
      </c>
      <c r="G48" s="18">
        <f>IFERROR(G19/G$37,"")</f>
        <v/>
      </c>
      <c r="H48" s="18">
        <f>IFERROR(H19/H$37,"")</f>
        <v/>
      </c>
      <c r="I48" s="18">
        <f>IFERROR(I19/I$37,"")</f>
        <v/>
      </c>
      <c r="J48" s="18">
        <f>IFERROR(J19/J$37,"")</f>
        <v/>
      </c>
      <c r="K48" s="18">
        <f>IFERROR(K19/K$37,"")</f>
        <v/>
      </c>
      <c r="L48" s="18">
        <f>IFERROR(L19/L$37,"")</f>
        <v/>
      </c>
      <c r="M48" s="18">
        <f>IFERROR(M19/M$37,"")</f>
        <v/>
      </c>
      <c r="N48" s="18">
        <f>IFERROR(N19/N$37,"")</f>
        <v/>
      </c>
      <c r="O48" s="18">
        <f>IFERROR(O19/O$37,"")</f>
        <v/>
      </c>
      <c r="P48" s="18">
        <f>IFERROR(P19/P$37,"")</f>
        <v/>
      </c>
      <c r="Q48" s="18">
        <f>IFERROR(Q19/Q$37,"")</f>
        <v/>
      </c>
      <c r="R48" s="18">
        <f>IFERROR(R19/R$37,"")</f>
        <v/>
      </c>
      <c r="S48" s="18">
        <f>IFERROR(S19/S$37,"")</f>
        <v/>
      </c>
      <c r="T48" s="18">
        <f>IFERROR(T19/T$37,"")</f>
        <v/>
      </c>
      <c r="U48" s="18">
        <f>IFERROR(U19/U$37,"")</f>
        <v/>
      </c>
      <c r="V48" s="18">
        <f>IFERROR(V19/V$37,"")</f>
        <v/>
      </c>
      <c r="W48" s="18">
        <f>IFERROR(W19/W$37,"")</f>
        <v/>
      </c>
      <c r="X48" s="18">
        <f>IFERROR(X19/X$37,"")</f>
        <v/>
      </c>
      <c r="Y48" s="18">
        <f>IFERROR(Y19/Y$37,"")</f>
        <v/>
      </c>
      <c r="Z48" s="18">
        <f>IFERROR(Z19/Z$37,"")</f>
        <v/>
      </c>
      <c r="AA48" s="18">
        <f>IFERROR(AA19/AA$37,"")</f>
        <v/>
      </c>
      <c r="AB48" s="18">
        <f>IFERROR(AB19/AB$37,"")</f>
        <v/>
      </c>
      <c r="AC48" s="18">
        <f>IFERROR(AC19/AC$37,"")</f>
        <v/>
      </c>
      <c r="AD48" s="18">
        <f>IFERROR(AD19/AD$37,"")</f>
        <v/>
      </c>
      <c r="AE48" s="18">
        <f>IFERROR(AE19/AE$37,"")</f>
        <v/>
      </c>
      <c r="AF48" s="18">
        <f>IFERROR(AF19/AF$37,"")</f>
        <v/>
      </c>
      <c r="AG48" s="18">
        <f>IFERROR(AG19/AG$37,"")</f>
        <v/>
      </c>
      <c r="AH48" s="18">
        <f>IFERROR(AH19/AH$37,"")</f>
        <v/>
      </c>
      <c r="AI48" s="18">
        <f>IFERROR(AI19/AI$37,"")</f>
        <v/>
      </c>
      <c r="AJ48" s="18">
        <f>IFERROR(AJ19/AJ$37,"")</f>
        <v/>
      </c>
      <c r="AK48" s="18">
        <f>IFERROR(AK19/AK$37,"")</f>
        <v/>
      </c>
      <c r="AL48" s="18">
        <f>IFERROR(AL19/AL$37,"")</f>
        <v/>
      </c>
      <c r="AM48" s="18">
        <f>IFERROR(AM19/AM$37,"")</f>
        <v/>
      </c>
      <c r="AN48" s="18">
        <f>IFERROR(AN19/AN$37,"")</f>
        <v/>
      </c>
      <c r="AO48" s="18">
        <f>IFERROR(AO19/AO$37,"")</f>
        <v/>
      </c>
      <c r="AP48" s="18">
        <f>IFERROR(AP19/AP$37,"")</f>
        <v/>
      </c>
      <c r="AQ48" s="18">
        <f>IFERROR(AQ19/AQ$37,"")</f>
        <v/>
      </c>
      <c r="AR48" s="18">
        <f>IFERROR(AR19/AR$37,"")</f>
        <v/>
      </c>
      <c r="AS48" s="18">
        <f>IFERROR(AS19/AS$37,"")</f>
        <v/>
      </c>
      <c r="AT48" s="18">
        <f>IFERROR(AT19/AT$37,"")</f>
        <v/>
      </c>
    </row>
    <row r="49" ht="15.75" customHeight="1" s="252">
      <c r="A49" s="11" t="inlineStr">
        <is>
          <t>terance chen</t>
        </is>
      </c>
      <c r="B49" s="7" t="n"/>
      <c r="C49" s="18" t="n"/>
      <c r="D49" s="18">
        <f>IFERROR(D20/D$37,"")</f>
        <v/>
      </c>
      <c r="E49" s="18">
        <f>IFERROR(E20/E$37,"")</f>
        <v/>
      </c>
      <c r="F49" s="18">
        <f>IFERROR(F20/F$37,"")</f>
        <v/>
      </c>
      <c r="G49" s="18">
        <f>IFERROR(G20/G$37,"")</f>
        <v/>
      </c>
      <c r="H49" s="18">
        <f>IFERROR(H20/H$37,"")</f>
        <v/>
      </c>
      <c r="I49" s="18">
        <f>IFERROR(I20/I$37,"")</f>
        <v/>
      </c>
      <c r="J49" s="18">
        <f>IFERROR(J20/J$37,"")</f>
        <v/>
      </c>
      <c r="K49" s="18">
        <f>IFERROR(K20/K$37,"")</f>
        <v/>
      </c>
      <c r="L49" s="18">
        <f>IFERROR(L20/L$37,"")</f>
        <v/>
      </c>
      <c r="M49" s="18">
        <f>IFERROR(M20/M$37,"")</f>
        <v/>
      </c>
      <c r="N49" s="18">
        <f>IFERROR(N20/N$37,"")</f>
        <v/>
      </c>
      <c r="O49" s="18">
        <f>IFERROR(O20/O$37,"")</f>
        <v/>
      </c>
      <c r="P49" s="18">
        <f>IFERROR(P20/P$37,"")</f>
        <v/>
      </c>
      <c r="Q49" s="18">
        <f>IFERROR(Q20/Q$37,"")</f>
        <v/>
      </c>
      <c r="R49" s="18">
        <f>IFERROR(R20/R$37,"")</f>
        <v/>
      </c>
      <c r="S49" s="18">
        <f>IFERROR(S20/S$37,"")</f>
        <v/>
      </c>
      <c r="T49" s="18">
        <f>IFERROR(T20/T$37,"")</f>
        <v/>
      </c>
      <c r="U49" s="18">
        <f>IFERROR(U20/U$37,"")</f>
        <v/>
      </c>
      <c r="V49" s="18">
        <f>IFERROR(V20/V$37,"")</f>
        <v/>
      </c>
      <c r="W49" s="18">
        <f>IFERROR(W20/W$37,"")</f>
        <v/>
      </c>
      <c r="X49" s="18">
        <f>IFERROR(X20/X$37,"")</f>
        <v/>
      </c>
      <c r="Y49" s="18">
        <f>IFERROR(Y20/Y$37,"")</f>
        <v/>
      </c>
      <c r="Z49" s="18">
        <f>IFERROR(Z20/Z$37,"")</f>
        <v/>
      </c>
      <c r="AA49" s="18">
        <f>IFERROR(AA20/AA$37,"")</f>
        <v/>
      </c>
      <c r="AB49" s="18">
        <f>IFERROR(AB20/AB$37,"")</f>
        <v/>
      </c>
      <c r="AC49" s="18">
        <f>IFERROR(AC20/AC$37,"")</f>
        <v/>
      </c>
      <c r="AD49" s="18">
        <f>IFERROR(AD20/AD$37,"")</f>
        <v/>
      </c>
      <c r="AE49" s="18">
        <f>IFERROR(AE20/AE$37,"")</f>
        <v/>
      </c>
      <c r="AF49" s="18">
        <f>IFERROR(AF20/AF$37,"")</f>
        <v/>
      </c>
      <c r="AG49" s="18">
        <f>IFERROR(AG20/AG$37,"")</f>
        <v/>
      </c>
      <c r="AH49" s="18">
        <f>IFERROR(AH20/AH$37,"")</f>
        <v/>
      </c>
      <c r="AI49" s="18">
        <f>IFERROR(AI20/AI$37,"")</f>
        <v/>
      </c>
      <c r="AJ49" s="18">
        <f>IFERROR(AJ20/AJ$37,"")</f>
        <v/>
      </c>
      <c r="AK49" s="18">
        <f>IFERROR(AK20/AK$37,"")</f>
        <v/>
      </c>
      <c r="AL49" s="18">
        <f>IFERROR(AL20/AL$37,"")</f>
        <v/>
      </c>
      <c r="AM49" s="18">
        <f>IFERROR(AM20/AM$37,"")</f>
        <v/>
      </c>
      <c r="AN49" s="18">
        <f>IFERROR(AN20/AN$37,"")</f>
        <v/>
      </c>
      <c r="AO49" s="18">
        <f>IFERROR(AO20/AO$37,"")</f>
        <v/>
      </c>
      <c r="AP49" s="18">
        <f>IFERROR(AP20/AP$37,"")</f>
        <v/>
      </c>
      <c r="AQ49" s="18">
        <f>IFERROR(AQ20/AQ$37,"")</f>
        <v/>
      </c>
      <c r="AR49" s="18">
        <f>IFERROR(AR20/AR$37,"")</f>
        <v/>
      </c>
      <c r="AS49" s="18">
        <f>IFERROR(AS20/AS$37,"")</f>
        <v/>
      </c>
      <c r="AT49" s="18">
        <f>IFERROR(AT20/AT$37,"")</f>
        <v/>
      </c>
    </row>
    <row r="50" ht="15.75" customHeight="1" s="252">
      <c r="A50" s="11" t="inlineStr">
        <is>
          <t>INDIGO Ventures</t>
        </is>
      </c>
      <c r="C50" s="18" t="n"/>
      <c r="D50" s="18">
        <f>IFERROR(D21/D$37,"")</f>
        <v/>
      </c>
      <c r="E50" s="18">
        <f>IFERROR(E21/E$37,"")</f>
        <v/>
      </c>
      <c r="F50" s="18">
        <f>IFERROR(F21/F$37,"")</f>
        <v/>
      </c>
      <c r="G50" s="18">
        <f>IFERROR(G21/G$37,"")</f>
        <v/>
      </c>
      <c r="H50" s="18">
        <f>IFERROR(H21/H$37,"")</f>
        <v/>
      </c>
      <c r="I50" s="18">
        <f>IFERROR(I21/I$37,"")</f>
        <v/>
      </c>
      <c r="J50" s="18">
        <f>IFERROR(J21/J$37,"")</f>
        <v/>
      </c>
      <c r="K50" s="18">
        <f>IFERROR(K21/K$37,"")</f>
        <v/>
      </c>
      <c r="L50" s="18">
        <f>IFERROR(L21/L$37,"")</f>
        <v/>
      </c>
      <c r="M50" s="18">
        <f>IFERROR(M21/M$37,"")</f>
        <v/>
      </c>
      <c r="N50" s="18">
        <f>IFERROR(N21/N$37,"")</f>
        <v/>
      </c>
      <c r="O50" s="18">
        <f>IFERROR(O21/O$37,"")</f>
        <v/>
      </c>
      <c r="P50" s="18">
        <f>IFERROR(P21/P$37,"")</f>
        <v/>
      </c>
      <c r="Q50" s="18">
        <f>IFERROR(Q21/Q$37,"")</f>
        <v/>
      </c>
      <c r="R50" s="18">
        <f>IFERROR(R21/R$37,"")</f>
        <v/>
      </c>
      <c r="S50" s="18">
        <f>IFERROR(S21/S$37,"")</f>
        <v/>
      </c>
      <c r="T50" s="18">
        <f>IFERROR(T21/T$37,"")</f>
        <v/>
      </c>
      <c r="U50" s="18">
        <f>IFERROR(U21/U$37,"")</f>
        <v/>
      </c>
      <c r="V50" s="18">
        <f>IFERROR(V21/V$37,"")</f>
        <v/>
      </c>
      <c r="W50" s="18">
        <f>IFERROR(W21/W$37,"")</f>
        <v/>
      </c>
      <c r="X50" s="18">
        <f>IFERROR(X21/X$37,"")</f>
        <v/>
      </c>
      <c r="Y50" s="18">
        <f>IFERROR(Y21/Y$37,"")</f>
        <v/>
      </c>
      <c r="Z50" s="18">
        <f>IFERROR(Z21/Z$37,"")</f>
        <v/>
      </c>
      <c r="AA50" s="18">
        <f>IFERROR(AA21/AA$37,"")</f>
        <v/>
      </c>
      <c r="AB50" s="18">
        <f>IFERROR(AB21/AB$37,"")</f>
        <v/>
      </c>
      <c r="AC50" s="18">
        <f>IFERROR(AC21/AC$37,"")</f>
        <v/>
      </c>
      <c r="AD50" s="18">
        <f>IFERROR(AD21/AD$37,"")</f>
        <v/>
      </c>
      <c r="AE50" s="18">
        <f>IFERROR(AE21/AE$37,"")</f>
        <v/>
      </c>
      <c r="AF50" s="18">
        <f>IFERROR(AF21/AF$37,"")</f>
        <v/>
      </c>
      <c r="AG50" s="18">
        <f>IFERROR(AG21/AG$37,"")</f>
        <v/>
      </c>
      <c r="AH50" s="18">
        <f>IFERROR(AH21/AH$37,"")</f>
        <v/>
      </c>
      <c r="AI50" s="18">
        <f>IFERROR(AI21/AI$37,"")</f>
        <v/>
      </c>
      <c r="AJ50" s="18">
        <f>IFERROR(AJ21/AJ$37,"")</f>
        <v/>
      </c>
      <c r="AK50" s="18">
        <f>IFERROR(AK21/AK$37,"")</f>
        <v/>
      </c>
      <c r="AL50" s="18">
        <f>IFERROR(AL21/AL$37,"")</f>
        <v/>
      </c>
      <c r="AM50" s="18">
        <f>IFERROR(AM21/AM$37,"")</f>
        <v/>
      </c>
      <c r="AN50" s="18">
        <f>IFERROR(AN21/AN$37,"")</f>
        <v/>
      </c>
      <c r="AO50" s="18">
        <f>IFERROR(AO21/AO$37,"")</f>
        <v/>
      </c>
      <c r="AP50" s="18">
        <f>IFERROR(AP21/AP$37,"")</f>
        <v/>
      </c>
      <c r="AQ50" s="18">
        <f>IFERROR(AQ21/AQ$37,"")</f>
        <v/>
      </c>
      <c r="AR50" s="18">
        <f>IFERROR(AR21/AR$37,"")</f>
        <v/>
      </c>
      <c r="AS50" s="18">
        <f>IFERROR(AS21/AS$37,"")</f>
        <v/>
      </c>
      <c r="AT50" s="18">
        <f>IFERROR(AT21/AT$37,"")</f>
        <v/>
      </c>
    </row>
    <row r="51" ht="15.75" customHeight="1" s="252">
      <c r="A51" s="11" t="inlineStr">
        <is>
          <t>Indigo Main Fund</t>
        </is>
      </c>
      <c r="C51" s="18" t="n"/>
      <c r="D51" s="18">
        <f>IFERROR(D22/D$37,"")</f>
        <v/>
      </c>
      <c r="E51" s="18">
        <f>IFERROR(E22/E$37,"")</f>
        <v/>
      </c>
      <c r="F51" s="18">
        <f>IFERROR(F22/F$37,"")</f>
        <v/>
      </c>
      <c r="G51" s="18">
        <f>IFERROR(G22/G$37,"")</f>
        <v/>
      </c>
      <c r="H51" s="18">
        <f>IFERROR(H22/H$37,"")</f>
        <v/>
      </c>
      <c r="I51" s="18">
        <f>IFERROR(I22/I$37,"")</f>
        <v/>
      </c>
      <c r="J51" s="18">
        <f>IFERROR(J22/J$37,"")</f>
        <v/>
      </c>
      <c r="K51" s="18">
        <f>IFERROR(K22/K$37,"")</f>
        <v/>
      </c>
      <c r="L51" s="18">
        <f>IFERROR(L22/L$37,"")</f>
        <v/>
      </c>
      <c r="M51" s="18">
        <f>IFERROR(M22/M$37,"")</f>
        <v/>
      </c>
      <c r="N51" s="18">
        <f>IFERROR(N22/N$37,"")</f>
        <v/>
      </c>
      <c r="O51" s="18">
        <f>IFERROR(O22/O$37,"")</f>
        <v/>
      </c>
      <c r="P51" s="18">
        <f>IFERROR(P22/P$37,"")</f>
        <v/>
      </c>
      <c r="Q51" s="18">
        <f>IFERROR(Q22/Q$37,"")</f>
        <v/>
      </c>
      <c r="R51" s="18">
        <f>IFERROR(R22/R$37,"")</f>
        <v/>
      </c>
      <c r="S51" s="18">
        <f>IFERROR(S22/S$37,"")</f>
        <v/>
      </c>
      <c r="T51" s="18">
        <f>IFERROR(T22/T$37,"")</f>
        <v/>
      </c>
      <c r="U51" s="18">
        <f>IFERROR(U22/U$37,"")</f>
        <v/>
      </c>
      <c r="V51" s="18">
        <f>IFERROR(V22/V$37,"")</f>
        <v/>
      </c>
      <c r="W51" s="18">
        <f>IFERROR(W22/W$37,"")</f>
        <v/>
      </c>
      <c r="X51" s="18">
        <f>IFERROR(X22/X$37,"")</f>
        <v/>
      </c>
      <c r="Y51" s="18">
        <f>IFERROR(Y22/Y$37,"")</f>
        <v/>
      </c>
      <c r="Z51" s="18">
        <f>IFERROR(Z22/Z$37,"")</f>
        <v/>
      </c>
      <c r="AA51" s="18">
        <f>IFERROR(AA22/AA$37,"")</f>
        <v/>
      </c>
      <c r="AB51" s="18">
        <f>IFERROR(AB22/AB$37,"")</f>
        <v/>
      </c>
      <c r="AC51" s="18">
        <f>IFERROR(AC22/AC$37,"")</f>
        <v/>
      </c>
      <c r="AD51" s="18">
        <f>IFERROR(AD22/AD$37,"")</f>
        <v/>
      </c>
      <c r="AE51" s="18">
        <f>IFERROR(AE22/AE$37,"")</f>
        <v/>
      </c>
      <c r="AF51" s="18">
        <f>IFERROR(AF22/AF$37,"")</f>
        <v/>
      </c>
      <c r="AG51" s="18">
        <f>IFERROR(AG22/AG$37,"")</f>
        <v/>
      </c>
      <c r="AH51" s="18">
        <f>IFERROR(AH22/AH$37,"")</f>
        <v/>
      </c>
      <c r="AI51" s="18">
        <f>IFERROR(AI22/AI$37,"")</f>
        <v/>
      </c>
      <c r="AJ51" s="18">
        <f>IFERROR(AJ22/AJ$37,"")</f>
        <v/>
      </c>
      <c r="AK51" s="18">
        <f>IFERROR(AK22/AK$37,"")</f>
        <v/>
      </c>
      <c r="AL51" s="18">
        <f>IFERROR(AL22/AL$37,"")</f>
        <v/>
      </c>
      <c r="AM51" s="18">
        <f>IFERROR(AM22/AM$37,"")</f>
        <v/>
      </c>
      <c r="AN51" s="18">
        <f>IFERROR(AN22/AN$37,"")</f>
        <v/>
      </c>
      <c r="AO51" s="18">
        <f>IFERROR(AO22/AO$37,"")</f>
        <v/>
      </c>
      <c r="AP51" s="18">
        <f>IFERROR(AP22/AP$37,"")</f>
        <v/>
      </c>
      <c r="AQ51" s="18">
        <f>IFERROR(AQ22/AQ$37,"")</f>
        <v/>
      </c>
      <c r="AR51" s="18">
        <f>IFERROR(AR22/AR$37,"")</f>
        <v/>
      </c>
      <c r="AS51" s="18">
        <f>IFERROR(AS22/AS$37,"")</f>
        <v/>
      </c>
      <c r="AT51" s="18">
        <f>IFERROR(AT22/AT$37,"")</f>
        <v/>
      </c>
    </row>
    <row r="52" ht="15.75" customHeight="1" s="252">
      <c r="A52" s="11" t="inlineStr">
        <is>
          <t>Lars Ahlgreen</t>
        </is>
      </c>
      <c r="D52" s="18">
        <f>IFERROR(D11/D$37,"")</f>
        <v/>
      </c>
      <c r="E52" s="18">
        <f>IFERROR(E11/E$37,"")</f>
        <v/>
      </c>
      <c r="F52" s="18">
        <f>IFERROR(F11/F$37,"")</f>
        <v/>
      </c>
      <c r="G52" s="18">
        <f>IFERROR(G11/G$37,"")</f>
        <v/>
      </c>
      <c r="H52" s="18">
        <f>IFERROR(H11/H$37,"")</f>
        <v/>
      </c>
      <c r="I52" s="18">
        <f>IFERROR(I11/I$37,"")</f>
        <v/>
      </c>
      <c r="J52" s="18">
        <f>IFERROR(J11/J$37,"")</f>
        <v/>
      </c>
      <c r="K52" s="18">
        <f>IFERROR(K11/K$37,"")</f>
        <v/>
      </c>
      <c r="L52" s="18">
        <f>IFERROR(L11/L$37,"")</f>
        <v/>
      </c>
      <c r="M52" s="18">
        <f>IFERROR(M11/M$37,"")</f>
        <v/>
      </c>
      <c r="N52" s="18">
        <f>IFERROR(N11/N$37,"")</f>
        <v/>
      </c>
      <c r="O52" s="18">
        <f>IFERROR(O11/O$37,"")</f>
        <v/>
      </c>
      <c r="P52" s="18">
        <f>IFERROR(P11/P$37,"")</f>
        <v/>
      </c>
      <c r="Q52" s="18">
        <f>IFERROR(Q11/Q$37,"")</f>
        <v/>
      </c>
      <c r="R52" s="18">
        <f>IFERROR(R11/R$37,"")</f>
        <v/>
      </c>
      <c r="S52" s="18">
        <f>IFERROR(S11/S$37,"")</f>
        <v/>
      </c>
      <c r="T52" s="18">
        <f>IFERROR(T11/T$37,"")</f>
        <v/>
      </c>
      <c r="U52" s="18">
        <f>IFERROR(U11/U$37,"")</f>
        <v/>
      </c>
      <c r="V52" s="18">
        <f>IFERROR(V11/V$37,"")</f>
        <v/>
      </c>
      <c r="W52" s="18">
        <f>IFERROR(W11/W$37,"")</f>
        <v/>
      </c>
      <c r="X52" s="18">
        <f>IFERROR(X11/X$37,"")</f>
        <v/>
      </c>
      <c r="Y52" s="18">
        <f>IFERROR(Y11/Y$37,"")</f>
        <v/>
      </c>
      <c r="Z52" s="18">
        <f>IFERROR(Z11/Z$37,"")</f>
        <v/>
      </c>
      <c r="AA52" s="18">
        <f>IFERROR(AA11/AA$37,"")</f>
        <v/>
      </c>
      <c r="AB52" s="18">
        <f>IFERROR(AB11/AB$37,"")</f>
        <v/>
      </c>
      <c r="AC52" s="18">
        <f>IFERROR(AC11/AC$37,"")</f>
        <v/>
      </c>
      <c r="AD52" s="18">
        <f>IFERROR(AD11/AD$37,"")</f>
        <v/>
      </c>
      <c r="AE52" s="18">
        <f>IFERROR(AE11/AE$37,"")</f>
        <v/>
      </c>
      <c r="AF52" s="18">
        <f>IFERROR(AF11/AF$37,"")</f>
        <v/>
      </c>
      <c r="AG52" s="18">
        <f>IFERROR(AG11/AG$37,"")</f>
        <v/>
      </c>
      <c r="AH52" s="18">
        <f>IFERROR(AH11/AH$37,"")</f>
        <v/>
      </c>
      <c r="AI52" s="18">
        <f>IFERROR(AI11/AI$37,"")</f>
        <v/>
      </c>
      <c r="AJ52" s="18">
        <f>IFERROR(AJ11/AJ$37,"")</f>
        <v/>
      </c>
      <c r="AK52" s="18">
        <f>IFERROR(AK11/AK$37,"")</f>
        <v/>
      </c>
      <c r="AL52" s="18">
        <f>IFERROR(AL11/AL$37,"")</f>
        <v/>
      </c>
      <c r="AM52" s="18">
        <f>IFERROR(AM11/AM$37,"")</f>
        <v/>
      </c>
      <c r="AN52" s="18">
        <f>IFERROR(AN11/AN$37,"")</f>
        <v/>
      </c>
      <c r="AO52" s="18">
        <f>IFERROR(AO11/AO$37,"")</f>
        <v/>
      </c>
      <c r="AP52" s="18">
        <f>IFERROR(AP11/AP$37,"")</f>
        <v/>
      </c>
      <c r="AQ52" s="18">
        <f>IFERROR(AQ11/AQ$37,"")</f>
        <v/>
      </c>
      <c r="AR52" s="18">
        <f>IFERROR(AR11/AR$37,"")</f>
        <v/>
      </c>
      <c r="AS52" s="18">
        <f>IFERROR(AS11/AS$37,"")</f>
        <v/>
      </c>
      <c r="AT52" s="18">
        <f>IFERROR(AT11/AT$37,"")</f>
        <v/>
      </c>
    </row>
    <row r="53" ht="15.75" customHeight="1" s="252">
      <c r="A53" s="11" t="inlineStr">
        <is>
          <t>Sacha Oshry</t>
        </is>
      </c>
      <c r="D53" s="18">
        <f>IFERROR(D23/D$37,"")</f>
        <v/>
      </c>
      <c r="E53" s="18">
        <f>IFERROR(E23/E$37,"")</f>
        <v/>
      </c>
      <c r="F53" s="18">
        <f>IFERROR(F23/F$37,"")</f>
        <v/>
      </c>
      <c r="G53" s="18">
        <f>IFERROR(G23/G$37,"")</f>
        <v/>
      </c>
      <c r="H53" s="18">
        <f>IFERROR(H23/H$37,"")</f>
        <v/>
      </c>
      <c r="I53" s="18">
        <f>IFERROR(I23/I$37,"")</f>
        <v/>
      </c>
      <c r="J53" s="18">
        <f>IFERROR(J23/J$37,"")</f>
        <v/>
      </c>
      <c r="K53" s="18">
        <f>IFERROR(K23/K$37,"")</f>
        <v/>
      </c>
      <c r="L53" s="18">
        <f>IFERROR(L23/L$37,"")</f>
        <v/>
      </c>
      <c r="M53" s="18">
        <f>IFERROR(M23/M$37,"")</f>
        <v/>
      </c>
      <c r="N53" s="18">
        <f>IFERROR(N23/N$37,"")</f>
        <v/>
      </c>
      <c r="O53" s="18">
        <f>IFERROR(O23/O$37,"")</f>
        <v/>
      </c>
      <c r="P53" s="18">
        <f>IFERROR(P23/P$37,"")</f>
        <v/>
      </c>
      <c r="Q53" s="18">
        <f>IFERROR(Q23/Q$37,"")</f>
        <v/>
      </c>
      <c r="R53" s="18">
        <f>IFERROR(R23/R$37,"")</f>
        <v/>
      </c>
      <c r="S53" s="18">
        <f>IFERROR(S23/S$37,"")</f>
        <v/>
      </c>
      <c r="T53" s="18">
        <f>IFERROR(T23/T$37,"")</f>
        <v/>
      </c>
      <c r="U53" s="18">
        <f>IFERROR(U23/U$37,"")</f>
        <v/>
      </c>
      <c r="V53" s="18">
        <f>IFERROR(V23/V$37,"")</f>
        <v/>
      </c>
      <c r="W53" s="18">
        <f>IFERROR(W23/W$37,"")</f>
        <v/>
      </c>
      <c r="X53" s="18">
        <f>IFERROR(X23/X$37,"")</f>
        <v/>
      </c>
      <c r="Y53" s="18">
        <f>IFERROR(Y23/Y$37,"")</f>
        <v/>
      </c>
      <c r="Z53" s="18">
        <f>IFERROR(Z23/Z$37,"")</f>
        <v/>
      </c>
      <c r="AA53" s="18">
        <f>IFERROR(AA23/AA$37,"")</f>
        <v/>
      </c>
      <c r="AB53" s="18">
        <f>IFERROR(AB23/AB$37,"")</f>
        <v/>
      </c>
      <c r="AC53" s="18">
        <f>IFERROR(AC23/AC$37,"")</f>
        <v/>
      </c>
      <c r="AD53" s="18">
        <f>IFERROR(AD23/AD$37,"")</f>
        <v/>
      </c>
      <c r="AE53" s="18">
        <f>IFERROR(AE23/AE$37,"")</f>
        <v/>
      </c>
      <c r="AF53" s="18">
        <f>IFERROR(AF23/AF$37,"")</f>
        <v/>
      </c>
      <c r="AG53" s="18">
        <f>IFERROR(AG23/AG$37,"")</f>
        <v/>
      </c>
      <c r="AH53" s="18">
        <f>IFERROR(AH23/AH$37,"")</f>
        <v/>
      </c>
      <c r="AI53" s="18">
        <f>IFERROR(AI23/AI$37,"")</f>
        <v/>
      </c>
      <c r="AJ53" s="18">
        <f>IFERROR(AJ23/AJ$37,"")</f>
        <v/>
      </c>
      <c r="AK53" s="18">
        <f>IFERROR(AK23/AK$37,"")</f>
        <v/>
      </c>
      <c r="AL53" s="18">
        <f>IFERROR(AL23/AL$37,"")</f>
        <v/>
      </c>
      <c r="AM53" s="18">
        <f>IFERROR(AM23/AM$37,"")</f>
        <v/>
      </c>
      <c r="AN53" s="18">
        <f>IFERROR(AN23/AN$37,"")</f>
        <v/>
      </c>
      <c r="AO53" s="18">
        <f>IFERROR(AO23/AO$37,"")</f>
        <v/>
      </c>
      <c r="AP53" s="18">
        <f>IFERROR(AP23/AP$37,"")</f>
        <v/>
      </c>
      <c r="AQ53" s="18">
        <f>IFERROR(AQ23/AQ$37,"")</f>
        <v/>
      </c>
      <c r="AR53" s="18">
        <f>IFERROR(AR23/AR$37,"")</f>
        <v/>
      </c>
      <c r="AS53" s="18">
        <f>IFERROR(AS23/AS$37,"")</f>
        <v/>
      </c>
      <c r="AT53" s="18">
        <f>IFERROR(AT23/AT$37,"")</f>
        <v/>
      </c>
    </row>
    <row r="54" ht="15.75" customHeight="1" s="252">
      <c r="A54" s="11" t="inlineStr">
        <is>
          <t>HALLEY86</t>
        </is>
      </c>
      <c r="D54" s="18">
        <f>IFERROR(D24/D$37,"")</f>
        <v/>
      </c>
      <c r="E54" s="18">
        <f>IFERROR(E24/E$37,"")</f>
        <v/>
      </c>
      <c r="F54" s="18">
        <f>IFERROR(F24/F$37,"")</f>
        <v/>
      </c>
      <c r="G54" s="18">
        <f>IFERROR(G24/G$37,"")</f>
        <v/>
      </c>
      <c r="H54" s="18">
        <f>IFERROR(H24/H$37,"")</f>
        <v/>
      </c>
      <c r="I54" s="18">
        <f>IFERROR(I24/I$37,"")</f>
        <v/>
      </c>
      <c r="J54" s="18">
        <f>IFERROR(J24/J$37,"")</f>
        <v/>
      </c>
      <c r="K54" s="18">
        <f>IFERROR(K24/K$37,"")</f>
        <v/>
      </c>
      <c r="L54" s="18">
        <f>IFERROR(L24/L$37,"")</f>
        <v/>
      </c>
      <c r="M54" s="18">
        <f>IFERROR(M24/M$37,"")</f>
        <v/>
      </c>
      <c r="N54" s="18">
        <f>IFERROR(N24/N$37,"")</f>
        <v/>
      </c>
      <c r="O54" s="18">
        <f>IFERROR(O24/O$37,"")</f>
        <v/>
      </c>
      <c r="P54" s="18">
        <f>IFERROR(P24/P$37,"")</f>
        <v/>
      </c>
      <c r="Q54" s="18">
        <f>IFERROR(Q24/Q$37,"")</f>
        <v/>
      </c>
      <c r="R54" s="18">
        <f>IFERROR(R24/R$37,"")</f>
        <v/>
      </c>
      <c r="S54" s="18">
        <f>IFERROR(S24/S$37,"")</f>
        <v/>
      </c>
      <c r="T54" s="18">
        <f>IFERROR(T24/T$37,"")</f>
        <v/>
      </c>
      <c r="U54" s="18">
        <f>IFERROR(U24/U$37,"")</f>
        <v/>
      </c>
      <c r="V54" s="18">
        <f>IFERROR(V24/V$37,"")</f>
        <v/>
      </c>
      <c r="W54" s="18">
        <f>IFERROR(W24/W$37,"")</f>
        <v/>
      </c>
      <c r="X54" s="18">
        <f>IFERROR(X24/X$37,"")</f>
        <v/>
      </c>
      <c r="Y54" s="18">
        <f>IFERROR(Y24/Y$37,"")</f>
        <v/>
      </c>
      <c r="Z54" s="18">
        <f>IFERROR(Z24/Z$37,"")</f>
        <v/>
      </c>
      <c r="AA54" s="18">
        <f>IFERROR(AA24/AA$37,"")</f>
        <v/>
      </c>
      <c r="AB54" s="18">
        <f>IFERROR(AB24/AB$37,"")</f>
        <v/>
      </c>
      <c r="AC54" s="18">
        <f>IFERROR(AC24/AC$37,"")</f>
        <v/>
      </c>
      <c r="AD54" s="18">
        <f>IFERROR(AD24/AD$37,"")</f>
        <v/>
      </c>
      <c r="AE54" s="18">
        <f>IFERROR(AE24/AE$37,"")</f>
        <v/>
      </c>
      <c r="AF54" s="18">
        <f>IFERROR(AF24/AF$37,"")</f>
        <v/>
      </c>
      <c r="AG54" s="18">
        <f>IFERROR(AG24/AG$37,"")</f>
        <v/>
      </c>
      <c r="AH54" s="18">
        <f>IFERROR(AH24/AH$37,"")</f>
        <v/>
      </c>
      <c r="AI54" s="18">
        <f>IFERROR(AI24/AI$37,"")</f>
        <v/>
      </c>
      <c r="AJ54" s="18">
        <f>IFERROR(AJ24/AJ$37,"")</f>
        <v/>
      </c>
      <c r="AK54" s="18">
        <f>IFERROR(AK24/AK$37,"")</f>
        <v/>
      </c>
      <c r="AL54" s="18">
        <f>IFERROR(AL24/AL$37,"")</f>
        <v/>
      </c>
      <c r="AM54" s="18">
        <f>IFERROR(AM24/AM$37,"")</f>
        <v/>
      </c>
      <c r="AN54" s="18">
        <f>IFERROR(AN24/AN$37,"")</f>
        <v/>
      </c>
      <c r="AO54" s="18">
        <f>IFERROR(AO24/AO$37,"")</f>
        <v/>
      </c>
      <c r="AP54" s="18">
        <f>IFERROR(AP24/AP$37,"")</f>
        <v/>
      </c>
      <c r="AQ54" s="18">
        <f>IFERROR(AQ24/AQ$37,"")</f>
        <v/>
      </c>
      <c r="AR54" s="18">
        <f>IFERROR(AR24/AR$37,"")</f>
        <v/>
      </c>
      <c r="AS54" s="18">
        <f>IFERROR(AS24/AS$37,"")</f>
        <v/>
      </c>
      <c r="AT54" s="18">
        <f>IFERROR(AT24/AT$37,"")</f>
        <v/>
      </c>
    </row>
    <row r="55" ht="15.75" customHeight="1" s="252">
      <c r="A55" s="11" t="inlineStr">
        <is>
          <t>Jose Molla</t>
        </is>
      </c>
      <c r="D55" s="18">
        <f>IFERROR(D25/D$37,"")</f>
        <v/>
      </c>
      <c r="E55" s="18">
        <f>IFERROR(E25/E$37,"")</f>
        <v/>
      </c>
      <c r="F55" s="18">
        <f>IFERROR(F25/F$37,"")</f>
        <v/>
      </c>
      <c r="G55" s="18">
        <f>IFERROR(G25/G$37,"")</f>
        <v/>
      </c>
      <c r="H55" s="18">
        <f>IFERROR(H25/H$37,"")</f>
        <v/>
      </c>
      <c r="I55" s="18">
        <f>IFERROR(I25/I$37,"")</f>
        <v/>
      </c>
      <c r="J55" s="18">
        <f>IFERROR(J25/J$37,"")</f>
        <v/>
      </c>
      <c r="K55" s="18">
        <f>IFERROR(K25/K$37,"")</f>
        <v/>
      </c>
      <c r="L55" s="18">
        <f>IFERROR(L25/L$37,"")</f>
        <v/>
      </c>
      <c r="M55" s="18">
        <f>IFERROR(M25/M$37,"")</f>
        <v/>
      </c>
      <c r="N55" s="18">
        <f>IFERROR(N25/N$37,"")</f>
        <v/>
      </c>
      <c r="O55" s="18">
        <f>IFERROR(O25/O$37,"")</f>
        <v/>
      </c>
      <c r="P55" s="18">
        <f>IFERROR(P25/P$37,"")</f>
        <v/>
      </c>
      <c r="Q55" s="18">
        <f>IFERROR(Q25/Q$37,"")</f>
        <v/>
      </c>
      <c r="R55" s="18">
        <f>IFERROR(R25/R$37,"")</f>
        <v/>
      </c>
      <c r="S55" s="18">
        <f>IFERROR(S25/S$37,"")</f>
        <v/>
      </c>
      <c r="T55" s="18">
        <f>IFERROR(T25/T$37,"")</f>
        <v/>
      </c>
      <c r="U55" s="18">
        <f>IFERROR(U25/U$37,"")</f>
        <v/>
      </c>
      <c r="V55" s="18">
        <f>IFERROR(V25/V$37,"")</f>
        <v/>
      </c>
      <c r="W55" s="18">
        <f>IFERROR(W25/W$37,"")</f>
        <v/>
      </c>
      <c r="X55" s="18">
        <f>IFERROR(X25/X$37,"")</f>
        <v/>
      </c>
      <c r="Y55" s="18">
        <f>IFERROR(Y25/Y$37,"")</f>
        <v/>
      </c>
      <c r="Z55" s="18">
        <f>IFERROR(Z25/Z$37,"")</f>
        <v/>
      </c>
      <c r="AA55" s="18">
        <f>IFERROR(AA25/AA$37,"")</f>
        <v/>
      </c>
      <c r="AB55" s="18">
        <f>IFERROR(AB25/AB$37,"")</f>
        <v/>
      </c>
      <c r="AC55" s="18">
        <f>IFERROR(AC25/AC$37,"")</f>
        <v/>
      </c>
      <c r="AD55" s="18">
        <f>IFERROR(AD25/AD$37,"")</f>
        <v/>
      </c>
      <c r="AE55" s="18">
        <f>IFERROR(AE25/AE$37,"")</f>
        <v/>
      </c>
      <c r="AF55" s="18">
        <f>IFERROR(AF25/AF$37,"")</f>
        <v/>
      </c>
      <c r="AG55" s="18">
        <f>IFERROR(AG25/AG$37,"")</f>
        <v/>
      </c>
      <c r="AH55" s="18">
        <f>IFERROR(AH25/AH$37,"")</f>
        <v/>
      </c>
      <c r="AI55" s="18">
        <f>IFERROR(AI25/AI$37,"")</f>
        <v/>
      </c>
      <c r="AJ55" s="18">
        <f>IFERROR(AJ25/AJ$37,"")</f>
        <v/>
      </c>
      <c r="AK55" s="18">
        <f>IFERROR(AK25/AK$37,"")</f>
        <v/>
      </c>
      <c r="AL55" s="18">
        <f>IFERROR(AL25/AL$37,"")</f>
        <v/>
      </c>
      <c r="AM55" s="18">
        <f>IFERROR(AM25/AM$37,"")</f>
        <v/>
      </c>
      <c r="AN55" s="18">
        <f>IFERROR(AN25/AN$37,"")</f>
        <v/>
      </c>
      <c r="AO55" s="18">
        <f>IFERROR(AO25/AO$37,"")</f>
        <v/>
      </c>
      <c r="AP55" s="18">
        <f>IFERROR(AP25/AP$37,"")</f>
        <v/>
      </c>
      <c r="AQ55" s="18">
        <f>IFERROR(AQ25/AQ$37,"")</f>
        <v/>
      </c>
      <c r="AR55" s="18">
        <f>IFERROR(AR25/AR$37,"")</f>
        <v/>
      </c>
      <c r="AS55" s="18">
        <f>IFERROR(AS25/AS$37,"")</f>
        <v/>
      </c>
      <c r="AT55" s="18">
        <f>IFERROR(AT25/AT$37,"")</f>
        <v/>
      </c>
    </row>
    <row r="56" ht="15.75" customHeight="1" s="252">
      <c r="A56" s="7" t="inlineStr">
        <is>
          <t>Monica Levy Chicheportiche</t>
        </is>
      </c>
      <c r="D56" s="18">
        <f>IFERROR(D26/D$37,"")</f>
        <v/>
      </c>
      <c r="E56" s="18">
        <f>IFERROR(E26/E$37,"")</f>
        <v/>
      </c>
      <c r="F56" s="18">
        <f>IFERROR(F26/F$37,"")</f>
        <v/>
      </c>
      <c r="G56" s="18">
        <f>IFERROR(G26/G$37,"")</f>
        <v/>
      </c>
      <c r="H56" s="18">
        <f>IFERROR(H26/H$37,"")</f>
        <v/>
      </c>
      <c r="I56" s="18">
        <f>IFERROR(I26/I$37,"")</f>
        <v/>
      </c>
      <c r="J56" s="18">
        <f>IFERROR(J26/J$37,"")</f>
        <v/>
      </c>
      <c r="K56" s="18">
        <f>IFERROR(K26/K$37,"")</f>
        <v/>
      </c>
      <c r="L56" s="18">
        <f>IFERROR(L26/L$37,"")</f>
        <v/>
      </c>
      <c r="M56" s="18">
        <f>IFERROR(M26/M$37,"")</f>
        <v/>
      </c>
      <c r="N56" s="18">
        <f>IFERROR(N26/N$37,"")</f>
        <v/>
      </c>
      <c r="O56" s="18">
        <f>IFERROR(O26/O$37,"")</f>
        <v/>
      </c>
      <c r="P56" s="18">
        <f>IFERROR(P26/P$37,"")</f>
        <v/>
      </c>
      <c r="Q56" s="18">
        <f>IFERROR(Q26/Q$37,"")</f>
        <v/>
      </c>
      <c r="R56" s="18">
        <f>IFERROR(R26/R$37,"")</f>
        <v/>
      </c>
      <c r="S56" s="18">
        <f>IFERROR(S26/S$37,"")</f>
        <v/>
      </c>
      <c r="T56" s="18">
        <f>IFERROR(T26/T$37,"")</f>
        <v/>
      </c>
      <c r="U56" s="18">
        <f>IFERROR(U26/U$37,"")</f>
        <v/>
      </c>
      <c r="V56" s="18">
        <f>IFERROR(V26/V$37,"")</f>
        <v/>
      </c>
      <c r="W56" s="18">
        <f>IFERROR(W26/W$37,"")</f>
        <v/>
      </c>
      <c r="X56" s="18">
        <f>IFERROR(X26/X$37,"")</f>
        <v/>
      </c>
      <c r="Y56" s="18">
        <f>IFERROR(Y26/Y$37,"")</f>
        <v/>
      </c>
      <c r="Z56" s="18">
        <f>IFERROR(Z26/Z$37,"")</f>
        <v/>
      </c>
      <c r="AA56" s="18">
        <f>IFERROR(AA26/AA$37,"")</f>
        <v/>
      </c>
      <c r="AB56" s="18">
        <f>IFERROR(AB26/AB$37,"")</f>
        <v/>
      </c>
      <c r="AC56" s="18">
        <f>IFERROR(AC26/AC$37,"")</f>
        <v/>
      </c>
      <c r="AD56" s="18">
        <f>IFERROR(AD26/AD$37,"")</f>
        <v/>
      </c>
      <c r="AE56" s="18">
        <f>IFERROR(AE26/AE$37,"")</f>
        <v/>
      </c>
      <c r="AF56" s="18">
        <f>IFERROR(AF26/AF$37,"")</f>
        <v/>
      </c>
      <c r="AG56" s="18">
        <f>IFERROR(AG26/AG$37,"")</f>
        <v/>
      </c>
      <c r="AH56" s="18">
        <f>IFERROR(AH26/AH$37,"")</f>
        <v/>
      </c>
      <c r="AI56" s="18">
        <f>IFERROR(AI26/AI$37,"")</f>
        <v/>
      </c>
      <c r="AJ56" s="18">
        <f>IFERROR(AJ26/AJ$37,"")</f>
        <v/>
      </c>
      <c r="AK56" s="18">
        <f>IFERROR(AK26/AK$37,"")</f>
        <v/>
      </c>
      <c r="AL56" s="18">
        <f>IFERROR(AL26/AL$37,"")</f>
        <v/>
      </c>
      <c r="AM56" s="18">
        <f>IFERROR(AM26/AM$37,"")</f>
        <v/>
      </c>
      <c r="AN56" s="18">
        <f>IFERROR(AN26/AN$37,"")</f>
        <v/>
      </c>
      <c r="AO56" s="18">
        <f>IFERROR(AO26/AO$37,"")</f>
        <v/>
      </c>
      <c r="AP56" s="18">
        <f>IFERROR(AP26/AP$37,"")</f>
        <v/>
      </c>
      <c r="AQ56" s="18">
        <f>IFERROR(AQ26/AQ$37,"")</f>
        <v/>
      </c>
      <c r="AR56" s="18">
        <f>IFERROR(AR26/AR$37,"")</f>
        <v/>
      </c>
      <c r="AS56" s="18">
        <f>IFERROR(AS26/AS$37,"")</f>
        <v/>
      </c>
      <c r="AT56" s="18">
        <f>IFERROR(AT26/AT$37,"")</f>
        <v/>
      </c>
    </row>
    <row r="57" ht="15.75" customHeight="1" s="252">
      <c r="A57" s="7" t="inlineStr">
        <is>
          <t>Nath &amp; Thomas</t>
        </is>
      </c>
      <c r="D57" s="18">
        <f>IFERROR(D27/D$37,"")</f>
        <v/>
      </c>
      <c r="E57" s="18">
        <f>IFERROR(E27/E$37,"")</f>
        <v/>
      </c>
      <c r="F57" s="18">
        <f>IFERROR(F27/F$37,"")</f>
        <v/>
      </c>
      <c r="G57" s="18">
        <f>IFERROR(G27/G$37,"")</f>
        <v/>
      </c>
      <c r="H57" s="18">
        <f>IFERROR(H27/H$37,"")</f>
        <v/>
      </c>
      <c r="I57" s="18">
        <f>IFERROR(I27/I$37,"")</f>
        <v/>
      </c>
      <c r="J57" s="18">
        <f>IFERROR(J27/J$37,"")</f>
        <v/>
      </c>
      <c r="K57" s="18">
        <f>IFERROR(K27/K$37,"")</f>
        <v/>
      </c>
      <c r="L57" s="18">
        <f>IFERROR(L27/L$37,"")</f>
        <v/>
      </c>
      <c r="M57" s="18">
        <f>IFERROR(M27/M$37,"")</f>
        <v/>
      </c>
      <c r="N57" s="18">
        <f>IFERROR(N27/N$37,"")</f>
        <v/>
      </c>
      <c r="O57" s="18">
        <f>IFERROR(O27/O$37,"")</f>
        <v/>
      </c>
      <c r="P57" s="18">
        <f>IFERROR(P27/P$37,"")</f>
        <v/>
      </c>
      <c r="Q57" s="18">
        <f>IFERROR(Q27/Q$37,"")</f>
        <v/>
      </c>
      <c r="R57" s="18">
        <f>IFERROR(R27/R$37,"")</f>
        <v/>
      </c>
      <c r="S57" s="18">
        <f>IFERROR(S27/S$37,"")</f>
        <v/>
      </c>
      <c r="T57" s="18">
        <f>IFERROR(T27/T$37,"")</f>
        <v/>
      </c>
      <c r="U57" s="18">
        <f>IFERROR(U27/U$37,"")</f>
        <v/>
      </c>
      <c r="V57" s="18">
        <f>IFERROR(V27/V$37,"")</f>
        <v/>
      </c>
      <c r="W57" s="18">
        <f>IFERROR(W27/W$37,"")</f>
        <v/>
      </c>
      <c r="X57" s="18">
        <f>IFERROR(X27/X$37,"")</f>
        <v/>
      </c>
      <c r="Y57" s="18">
        <f>IFERROR(Y27/Y$37,"")</f>
        <v/>
      </c>
      <c r="Z57" s="18">
        <f>IFERROR(Z27/Z$37,"")</f>
        <v/>
      </c>
      <c r="AA57" s="18">
        <f>IFERROR(AA27/AA$37,"")</f>
        <v/>
      </c>
      <c r="AB57" s="18">
        <f>IFERROR(AB27/AB$37,"")</f>
        <v/>
      </c>
      <c r="AC57" s="18">
        <f>IFERROR(AC27/AC$37,"")</f>
        <v/>
      </c>
      <c r="AD57" s="18">
        <f>IFERROR(AD27/AD$37,"")</f>
        <v/>
      </c>
      <c r="AE57" s="18">
        <f>IFERROR(AE27/AE$37,"")</f>
        <v/>
      </c>
      <c r="AF57" s="18">
        <f>IFERROR(AF27/AF$37,"")</f>
        <v/>
      </c>
      <c r="AG57" s="18">
        <f>IFERROR(AG27/AG$37,"")</f>
        <v/>
      </c>
      <c r="AH57" s="18">
        <f>IFERROR(AH27/AH$37,"")</f>
        <v/>
      </c>
      <c r="AI57" s="18">
        <f>IFERROR(AI27/AI$37,"")</f>
        <v/>
      </c>
      <c r="AJ57" s="18">
        <f>IFERROR(AJ27/AJ$37,"")</f>
        <v/>
      </c>
      <c r="AK57" s="18">
        <f>IFERROR(AK27/AK$37,"")</f>
        <v/>
      </c>
      <c r="AL57" s="18">
        <f>IFERROR(AL27/AL$37,"")</f>
        <v/>
      </c>
      <c r="AM57" s="18">
        <f>IFERROR(AM27/AM$37,"")</f>
        <v/>
      </c>
      <c r="AN57" s="18">
        <f>IFERROR(AN27/AN$37,"")</f>
        <v/>
      </c>
      <c r="AO57" s="18">
        <f>IFERROR(AO27/AO$37,"")</f>
        <v/>
      </c>
      <c r="AP57" s="18">
        <f>IFERROR(AP27/AP$37,"")</f>
        <v/>
      </c>
      <c r="AQ57" s="18">
        <f>IFERROR(AQ27/AQ$37,"")</f>
        <v/>
      </c>
      <c r="AR57" s="18">
        <f>IFERROR(AR27/AR$37,"")</f>
        <v/>
      </c>
      <c r="AS57" s="18">
        <f>IFERROR(AS27/AS$37,"")</f>
        <v/>
      </c>
      <c r="AT57" s="18">
        <f>IFERROR(AT27/AT$37,"")</f>
        <v/>
      </c>
    </row>
    <row r="58" ht="15.75" customHeight="1" s="252">
      <c r="A58" s="7" t="inlineStr">
        <is>
          <t xml:space="preserve">Sam Johnson </t>
        </is>
      </c>
      <c r="B58" s="130" t="n"/>
      <c r="D58" s="18">
        <f>IFERROR(D28/D$37,"")</f>
        <v/>
      </c>
      <c r="E58" s="18">
        <f>IFERROR(E28/E$37,"")</f>
        <v/>
      </c>
      <c r="F58" s="18">
        <f>IFERROR(F28/F$37,"")</f>
        <v/>
      </c>
      <c r="G58" s="18">
        <f>IFERROR(G28/G$37,"")</f>
        <v/>
      </c>
      <c r="H58" s="18">
        <f>IFERROR(H28/H$37,"")</f>
        <v/>
      </c>
      <c r="I58" s="18">
        <f>IFERROR(I28/I$37,"")</f>
        <v/>
      </c>
      <c r="J58" s="18">
        <f>IFERROR(J28/J$37,"")</f>
        <v/>
      </c>
      <c r="K58" s="18">
        <f>IFERROR(K28/K$37,"")</f>
        <v/>
      </c>
      <c r="L58" s="18">
        <f>IFERROR(L28/L$37,"")</f>
        <v/>
      </c>
      <c r="M58" s="18">
        <f>IFERROR(M28/M$37,"")</f>
        <v/>
      </c>
      <c r="N58" s="18">
        <f>IFERROR(N28/N$37,"")</f>
        <v/>
      </c>
      <c r="O58" s="18">
        <f>IFERROR(O28/O$37,"")</f>
        <v/>
      </c>
      <c r="P58" s="18">
        <f>IFERROR(P28/P$37,"")</f>
        <v/>
      </c>
      <c r="Q58" s="18">
        <f>IFERROR(Q28/Q$37,"")</f>
        <v/>
      </c>
      <c r="R58" s="18">
        <f>IFERROR(R28/R$37,"")</f>
        <v/>
      </c>
      <c r="S58" s="18">
        <f>IFERROR(S28/S$37,"")</f>
        <v/>
      </c>
      <c r="T58" s="18">
        <f>IFERROR(T28/T$37,"")</f>
        <v/>
      </c>
      <c r="U58" s="18">
        <f>IFERROR(U28/U$37,"")</f>
        <v/>
      </c>
      <c r="V58" s="18">
        <f>IFERROR(V28/V$37,"")</f>
        <v/>
      </c>
      <c r="W58" s="18">
        <f>IFERROR(W28/W$37,"")</f>
        <v/>
      </c>
      <c r="X58" s="18">
        <f>IFERROR(X28/X$37,"")</f>
        <v/>
      </c>
      <c r="Y58" s="18">
        <f>IFERROR(Y28/Y$37,"")</f>
        <v/>
      </c>
      <c r="Z58" s="18">
        <f>IFERROR(Z28/Z$37,"")</f>
        <v/>
      </c>
      <c r="AA58" s="18">
        <f>IFERROR(AA28/AA$37,"")</f>
        <v/>
      </c>
      <c r="AB58" s="18">
        <f>IFERROR(AB28/AB$37,"")</f>
        <v/>
      </c>
      <c r="AC58" s="18">
        <f>IFERROR(AC28/AC$37,"")</f>
        <v/>
      </c>
      <c r="AD58" s="18">
        <f>IFERROR(AD28/AD$37,"")</f>
        <v/>
      </c>
      <c r="AE58" s="18">
        <f>IFERROR(AE28/AE$37,"")</f>
        <v/>
      </c>
      <c r="AF58" s="18">
        <f>IFERROR(AF28/AF$37,"")</f>
        <v/>
      </c>
      <c r="AG58" s="18">
        <f>IFERROR(AG28/AG$37,"")</f>
        <v/>
      </c>
      <c r="AH58" s="18">
        <f>IFERROR(AH28/AH$37,"")</f>
        <v/>
      </c>
      <c r="AI58" s="18">
        <f>IFERROR(AI28/AI$37,"")</f>
        <v/>
      </c>
      <c r="AJ58" s="18">
        <f>IFERROR(AJ28/AJ$37,"")</f>
        <v/>
      </c>
      <c r="AK58" s="18">
        <f>IFERROR(AK28/AK$37,"")</f>
        <v/>
      </c>
      <c r="AL58" s="18">
        <f>IFERROR(AL28/AL$37,"")</f>
        <v/>
      </c>
      <c r="AM58" s="18">
        <f>IFERROR(AM28/AM$37,"")</f>
        <v/>
      </c>
      <c r="AN58" s="18">
        <f>IFERROR(AN28/AN$37,"")</f>
        <v/>
      </c>
      <c r="AO58" s="18">
        <f>IFERROR(AO28/AO$37,"")</f>
        <v/>
      </c>
      <c r="AP58" s="18">
        <f>IFERROR(AP28/AP$37,"")</f>
        <v/>
      </c>
      <c r="AQ58" s="18">
        <f>IFERROR(AQ28/AQ$37,"")</f>
        <v/>
      </c>
      <c r="AR58" s="18">
        <f>IFERROR(AR28/AR$37,"")</f>
        <v/>
      </c>
      <c r="AS58" s="18">
        <f>IFERROR(AS28/AS$37,"")</f>
        <v/>
      </c>
      <c r="AT58" s="18">
        <f>IFERROR(AT28/AT$37,"")</f>
        <v/>
      </c>
    </row>
    <row r="59" ht="15.75" customHeight="1" s="252">
      <c r="A59" s="11" t="inlineStr">
        <is>
          <t>Ryan Van Der Wall</t>
        </is>
      </c>
      <c r="D59" s="18">
        <f>IFERROR(D29/D$37,"")</f>
        <v/>
      </c>
      <c r="E59" s="18">
        <f>IFERROR(E29/E$37,"")</f>
        <v/>
      </c>
      <c r="F59" s="18">
        <f>IFERROR(F29/F$37,"")</f>
        <v/>
      </c>
      <c r="G59" s="18">
        <f>IFERROR(G29/G$37,"")</f>
        <v/>
      </c>
      <c r="H59" s="18">
        <f>IFERROR(H29/H$37,"")</f>
        <v/>
      </c>
      <c r="I59" s="18">
        <f>IFERROR(I29/I$37,"")</f>
        <v/>
      </c>
      <c r="J59" s="18">
        <f>IFERROR(J29/J$37,"")</f>
        <v/>
      </c>
      <c r="K59" s="18">
        <f>IFERROR(K29/K$37,"")</f>
        <v/>
      </c>
      <c r="L59" s="18">
        <f>IFERROR(L29/L$37,"")</f>
        <v/>
      </c>
      <c r="M59" s="18">
        <f>IFERROR(M29/M$37,"")</f>
        <v/>
      </c>
      <c r="N59" s="18">
        <f>IFERROR(N29/N$37,"")</f>
        <v/>
      </c>
      <c r="O59" s="18">
        <f>IFERROR(O29/O$37,"")</f>
        <v/>
      </c>
      <c r="P59" s="18">
        <f>IFERROR(P29/P$37,"")</f>
        <v/>
      </c>
      <c r="Q59" s="18">
        <f>IFERROR(Q29/Q$37,"")</f>
        <v/>
      </c>
      <c r="R59" s="18">
        <f>IFERROR(R29/R$37,"")</f>
        <v/>
      </c>
      <c r="S59" s="18">
        <f>IFERROR(S29/S$37,"")</f>
        <v/>
      </c>
      <c r="T59" s="18">
        <f>IFERROR(T29/T$37,"")</f>
        <v/>
      </c>
      <c r="U59" s="18">
        <f>IFERROR(U29/U$37,"")</f>
        <v/>
      </c>
      <c r="V59" s="18">
        <f>IFERROR(V29/V$37,"")</f>
        <v/>
      </c>
      <c r="W59" s="18">
        <f>IFERROR(W29/W$37,"")</f>
        <v/>
      </c>
      <c r="X59" s="18">
        <f>IFERROR(X29/X$37,"")</f>
        <v/>
      </c>
      <c r="Y59" s="18">
        <f>IFERROR(Y29/Y$37,"")</f>
        <v/>
      </c>
      <c r="Z59" s="18">
        <f>IFERROR(Z29/Z$37,"")</f>
        <v/>
      </c>
      <c r="AA59" s="18">
        <f>IFERROR(AA29/AA$37,"")</f>
        <v/>
      </c>
      <c r="AB59" s="18">
        <f>IFERROR(AB29/AB$37,"")</f>
        <v/>
      </c>
      <c r="AC59" s="18">
        <f>IFERROR(AC29/AC$37,"")</f>
        <v/>
      </c>
      <c r="AD59" s="18">
        <f>IFERROR(AD29/AD$37,"")</f>
        <v/>
      </c>
      <c r="AE59" s="18">
        <f>IFERROR(AE29/AE$37,"")</f>
        <v/>
      </c>
      <c r="AF59" s="18">
        <f>IFERROR(AF29/AF$37,"")</f>
        <v/>
      </c>
      <c r="AG59" s="18">
        <f>IFERROR(AG29/AG$37,"")</f>
        <v/>
      </c>
      <c r="AH59" s="18">
        <f>IFERROR(AH29/AH$37,"")</f>
        <v/>
      </c>
      <c r="AI59" s="18">
        <f>IFERROR(AI29/AI$37,"")</f>
        <v/>
      </c>
      <c r="AJ59" s="18">
        <f>IFERROR(AJ29/AJ$37,"")</f>
        <v/>
      </c>
      <c r="AK59" s="18">
        <f>IFERROR(AK29/AK$37,"")</f>
        <v/>
      </c>
      <c r="AL59" s="18">
        <f>IFERROR(AL29/AL$37,"")</f>
        <v/>
      </c>
      <c r="AM59" s="18">
        <f>IFERROR(AM29/AM$37,"")</f>
        <v/>
      </c>
      <c r="AN59" s="18">
        <f>IFERROR(AN29/AN$37,"")</f>
        <v/>
      </c>
      <c r="AO59" s="18">
        <f>IFERROR(AO29/AO$37,"")</f>
        <v/>
      </c>
      <c r="AP59" s="18">
        <f>IFERROR(AP29/AP$37,"")</f>
        <v/>
      </c>
      <c r="AQ59" s="18">
        <f>IFERROR(AQ29/AQ$37,"")</f>
        <v/>
      </c>
      <c r="AR59" s="18">
        <f>IFERROR(AR29/AR$37,"")</f>
        <v/>
      </c>
      <c r="AS59" s="18">
        <f>IFERROR(AS29/AS$37,"")</f>
        <v/>
      </c>
      <c r="AT59" s="18">
        <f>IFERROR(AT29/AT$37,"")</f>
        <v/>
      </c>
    </row>
    <row r="60" ht="15.75" customHeight="1" s="252">
      <c r="A60" s="7" t="inlineStr">
        <is>
          <t>Valeria Cruz</t>
        </is>
      </c>
      <c r="D60" s="18">
        <f>IFERROR(D30/D$37,"")</f>
        <v/>
      </c>
      <c r="E60" s="18">
        <f>IFERROR(E30/E$37,"")</f>
        <v/>
      </c>
      <c r="F60" s="18">
        <f>IFERROR(F30/F$37,"")</f>
        <v/>
      </c>
      <c r="G60" s="18">
        <f>IFERROR(G30/G$37,"")</f>
        <v/>
      </c>
      <c r="H60" s="18">
        <f>IFERROR(H30/H$37,"")</f>
        <v/>
      </c>
      <c r="I60" s="18">
        <f>IFERROR(I30/I$37,"")</f>
        <v/>
      </c>
      <c r="J60" s="18">
        <f>IFERROR(J30/J$37,"")</f>
        <v/>
      </c>
      <c r="K60" s="18">
        <f>IFERROR(K30/K$37,"")</f>
        <v/>
      </c>
      <c r="L60" s="18">
        <f>IFERROR(L30/L$37,"")</f>
        <v/>
      </c>
      <c r="M60" s="18">
        <f>IFERROR(M30/M$37,"")</f>
        <v/>
      </c>
      <c r="N60" s="18">
        <f>IFERROR(N30/N$37,"")</f>
        <v/>
      </c>
      <c r="O60" s="18">
        <f>IFERROR(O30/O$37,"")</f>
        <v/>
      </c>
      <c r="P60" s="18">
        <f>IFERROR(P30/P$37,"")</f>
        <v/>
      </c>
      <c r="Q60" s="18">
        <f>IFERROR(Q30/Q$37,"")</f>
        <v/>
      </c>
      <c r="R60" s="18">
        <f>IFERROR(R30/R$37,"")</f>
        <v/>
      </c>
      <c r="S60" s="18">
        <f>IFERROR(S30/S$37,"")</f>
        <v/>
      </c>
      <c r="T60" s="18">
        <f>IFERROR(T30/T$37,"")</f>
        <v/>
      </c>
      <c r="U60" s="18">
        <f>IFERROR(U30/U$37,"")</f>
        <v/>
      </c>
      <c r="V60" s="18">
        <f>IFERROR(V30/V$37,"")</f>
        <v/>
      </c>
      <c r="W60" s="18">
        <f>IFERROR(W30/W$37,"")</f>
        <v/>
      </c>
      <c r="X60" s="18">
        <f>IFERROR(X30/X$37,"")</f>
        <v/>
      </c>
      <c r="Y60" s="18">
        <f>IFERROR(Y30/Y$37,"")</f>
        <v/>
      </c>
      <c r="Z60" s="18">
        <f>IFERROR(Z30/Z$37,"")</f>
        <v/>
      </c>
      <c r="AA60" s="18">
        <f>IFERROR(AA30/AA$37,"")</f>
        <v/>
      </c>
      <c r="AB60" s="18">
        <f>IFERROR(AB30/AB$37,"")</f>
        <v/>
      </c>
      <c r="AC60" s="18">
        <f>IFERROR(AC30/AC$37,"")</f>
        <v/>
      </c>
      <c r="AD60" s="18">
        <f>IFERROR(AD30/AD$37,"")</f>
        <v/>
      </c>
      <c r="AE60" s="18">
        <f>IFERROR(AE30/AE$37,"")</f>
        <v/>
      </c>
      <c r="AF60" s="18">
        <f>IFERROR(AF30/AF$37,"")</f>
        <v/>
      </c>
      <c r="AG60" s="18">
        <f>IFERROR(AG30/AG$37,"")</f>
        <v/>
      </c>
      <c r="AH60" s="18">
        <f>IFERROR(AH30/AH$37,"")</f>
        <v/>
      </c>
      <c r="AI60" s="18">
        <f>IFERROR(AI30/AI$37,"")</f>
        <v/>
      </c>
      <c r="AJ60" s="18">
        <f>IFERROR(AJ30/AJ$37,"")</f>
        <v/>
      </c>
      <c r="AK60" s="18">
        <f>IFERROR(AK30/AK$37,"")</f>
        <v/>
      </c>
      <c r="AL60" s="18">
        <f>IFERROR(AL30/AL$37,"")</f>
        <v/>
      </c>
      <c r="AM60" s="18">
        <f>IFERROR(AM30/AM$37,"")</f>
        <v/>
      </c>
      <c r="AN60" s="18">
        <f>IFERROR(AN30/AN$37,"")</f>
        <v/>
      </c>
      <c r="AO60" s="18">
        <f>IFERROR(AO30/AO$37,"")</f>
        <v/>
      </c>
      <c r="AP60" s="18">
        <f>IFERROR(AP30/AP$37,"")</f>
        <v/>
      </c>
      <c r="AQ60" s="18">
        <f>IFERROR(AQ30/AQ$37,"")</f>
        <v/>
      </c>
      <c r="AR60" s="18">
        <f>IFERROR(AR30/AR$37,"")</f>
        <v/>
      </c>
      <c r="AS60" s="18">
        <f>IFERROR(AS30/AS$37,"")</f>
        <v/>
      </c>
      <c r="AT60" s="18">
        <f>IFERROR(AT30/AT$37,"")</f>
        <v/>
      </c>
    </row>
    <row r="61" ht="15.75" customHeight="1" s="252">
      <c r="A61" s="7" t="inlineStr">
        <is>
          <t>Ventures Life Style</t>
        </is>
      </c>
      <c r="D61" s="18">
        <f>IFERROR(D31/D$37,"")</f>
        <v/>
      </c>
      <c r="E61" s="18">
        <f>IFERROR(E31/E$37,"")</f>
        <v/>
      </c>
      <c r="F61" s="18">
        <f>IFERROR(F31/F$37,"")</f>
        <v/>
      </c>
      <c r="G61" s="18">
        <f>IFERROR(G31/G$37,"")</f>
        <v/>
      </c>
      <c r="H61" s="18">
        <f>IFERROR(H31/H$37,"")</f>
        <v/>
      </c>
      <c r="I61" s="18">
        <f>IFERROR(I31/I$37,"")</f>
        <v/>
      </c>
      <c r="J61" s="18">
        <f>IFERROR(J31/J$37,"")</f>
        <v/>
      </c>
      <c r="K61" s="18">
        <f>IFERROR(K31/K$37,"")</f>
        <v/>
      </c>
      <c r="L61" s="18">
        <f>IFERROR(L31/L$37,"")</f>
        <v/>
      </c>
      <c r="M61" s="18">
        <f>IFERROR(M31/M$37,"")</f>
        <v/>
      </c>
      <c r="N61" s="18">
        <f>IFERROR(N31/N$37,"")</f>
        <v/>
      </c>
      <c r="O61" s="18">
        <f>IFERROR(O31/O$37,"")</f>
        <v/>
      </c>
      <c r="P61" s="18">
        <f>IFERROR(P31/P$37,"")</f>
        <v/>
      </c>
      <c r="Q61" s="18">
        <f>IFERROR(Q31/Q$37,"")</f>
        <v/>
      </c>
      <c r="R61" s="18">
        <f>IFERROR(R31/R$37,"")</f>
        <v/>
      </c>
      <c r="S61" s="18">
        <f>IFERROR(S31/S$37,"")</f>
        <v/>
      </c>
      <c r="T61" s="18">
        <f>IFERROR(T31/T$37,"")</f>
        <v/>
      </c>
      <c r="U61" s="18">
        <f>IFERROR(U31/U$37,"")</f>
        <v/>
      </c>
      <c r="V61" s="18">
        <f>IFERROR(V31/V$37,"")</f>
        <v/>
      </c>
      <c r="W61" s="18">
        <f>IFERROR(W31/W$37,"")</f>
        <v/>
      </c>
      <c r="X61" s="18">
        <f>IFERROR(X31/X$37,"")</f>
        <v/>
      </c>
      <c r="Y61" s="18">
        <f>IFERROR(Y31/Y$37,"")</f>
        <v/>
      </c>
      <c r="Z61" s="18">
        <f>IFERROR(Z31/Z$37,"")</f>
        <v/>
      </c>
      <c r="AA61" s="18">
        <f>IFERROR(AA31/AA$37,"")</f>
        <v/>
      </c>
      <c r="AB61" s="18">
        <f>IFERROR(AB31/AB$37,"")</f>
        <v/>
      </c>
      <c r="AC61" s="18">
        <f>IFERROR(AC31/AC$37,"")</f>
        <v/>
      </c>
      <c r="AD61" s="18">
        <f>IFERROR(AD31/AD$37,"")</f>
        <v/>
      </c>
      <c r="AE61" s="18">
        <f>IFERROR(AE31/AE$37,"")</f>
        <v/>
      </c>
      <c r="AF61" s="18">
        <f>IFERROR(AF31/AF$37,"")</f>
        <v/>
      </c>
      <c r="AG61" s="18">
        <f>IFERROR(AG31/AG$37,"")</f>
        <v/>
      </c>
      <c r="AH61" s="18">
        <f>IFERROR(AH31/AH$37,"")</f>
        <v/>
      </c>
      <c r="AI61" s="18">
        <f>IFERROR(AI31/AI$37,"")</f>
        <v/>
      </c>
      <c r="AJ61" s="18">
        <f>IFERROR(AJ31/AJ$37,"")</f>
        <v/>
      </c>
      <c r="AK61" s="18">
        <f>IFERROR(AK31/AK$37,"")</f>
        <v/>
      </c>
      <c r="AL61" s="18">
        <f>IFERROR(AL31/AL$37,"")</f>
        <v/>
      </c>
      <c r="AM61" s="18">
        <f>IFERROR(AM31/AM$37,"")</f>
        <v/>
      </c>
      <c r="AN61" s="18">
        <f>IFERROR(AN31/AN$37,"")</f>
        <v/>
      </c>
      <c r="AO61" s="18">
        <f>IFERROR(AO31/AO$37,"")</f>
        <v/>
      </c>
      <c r="AP61" s="18">
        <f>IFERROR(AP31/AP$37,"")</f>
        <v/>
      </c>
      <c r="AQ61" s="18">
        <f>IFERROR(AQ31/AQ$37,"")</f>
        <v/>
      </c>
      <c r="AR61" s="18">
        <f>IFERROR(AR31/AR$37,"")</f>
        <v/>
      </c>
      <c r="AS61" s="18">
        <f>IFERROR(AS31/AS$37,"")</f>
        <v/>
      </c>
      <c r="AT61" s="18">
        <f>IFERROR(AT31/AT$37,"")</f>
        <v/>
      </c>
    </row>
    <row r="62" ht="15.75" customHeight="1" s="252">
      <c r="A62" s="7" t="inlineStr">
        <is>
          <t>Joel Barbeau</t>
        </is>
      </c>
      <c r="D62" s="18">
        <f>IFERROR(D32/D$37,"")</f>
        <v/>
      </c>
      <c r="E62" s="18">
        <f>IFERROR(E32/E$37,"")</f>
        <v/>
      </c>
      <c r="F62" s="18">
        <f>IFERROR(F32/F$37,"")</f>
        <v/>
      </c>
      <c r="G62" s="18">
        <f>IFERROR(G32/G$37,"")</f>
        <v/>
      </c>
      <c r="H62" s="18">
        <f>IFERROR(H32/H$37,"")</f>
        <v/>
      </c>
      <c r="I62" s="18">
        <f>IFERROR(I32/I$37,"")</f>
        <v/>
      </c>
      <c r="J62" s="18">
        <f>IFERROR(J32/J$37,"")</f>
        <v/>
      </c>
      <c r="K62" s="18">
        <f>IFERROR(K32/K$37,"")</f>
        <v/>
      </c>
      <c r="L62" s="18">
        <f>IFERROR(L32/L$37,"")</f>
        <v/>
      </c>
      <c r="M62" s="18">
        <f>IFERROR(M32/M$37,"")</f>
        <v/>
      </c>
      <c r="N62" s="18">
        <f>IFERROR(N32/N$37,"")</f>
        <v/>
      </c>
      <c r="O62" s="18">
        <f>IFERROR(O32/O$37,"")</f>
        <v/>
      </c>
      <c r="P62" s="18">
        <f>IFERROR(P32/P$37,"")</f>
        <v/>
      </c>
      <c r="Q62" s="18">
        <f>IFERROR(Q32/Q$37,"")</f>
        <v/>
      </c>
      <c r="R62" s="18">
        <f>IFERROR(R32/R$37,"")</f>
        <v/>
      </c>
      <c r="S62" s="18">
        <f>IFERROR(S32/S$37,"")</f>
        <v/>
      </c>
      <c r="T62" s="18">
        <f>IFERROR(T32/T$37,"")</f>
        <v/>
      </c>
      <c r="U62" s="18">
        <f>IFERROR(U32/U$37,"")</f>
        <v/>
      </c>
      <c r="V62" s="18">
        <f>IFERROR(V32/V$37,"")</f>
        <v/>
      </c>
      <c r="W62" s="18">
        <f>IFERROR(W32/W$37,"")</f>
        <v/>
      </c>
      <c r="X62" s="18">
        <f>IFERROR(X32/X$37,"")</f>
        <v/>
      </c>
      <c r="Y62" s="18">
        <f>IFERROR(Y32/Y$37,"")</f>
        <v/>
      </c>
      <c r="Z62" s="18">
        <f>IFERROR(Z32/Z$37,"")</f>
        <v/>
      </c>
      <c r="AA62" s="18">
        <f>IFERROR(AA32/AA$37,"")</f>
        <v/>
      </c>
      <c r="AB62" s="18">
        <f>IFERROR(AB32/AB$37,"")</f>
        <v/>
      </c>
      <c r="AC62" s="18">
        <f>IFERROR(AC32/AC$37,"")</f>
        <v/>
      </c>
      <c r="AD62" s="18">
        <f>IFERROR(AD32/AD$37,"")</f>
        <v/>
      </c>
      <c r="AE62" s="18">
        <f>IFERROR(AE32/AE$37,"")</f>
        <v/>
      </c>
      <c r="AF62" s="18">
        <f>IFERROR(AF32/AF$37,"")</f>
        <v/>
      </c>
      <c r="AG62" s="18">
        <f>IFERROR(AG32/AG$37,"")</f>
        <v/>
      </c>
      <c r="AH62" s="18">
        <f>IFERROR(AH32/AH$37,"")</f>
        <v/>
      </c>
      <c r="AI62" s="18">
        <f>IFERROR(AI32/AI$37,"")</f>
        <v/>
      </c>
      <c r="AJ62" s="18">
        <f>IFERROR(AJ32/AJ$37,"")</f>
        <v/>
      </c>
      <c r="AK62" s="18">
        <f>IFERROR(AK32/AK$37,"")</f>
        <v/>
      </c>
      <c r="AL62" s="18">
        <f>IFERROR(AL32/AL$37,"")</f>
        <v/>
      </c>
      <c r="AM62" s="18">
        <f>IFERROR(AM32/AM$37,"")</f>
        <v/>
      </c>
      <c r="AN62" s="18">
        <f>IFERROR(AN32/AN$37,"")</f>
        <v/>
      </c>
      <c r="AO62" s="18">
        <f>IFERROR(AO32/AO$37,"")</f>
        <v/>
      </c>
      <c r="AP62" s="18">
        <f>IFERROR(AP32/AP$37,"")</f>
        <v/>
      </c>
      <c r="AQ62" s="18">
        <f>IFERROR(AQ32/AQ$37,"")</f>
        <v/>
      </c>
      <c r="AR62" s="18">
        <f>IFERROR(AR32/AR$37,"")</f>
        <v/>
      </c>
      <c r="AS62" s="18">
        <f>IFERROR(AS32/AS$37,"")</f>
        <v/>
      </c>
      <c r="AT62" s="18">
        <f>IFERROR(AT32/AT$37,"")</f>
        <v/>
      </c>
    </row>
    <row r="63" ht="15.75" customHeight="1" s="252">
      <c r="A63" s="7" t="inlineStr">
        <is>
          <t>Thomas Puech</t>
        </is>
      </c>
      <c r="D63" s="18">
        <f>IFERROR(D33/D$37,"")</f>
        <v/>
      </c>
      <c r="E63" s="18">
        <f>IFERROR(E33/E$37,"")</f>
        <v/>
      </c>
      <c r="F63" s="18">
        <f>IFERROR(F33/F$37,"")</f>
        <v/>
      </c>
      <c r="G63" s="18">
        <f>IFERROR(G33/G$37,"")</f>
        <v/>
      </c>
      <c r="H63" s="18">
        <f>IFERROR(H33/H$37,"")</f>
        <v/>
      </c>
      <c r="I63" s="18">
        <f>IFERROR(I33/I$37,"")</f>
        <v/>
      </c>
      <c r="J63" s="18">
        <f>IFERROR(J33/J$37,"")</f>
        <v/>
      </c>
      <c r="K63" s="18">
        <f>IFERROR(K33/K$37,"")</f>
        <v/>
      </c>
      <c r="L63" s="18">
        <f>IFERROR(L33/L$37,"")</f>
        <v/>
      </c>
      <c r="M63" s="18">
        <f>IFERROR(M33/M$37,"")</f>
        <v/>
      </c>
      <c r="N63" s="18">
        <f>IFERROR(N33/N$37,"")</f>
        <v/>
      </c>
      <c r="O63" s="18">
        <f>IFERROR(O33/O$37,"")</f>
        <v/>
      </c>
      <c r="P63" s="18">
        <f>IFERROR(P33/P$37,"")</f>
        <v/>
      </c>
      <c r="Q63" s="18">
        <f>IFERROR(Q33/Q$37,"")</f>
        <v/>
      </c>
      <c r="R63" s="18">
        <f>IFERROR(R33/R$37,"")</f>
        <v/>
      </c>
      <c r="S63" s="18">
        <f>IFERROR(S33/S$37,"")</f>
        <v/>
      </c>
      <c r="T63" s="18">
        <f>IFERROR(T33/T$37,"")</f>
        <v/>
      </c>
      <c r="U63" s="18">
        <f>IFERROR(U33/U$37,"")</f>
        <v/>
      </c>
      <c r="V63" s="18">
        <f>IFERROR(V33/V$37,"")</f>
        <v/>
      </c>
      <c r="W63" s="18">
        <f>IFERROR(W33/W$37,"")</f>
        <v/>
      </c>
      <c r="X63" s="18">
        <f>IFERROR(X33/X$37,"")</f>
        <v/>
      </c>
      <c r="Y63" s="18">
        <f>IFERROR(Y33/Y$37,"")</f>
        <v/>
      </c>
      <c r="Z63" s="18">
        <f>IFERROR(Z33/Z$37,"")</f>
        <v/>
      </c>
      <c r="AA63" s="18">
        <f>IFERROR(AA33/AA$37,"")</f>
        <v/>
      </c>
      <c r="AB63" s="18">
        <f>IFERROR(AB33/AB$37,"")</f>
        <v/>
      </c>
      <c r="AC63" s="18">
        <f>IFERROR(AC33/AC$37,"")</f>
        <v/>
      </c>
      <c r="AD63" s="18">
        <f>IFERROR(AD33/AD$37,"")</f>
        <v/>
      </c>
      <c r="AE63" s="18">
        <f>IFERROR(AE33/AE$37,"")</f>
        <v/>
      </c>
      <c r="AF63" s="18">
        <f>IFERROR(AF33/AF$37,"")</f>
        <v/>
      </c>
      <c r="AG63" s="18">
        <f>IFERROR(AG33/AG$37,"")</f>
        <v/>
      </c>
      <c r="AH63" s="18">
        <f>IFERROR(AH33/AH$37,"")</f>
        <v/>
      </c>
      <c r="AI63" s="18">
        <f>IFERROR(AI33/AI$37,"")</f>
        <v/>
      </c>
      <c r="AJ63" s="18">
        <f>IFERROR(AJ33/AJ$37,"")</f>
        <v/>
      </c>
      <c r="AK63" s="18">
        <f>IFERROR(AK33/AK$37,"")</f>
        <v/>
      </c>
      <c r="AL63" s="18">
        <f>IFERROR(AL33/AL$37,"")</f>
        <v/>
      </c>
      <c r="AM63" s="18">
        <f>IFERROR(AM33/AM$37,"")</f>
        <v/>
      </c>
      <c r="AN63" s="18">
        <f>IFERROR(AN33/AN$37,"")</f>
        <v/>
      </c>
      <c r="AO63" s="18">
        <f>IFERROR(AO33/AO$37,"")</f>
        <v/>
      </c>
      <c r="AP63" s="18">
        <f>IFERROR(AP33/AP$37,"")</f>
        <v/>
      </c>
      <c r="AQ63" s="18">
        <f>IFERROR(AQ33/AQ$37,"")</f>
        <v/>
      </c>
      <c r="AR63" s="18">
        <f>IFERROR(AR33/AR$37,"")</f>
        <v/>
      </c>
      <c r="AS63" s="18">
        <f>IFERROR(AS33/AS$37,"")</f>
        <v/>
      </c>
      <c r="AT63" s="18">
        <f>IFERROR(AT33/AT$37,"")</f>
        <v/>
      </c>
    </row>
    <row r="64" ht="15.75" customHeight="1" s="252">
      <c r="A64" s="11" t="inlineStr">
        <is>
          <t>Tomer Mazar</t>
        </is>
      </c>
      <c r="D64" s="18">
        <f>IFERROR(D34/D$37,"")</f>
        <v/>
      </c>
      <c r="E64" s="18">
        <f>IFERROR(E34/E$37,"")</f>
        <v/>
      </c>
      <c r="F64" s="18">
        <f>IFERROR(F34/F$37,"")</f>
        <v/>
      </c>
      <c r="G64" s="18">
        <f>IFERROR(G34/G$37,"")</f>
        <v/>
      </c>
      <c r="H64" s="18">
        <f>IFERROR(H34/H$37,"")</f>
        <v/>
      </c>
      <c r="I64" s="18">
        <f>IFERROR(I34/I$37,"")</f>
        <v/>
      </c>
      <c r="J64" s="18">
        <f>IFERROR(J34/J$37,"")</f>
        <v/>
      </c>
      <c r="K64" s="18">
        <f>IFERROR(K34/K$37,"")</f>
        <v/>
      </c>
      <c r="L64" s="18">
        <f>IFERROR(L34/L$37,"")</f>
        <v/>
      </c>
      <c r="M64" s="18">
        <f>IFERROR(M34/M$37,"")</f>
        <v/>
      </c>
      <c r="N64" s="18">
        <f>IFERROR(N34/N$37,"")</f>
        <v/>
      </c>
      <c r="O64" s="18">
        <f>IFERROR(O34/O$37,"")</f>
        <v/>
      </c>
      <c r="P64" s="18">
        <f>IFERROR(P34/P$37,"")</f>
        <v/>
      </c>
      <c r="Q64" s="18">
        <f>IFERROR(Q34/Q$37,"")</f>
        <v/>
      </c>
      <c r="R64" s="18">
        <f>IFERROR(R34/R$37,"")</f>
        <v/>
      </c>
      <c r="S64" s="18">
        <f>IFERROR(S34/S$37,"")</f>
        <v/>
      </c>
      <c r="T64" s="18">
        <f>IFERROR(T34/T$37,"")</f>
        <v/>
      </c>
      <c r="U64" s="18">
        <f>IFERROR(U34/U$37,"")</f>
        <v/>
      </c>
      <c r="V64" s="18">
        <f>IFERROR(V34/V$37,"")</f>
        <v/>
      </c>
      <c r="W64" s="18">
        <f>IFERROR(W34/W$37,"")</f>
        <v/>
      </c>
      <c r="X64" s="18">
        <f>IFERROR(X34/X$37,"")</f>
        <v/>
      </c>
      <c r="Y64" s="18">
        <f>IFERROR(Y34/Y$37,"")</f>
        <v/>
      </c>
      <c r="Z64" s="18">
        <f>IFERROR(Z34/Z$37,"")</f>
        <v/>
      </c>
      <c r="AA64" s="18">
        <f>IFERROR(AA34/AA$37,"")</f>
        <v/>
      </c>
      <c r="AB64" s="18">
        <f>IFERROR(AB34/AB$37,"")</f>
        <v/>
      </c>
      <c r="AC64" s="18">
        <f>IFERROR(AC34/AC$37,"")</f>
        <v/>
      </c>
      <c r="AD64" s="18">
        <f>IFERROR(AD34/AD$37,"")</f>
        <v/>
      </c>
      <c r="AE64" s="18">
        <f>IFERROR(AE34/AE$37,"")</f>
        <v/>
      </c>
      <c r="AF64" s="18">
        <f>IFERROR(AF34/AF$37,"")</f>
        <v/>
      </c>
      <c r="AG64" s="18">
        <f>IFERROR(AG34/AG$37,"")</f>
        <v/>
      </c>
      <c r="AH64" s="18">
        <f>IFERROR(AH34/AH$37,"")</f>
        <v/>
      </c>
      <c r="AI64" s="18">
        <f>IFERROR(AI34/AI$37,"")</f>
        <v/>
      </c>
      <c r="AJ64" s="18">
        <f>IFERROR(AJ34/AJ$37,"")</f>
        <v/>
      </c>
      <c r="AK64" s="18">
        <f>IFERROR(AK34/AK$37,"")</f>
        <v/>
      </c>
      <c r="AL64" s="18">
        <f>IFERROR(AL34/AL$37,"")</f>
        <v/>
      </c>
      <c r="AM64" s="18">
        <f>IFERROR(AM34/AM$37,"")</f>
        <v/>
      </c>
      <c r="AN64" s="18">
        <f>IFERROR(AN34/AN$37,"")</f>
        <v/>
      </c>
      <c r="AO64" s="18">
        <f>IFERROR(AO34/AO$37,"")</f>
        <v/>
      </c>
      <c r="AP64" s="18">
        <f>IFERROR(AP34/AP$37,"")</f>
        <v/>
      </c>
      <c r="AQ64" s="18">
        <f>IFERROR(AQ34/AQ$37,"")</f>
        <v/>
      </c>
      <c r="AR64" s="18">
        <f>IFERROR(AR34/AR$37,"")</f>
        <v/>
      </c>
      <c r="AS64" s="18">
        <f>IFERROR(AS34/AS$37,"")</f>
        <v/>
      </c>
      <c r="AT64" s="18">
        <f>IFERROR(AT34/AT$37,"")</f>
        <v/>
      </c>
    </row>
    <row r="65" ht="15.75" customHeight="1" s="252">
      <c r="A65" s="11" t="inlineStr">
        <is>
          <t>Nathanaël Cohen</t>
        </is>
      </c>
      <c r="D65" s="18">
        <f>IFERROR(D35/D$37,"")</f>
        <v/>
      </c>
      <c r="E65" s="18">
        <f>IFERROR(E35/E$37,"")</f>
        <v/>
      </c>
      <c r="F65" s="18">
        <f>IFERROR(F35/F$37,"")</f>
        <v/>
      </c>
      <c r="G65" s="18">
        <f>IFERROR(G35/G$37,"")</f>
        <v/>
      </c>
      <c r="H65" s="18">
        <f>IFERROR(H35/H$37,"")</f>
        <v/>
      </c>
      <c r="I65" s="18">
        <f>IFERROR(I35/I$37,"")</f>
        <v/>
      </c>
      <c r="J65" s="18">
        <f>IFERROR(J35/J$37,"")</f>
        <v/>
      </c>
      <c r="K65" s="18">
        <f>IFERROR(K35/K$37,"")</f>
        <v/>
      </c>
      <c r="L65" s="18">
        <f>IFERROR(L35/L$37,"")</f>
        <v/>
      </c>
      <c r="M65" s="18">
        <f>IFERROR(M35/M$37,"")</f>
        <v/>
      </c>
      <c r="N65" s="18">
        <f>IFERROR(N35/N$37,"")</f>
        <v/>
      </c>
      <c r="O65" s="18">
        <f>IFERROR(O35/O$37,"")</f>
        <v/>
      </c>
      <c r="P65" s="18">
        <f>IFERROR(P35/P$37,"")</f>
        <v/>
      </c>
      <c r="Q65" s="18">
        <f>IFERROR(Q35/Q$37,"")</f>
        <v/>
      </c>
      <c r="R65" s="18">
        <f>IFERROR(R35/R$37,"")</f>
        <v/>
      </c>
      <c r="S65" s="18">
        <f>IFERROR(S35/S$37,"")</f>
        <v/>
      </c>
      <c r="T65" s="18">
        <f>IFERROR(T35/T$37,"")</f>
        <v/>
      </c>
      <c r="U65" s="18">
        <f>IFERROR(U35/U$37,"")</f>
        <v/>
      </c>
      <c r="V65" s="18">
        <f>IFERROR(V35/V$37,"")</f>
        <v/>
      </c>
      <c r="W65" s="18">
        <f>IFERROR(W35/W$37,"")</f>
        <v/>
      </c>
      <c r="X65" s="18">
        <f>IFERROR(X35/X$37,"")</f>
        <v/>
      </c>
      <c r="Y65" s="18">
        <f>IFERROR(Y35/Y$37,"")</f>
        <v/>
      </c>
      <c r="Z65" s="18">
        <f>IFERROR(Z35/Z$37,"")</f>
        <v/>
      </c>
      <c r="AA65" s="18">
        <f>IFERROR(AA35/AA$37,"")</f>
        <v/>
      </c>
      <c r="AB65" s="18">
        <f>IFERROR(AB35/AB$37,"")</f>
        <v/>
      </c>
      <c r="AC65" s="18">
        <f>IFERROR(AC35/AC$37,"")</f>
        <v/>
      </c>
      <c r="AD65" s="18">
        <f>IFERROR(AD35/AD$37,"")</f>
        <v/>
      </c>
      <c r="AE65" s="18">
        <f>IFERROR(AE35/AE$37,"")</f>
        <v/>
      </c>
      <c r="AF65" s="18">
        <f>IFERROR(AF35/AF$37,"")</f>
        <v/>
      </c>
      <c r="AG65" s="18">
        <f>IFERROR(AG35/AG$37,"")</f>
        <v/>
      </c>
      <c r="AH65" s="18">
        <f>IFERROR(AH35/AH$37,"")</f>
        <v/>
      </c>
      <c r="AI65" s="18">
        <f>IFERROR(AI35/AI$37,"")</f>
        <v/>
      </c>
      <c r="AJ65" s="18">
        <f>IFERROR(AJ35/AJ$37,"")</f>
        <v/>
      </c>
      <c r="AK65" s="18">
        <f>IFERROR(AK35/AK$37,"")</f>
        <v/>
      </c>
      <c r="AL65" s="18">
        <f>IFERROR(AL35/AL$37,"")</f>
        <v/>
      </c>
      <c r="AM65" s="18">
        <f>IFERROR(AM35/AM$37,"")</f>
        <v/>
      </c>
      <c r="AN65" s="18">
        <f>IFERROR(AN35/AN$37,"")</f>
        <v/>
      </c>
      <c r="AO65" s="18">
        <f>IFERROR(AO35/AO$37,"")</f>
        <v/>
      </c>
      <c r="AP65" s="18">
        <f>IFERROR(AP35/AP$37,"")</f>
        <v/>
      </c>
      <c r="AQ65" s="18">
        <f>IFERROR(AQ35/AQ$37,"")</f>
        <v/>
      </c>
      <c r="AR65" s="18">
        <f>IFERROR(AR35/AR$37,"")</f>
        <v/>
      </c>
      <c r="AS65" s="18">
        <f>IFERROR(AS35/AS$37,"")</f>
        <v/>
      </c>
      <c r="AT65" s="18">
        <f>IFERROR(AT35/AT$37,"")</f>
        <v/>
      </c>
    </row>
    <row r="66" ht="15.75" customHeight="1" s="252">
      <c r="A66" s="11" t="inlineStr">
        <is>
          <t>No Limit Payments</t>
        </is>
      </c>
      <c r="D66" s="18">
        <f>IFERROR(D36/D$37,"")</f>
        <v/>
      </c>
      <c r="E66" s="18">
        <f>IFERROR(E36/E$37,"")</f>
        <v/>
      </c>
      <c r="F66" s="18">
        <f>IFERROR(F36/F$37,"")</f>
        <v/>
      </c>
      <c r="G66" s="18">
        <f>IFERROR(G36/G$37,"")</f>
        <v/>
      </c>
      <c r="H66" s="18">
        <f>IFERROR(H36/H$37,"")</f>
        <v/>
      </c>
      <c r="I66" s="18">
        <f>IFERROR(I36/I$37,"")</f>
        <v/>
      </c>
      <c r="J66" s="18">
        <f>IFERROR(J36/J$37,"")</f>
        <v/>
      </c>
      <c r="K66" s="18">
        <f>IFERROR(K36/K$37,"")</f>
        <v/>
      </c>
      <c r="L66" s="18">
        <f>IFERROR(L36/L$37,"")</f>
        <v/>
      </c>
      <c r="M66" s="18">
        <f>IFERROR(M36/M$37,"")</f>
        <v/>
      </c>
      <c r="N66" s="18">
        <f>IFERROR(N36/N$37,"")</f>
        <v/>
      </c>
      <c r="O66" s="18">
        <f>IFERROR(O36/O$37,"")</f>
        <v/>
      </c>
      <c r="P66" s="18">
        <f>IFERROR(P36/P$37,"")</f>
        <v/>
      </c>
      <c r="Q66" s="18">
        <f>IFERROR(Q36/Q$37,"")</f>
        <v/>
      </c>
      <c r="R66" s="18">
        <f>IFERROR(R36/R$37,"")</f>
        <v/>
      </c>
      <c r="S66" s="18">
        <f>IFERROR(S36/S$37,"")</f>
        <v/>
      </c>
      <c r="T66" s="18">
        <f>IFERROR(T36/T$37,"")</f>
        <v/>
      </c>
      <c r="U66" s="18">
        <f>IFERROR(U36/U$37,"")</f>
        <v/>
      </c>
      <c r="V66" s="18">
        <f>IFERROR(V36/V$37,"")</f>
        <v/>
      </c>
      <c r="W66" s="18">
        <f>IFERROR(W36/W$37,"")</f>
        <v/>
      </c>
      <c r="X66" s="18">
        <f>IFERROR(X36/X$37,"")</f>
        <v/>
      </c>
      <c r="Y66" s="18">
        <f>IFERROR(Y36/Y$37,"")</f>
        <v/>
      </c>
      <c r="Z66" s="18">
        <f>IFERROR(Z36/Z$37,"")</f>
        <v/>
      </c>
      <c r="AA66" s="18">
        <f>IFERROR(AA36/AA$37,"")</f>
        <v/>
      </c>
      <c r="AB66" s="18">
        <f>IFERROR(AB36/AB$37,"")</f>
        <v/>
      </c>
      <c r="AC66" s="18">
        <f>IFERROR(AC36/AC$37,"")</f>
        <v/>
      </c>
      <c r="AD66" s="18">
        <f>IFERROR(AD36/AD$37,"")</f>
        <v/>
      </c>
      <c r="AE66" s="18">
        <f>IFERROR(AE36/AE$37,"")</f>
        <v/>
      </c>
      <c r="AF66" s="18">
        <f>IFERROR(AF36/AF$37,"")</f>
        <v/>
      </c>
      <c r="AG66" s="18">
        <f>IFERROR(AG36/AG$37,"")</f>
        <v/>
      </c>
      <c r="AH66" s="18">
        <f>IFERROR(AH36/AH$37,"")</f>
        <v/>
      </c>
      <c r="AI66" s="18">
        <f>IFERROR(AI36/AI$37,"")</f>
        <v/>
      </c>
      <c r="AJ66" s="18">
        <f>IFERROR(AJ36/AJ$37,"")</f>
        <v/>
      </c>
      <c r="AK66" s="18">
        <f>IFERROR(AK36/AK$37,"")</f>
        <v/>
      </c>
      <c r="AL66" s="18">
        <f>IFERROR(AL36/AL$37,"")</f>
        <v/>
      </c>
      <c r="AM66" s="18">
        <f>IFERROR(AM36/AM$37,"")</f>
        <v/>
      </c>
      <c r="AN66" s="18">
        <f>IFERROR(AN36/AN$37,"")</f>
        <v/>
      </c>
      <c r="AO66" s="18">
        <f>IFERROR(AO36/AO$37,"")</f>
        <v/>
      </c>
      <c r="AP66" s="18">
        <f>IFERROR(AP36/AP$37,"")</f>
        <v/>
      </c>
      <c r="AQ66" s="18">
        <f>IFERROR(AQ36/AQ$37,"")</f>
        <v/>
      </c>
      <c r="AR66" s="18">
        <f>IFERROR(AR36/AR$37,"")</f>
        <v/>
      </c>
      <c r="AS66" s="18">
        <f>IFERROR(AS36/AS$37,"")</f>
        <v/>
      </c>
      <c r="AT66" s="18">
        <f>IFERROR(AT36/AT$37,"")</f>
        <v/>
      </c>
    </row>
    <row r="67" ht="15.75" customHeight="1" s="252">
      <c r="A67" s="76" t="inlineStr">
        <is>
          <t>Total AUM</t>
        </is>
      </c>
      <c r="B67" s="77" t="n"/>
      <c r="C67" s="131" t="n"/>
      <c r="D67" s="131">
        <f>SUM(D39:D66)</f>
        <v/>
      </c>
      <c r="E67" s="131">
        <f>SUM(E39:E66)</f>
        <v/>
      </c>
      <c r="F67" s="131">
        <f>SUM(F39:F66)</f>
        <v/>
      </c>
      <c r="G67" s="131">
        <f>SUM(G39:G66)</f>
        <v/>
      </c>
      <c r="H67" s="131">
        <f>SUM(H39:H66)</f>
        <v/>
      </c>
      <c r="I67" s="131">
        <f>SUM(I39:I66)</f>
        <v/>
      </c>
      <c r="J67" s="131">
        <f>SUM(J39:J66)</f>
        <v/>
      </c>
      <c r="K67" s="131">
        <f>SUM(K39:K66)</f>
        <v/>
      </c>
      <c r="L67" s="131">
        <f>SUM(L39:L66)</f>
        <v/>
      </c>
      <c r="M67" s="131">
        <f>SUM(M39:M66)</f>
        <v/>
      </c>
      <c r="N67" s="131">
        <f>SUM(N39:N66)</f>
        <v/>
      </c>
      <c r="O67" s="131">
        <f>SUM(O39:O66)</f>
        <v/>
      </c>
      <c r="P67" s="131">
        <f>SUM(P39:P66)</f>
        <v/>
      </c>
      <c r="Q67" s="131">
        <f>SUM(Q39:Q66)</f>
        <v/>
      </c>
      <c r="R67" s="131">
        <f>SUM(R39:R66)</f>
        <v/>
      </c>
      <c r="S67" s="131">
        <f>SUM(S39:S66)</f>
        <v/>
      </c>
      <c r="T67" s="131">
        <f>SUM(T39:T66)</f>
        <v/>
      </c>
      <c r="U67" s="131">
        <f>SUM(U39:U66)</f>
        <v/>
      </c>
      <c r="V67" s="131">
        <f>SUM(V39:V66)</f>
        <v/>
      </c>
      <c r="W67" s="131">
        <f>SUM(W39:W66)</f>
        <v/>
      </c>
      <c r="X67" s="131">
        <f>SUM(X39:X66)</f>
        <v/>
      </c>
      <c r="Y67" s="131">
        <f>SUM(Y39:Y66)</f>
        <v/>
      </c>
      <c r="Z67" s="131">
        <f>SUM(Z39:Z66)</f>
        <v/>
      </c>
      <c r="AA67" s="131">
        <f>SUM(AA39:AA66)</f>
        <v/>
      </c>
      <c r="AB67" s="131">
        <f>SUM(AB39:AB66)</f>
        <v/>
      </c>
      <c r="AC67" s="131">
        <f>SUM(AC39:AC66)</f>
        <v/>
      </c>
      <c r="AD67" s="131">
        <f>SUM(AD39:AD66)</f>
        <v/>
      </c>
      <c r="AE67" s="131">
        <f>SUM(AE39:AE66)</f>
        <v/>
      </c>
      <c r="AF67" s="131">
        <f>SUM(AF39:AF66)</f>
        <v/>
      </c>
      <c r="AG67" s="131">
        <f>SUM(AG39:AG66)</f>
        <v/>
      </c>
      <c r="AH67" s="131">
        <f>SUM(AH39:AH66)</f>
        <v/>
      </c>
      <c r="AI67" s="131">
        <f>SUM(AI39:AI66)</f>
        <v/>
      </c>
      <c r="AJ67" s="131">
        <f>SUM(AJ39:AJ66)</f>
        <v/>
      </c>
      <c r="AK67" s="131">
        <f>SUM(AK39:AK66)</f>
        <v/>
      </c>
      <c r="AL67" s="131">
        <f>SUM(AL39:AL66)</f>
        <v/>
      </c>
      <c r="AM67" s="131">
        <f>SUM(AM39:AM66)</f>
        <v/>
      </c>
      <c r="AN67" s="131">
        <f>SUM(AN39:AN66)</f>
        <v/>
      </c>
      <c r="AO67" s="131">
        <f>SUM(AO39:AO66)</f>
        <v/>
      </c>
      <c r="AP67" s="131">
        <f>SUM(AP39:AP66)</f>
        <v/>
      </c>
      <c r="AQ67" s="131">
        <f>SUM(AQ39:AQ66)</f>
        <v/>
      </c>
      <c r="AR67" s="131">
        <f>SUM(AR39:AR66)</f>
        <v/>
      </c>
      <c r="AS67" s="131">
        <f>SUM(AS39:AS66)</f>
        <v/>
      </c>
      <c r="AT67" s="131">
        <f>SUM(AT39:AT66)</f>
        <v/>
      </c>
    </row>
    <row r="68" ht="15.75" customHeight="1" s="252"/>
    <row r="69" ht="15.75" customHeight="1" s="252"/>
    <row r="70" ht="15.75" customHeight="1" s="252"/>
    <row r="71" ht="15.75" customHeight="1" s="252"/>
    <row r="72" ht="15.75" customHeight="1" s="252"/>
    <row r="73" ht="15.75" customHeight="1" s="252"/>
    <row r="74" ht="15.75" customHeight="1" s="252"/>
    <row r="75" ht="15.75" customHeight="1" s="252"/>
    <row r="76" ht="15.75" customHeight="1" s="252"/>
    <row r="77" ht="15.75" customHeight="1" s="252"/>
    <row r="78" ht="15.75" customHeight="1" s="252"/>
    <row r="79" ht="15.75" customHeight="1" s="252"/>
    <row r="80" ht="15.75" customHeight="1" s="252"/>
    <row r="81" ht="15.75" customHeight="1" s="252"/>
    <row r="82" ht="15.75" customHeight="1" s="252"/>
    <row r="83" ht="15.75" customHeight="1" s="252"/>
    <row r="84" ht="15.75" customHeight="1" s="252"/>
    <row r="85" ht="15.75" customHeight="1" s="252"/>
    <row r="86" ht="15.75" customHeight="1" s="252"/>
    <row r="87" ht="15.75" customHeight="1" s="252"/>
    <row r="88" ht="15.75" customHeight="1" s="252"/>
    <row r="89" ht="15.75" customHeight="1" s="252"/>
    <row r="90" ht="15.75" customHeight="1" s="252"/>
    <row r="91" ht="15.75" customHeight="1" s="252"/>
    <row r="92" ht="15.75" customHeight="1" s="252"/>
    <row r="93" ht="15.75" customHeight="1" s="252"/>
    <row r="94" ht="15.75" customHeight="1" s="252"/>
    <row r="95" ht="15.75" customHeight="1" s="252"/>
    <row r="96" ht="15.75" customHeight="1" s="252"/>
    <row r="97" ht="15.75" customHeight="1" s="252"/>
    <row r="98" ht="15.75" customHeight="1" s="252"/>
    <row r="99" ht="15.75" customHeight="1" s="252"/>
    <row r="100" ht="15.75" customHeight="1" s="252"/>
    <row r="101" ht="15.75" customHeight="1" s="252"/>
    <row r="102" ht="15.75" customHeight="1" s="252"/>
    <row r="103" ht="15.75" customHeight="1" s="252"/>
    <row r="104" ht="15.75" customHeight="1" s="252"/>
    <row r="105" ht="15.75" customHeight="1" s="252"/>
    <row r="106" ht="15.75" customHeight="1" s="252"/>
    <row r="107" ht="15.75" customHeight="1" s="252"/>
    <row r="108" ht="15.75" customHeight="1" s="252"/>
    <row r="109" ht="15.75" customHeight="1" s="252"/>
    <row r="110" ht="15.75" customHeight="1" s="252"/>
    <row r="111" ht="15.75" customHeight="1" s="252"/>
    <row r="112" ht="15.75" customHeight="1" s="252"/>
    <row r="113" ht="15.75" customHeight="1" s="252"/>
    <row r="114" ht="15.75" customHeight="1" s="252"/>
    <row r="115" ht="15.75" customHeight="1" s="252"/>
    <row r="116" ht="15.75" customHeight="1" s="252"/>
    <row r="117" ht="15.75" customHeight="1" s="252"/>
    <row r="118" ht="15.75" customHeight="1" s="252"/>
    <row r="119" ht="15.75" customHeight="1" s="252"/>
    <row r="120" ht="15.75" customHeight="1" s="252"/>
    <row r="121" ht="15.75" customHeight="1" s="252"/>
    <row r="122" ht="15.75" customHeight="1" s="252"/>
    <row r="123" ht="15.75" customHeight="1" s="252"/>
    <row r="124" ht="15.75" customHeight="1" s="252"/>
    <row r="125" ht="15.75" customHeight="1" s="252"/>
    <row r="126" ht="15.75" customHeight="1" s="252"/>
    <row r="127" ht="15.75" customHeight="1" s="252"/>
    <row r="128" ht="15.75" customHeight="1" s="252"/>
    <row r="129" ht="15.75" customHeight="1" s="252"/>
    <row r="130" ht="15.75" customHeight="1" s="252"/>
    <row r="131" ht="15.75" customHeight="1" s="252"/>
    <row r="132" ht="15.75" customHeight="1" s="252"/>
    <row r="133" ht="15.75" customHeight="1" s="252"/>
    <row r="134" ht="15.75" customHeight="1" s="252"/>
    <row r="135" ht="15.75" customHeight="1" s="252"/>
    <row r="136" ht="15.75" customHeight="1" s="252"/>
    <row r="137" ht="15.75" customHeight="1" s="252"/>
    <row r="138" ht="15.75" customHeight="1" s="252"/>
    <row r="139" ht="15.75" customHeight="1" s="252"/>
    <row r="140" ht="15.75" customHeight="1" s="252"/>
    <row r="141" ht="15.75" customHeight="1" s="252"/>
    <row r="142" ht="15.75" customHeight="1" s="252"/>
    <row r="143" ht="15.75" customHeight="1" s="252"/>
    <row r="144" ht="15.75" customHeight="1" s="252"/>
    <row r="145" ht="15.75" customHeight="1" s="252"/>
    <row r="146" ht="15.75" customHeight="1" s="252"/>
    <row r="147" ht="15.75" customHeight="1" s="252"/>
    <row r="148" ht="15.75" customHeight="1" s="252"/>
    <row r="149" ht="15.75" customHeight="1" s="252"/>
    <row r="150" ht="15.75" customHeight="1" s="252"/>
    <row r="151" ht="15.75" customHeight="1" s="252"/>
    <row r="152" ht="15.75" customHeight="1" s="252"/>
    <row r="153" ht="15.75" customHeight="1" s="252"/>
    <row r="154" ht="15.75" customHeight="1" s="252"/>
    <row r="155" ht="15.75" customHeight="1" s="252"/>
    <row r="156" ht="15.75" customHeight="1" s="252"/>
    <row r="157" ht="15.75" customHeight="1" s="252"/>
    <row r="158" ht="15.75" customHeight="1" s="252"/>
    <row r="159" ht="15.75" customHeight="1" s="252"/>
    <row r="160" ht="15.75" customHeight="1" s="252"/>
    <row r="161" ht="15.75" customHeight="1" s="252"/>
    <row r="162" ht="15.75" customHeight="1" s="252"/>
    <row r="163" ht="15.75" customHeight="1" s="252"/>
    <row r="164" ht="15.75" customHeight="1" s="252"/>
    <row r="165" ht="15.75" customHeight="1" s="252"/>
    <row r="166" ht="15.75" customHeight="1" s="252"/>
    <row r="167" ht="15.75" customHeight="1" s="252"/>
    <row r="168" ht="15.75" customHeight="1" s="252"/>
    <row r="169" ht="15.75" customHeight="1" s="252"/>
    <row r="170" ht="15.75" customHeight="1" s="252"/>
    <row r="171" ht="15.75" customHeight="1" s="252"/>
    <row r="172" ht="15.75" customHeight="1" s="252"/>
    <row r="173" ht="15.75" customHeight="1" s="252"/>
    <row r="174" ht="15.75" customHeight="1" s="252"/>
    <row r="175" ht="15.75" customHeight="1" s="252"/>
    <row r="176" ht="15.75" customHeight="1" s="252"/>
    <row r="177" ht="15.75" customHeight="1" s="252"/>
    <row r="178" ht="15.75" customHeight="1" s="252"/>
    <row r="179" ht="15.75" customHeight="1" s="252"/>
    <row r="180" ht="15.75" customHeight="1" s="252"/>
    <row r="181" ht="15.75" customHeight="1" s="252"/>
    <row r="182" ht="15.75" customHeight="1" s="252"/>
    <row r="183" ht="15.75" customHeight="1" s="252"/>
    <row r="184" ht="15.75" customHeight="1" s="252"/>
    <row r="185" ht="15.75" customHeight="1" s="252"/>
    <row r="186" ht="15.75" customHeight="1" s="252"/>
    <row r="187" ht="15.75" customHeight="1" s="252"/>
    <row r="188" ht="15.75" customHeight="1" s="252"/>
    <row r="189" ht="15.75" customHeight="1" s="252"/>
    <row r="190" ht="15.75" customHeight="1" s="252"/>
    <row r="191" ht="15.75" customHeight="1" s="252"/>
    <row r="192" ht="15.75" customHeight="1" s="252"/>
    <row r="193" ht="15.75" customHeight="1" s="252"/>
    <row r="194" ht="15.75" customHeight="1" s="252"/>
    <row r="195" ht="15.75" customHeight="1" s="252"/>
    <row r="196" ht="15.75" customHeight="1" s="252"/>
    <row r="197" ht="15.75" customHeight="1" s="252"/>
    <row r="198" ht="15.75" customHeight="1" s="252"/>
    <row r="199" ht="15.75" customHeight="1" s="252"/>
    <row r="200" ht="15.75" customHeight="1" s="252"/>
    <row r="201" ht="15.75" customHeight="1" s="252"/>
    <row r="202" ht="15.75" customHeight="1" s="252"/>
    <row r="203" ht="15.75" customHeight="1" s="252"/>
    <row r="204" ht="15.75" customHeight="1" s="252"/>
    <row r="205" ht="15.75" customHeight="1" s="252"/>
    <row r="206" ht="15.75" customHeight="1" s="252"/>
    <row r="207" ht="15.75" customHeight="1" s="252"/>
    <row r="208" ht="15.75" customHeight="1" s="252"/>
    <row r="209" ht="15.75" customHeight="1" s="252"/>
    <row r="210" ht="15.75" customHeight="1" s="252"/>
    <row r="211" ht="15.75" customHeight="1" s="252"/>
    <row r="212" ht="15.75" customHeight="1" s="252"/>
    <row r="213" ht="15.75" customHeight="1" s="252"/>
    <row r="214" ht="15.75" customHeight="1" s="252"/>
    <row r="215" ht="15.75" customHeight="1" s="252"/>
    <row r="216" ht="15.75" customHeight="1" s="252"/>
    <row r="217" ht="15.75" customHeight="1" s="252"/>
    <row r="218" ht="15.75" customHeight="1" s="252"/>
    <row r="219" ht="15.75" customHeight="1" s="252"/>
    <row r="220" ht="15.75" customHeight="1" s="252"/>
    <row r="221" ht="15.75" customHeight="1" s="252"/>
    <row r="222" ht="15.75" customHeight="1" s="252"/>
    <row r="223" ht="15.75" customHeight="1" s="252"/>
    <row r="224" ht="15.75" customHeight="1" s="252"/>
    <row r="225" ht="15.75" customHeight="1" s="252"/>
    <row r="226" ht="15.75" customHeight="1" s="252"/>
    <row r="227" ht="15.75" customHeight="1" s="252"/>
    <row r="228" ht="15.75" customHeight="1" s="252"/>
    <row r="229" ht="15.75" customHeight="1" s="252"/>
    <row r="230" ht="15.75" customHeight="1" s="252"/>
    <row r="231" ht="15.75" customHeight="1" s="252"/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AN3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 outlineLevelRow="1"/>
  <cols>
    <col width="30.25" customWidth="1" style="252" min="1" max="1"/>
    <col width="17.75" customWidth="1" style="252" min="2" max="2"/>
    <col width="12.63" customWidth="1" style="252" min="3" max="6"/>
  </cols>
  <sheetData>
    <row r="1" outlineLevel="1" ht="15.75" customHeight="1" s="252">
      <c r="A1" s="132" t="inlineStr">
        <is>
          <t>AUM Before</t>
        </is>
      </c>
      <c r="B1" s="133" t="n"/>
      <c r="C1" s="134" t="n"/>
      <c r="D1" s="135" t="n">
        <v>0</v>
      </c>
      <c r="E1" s="135" t="n">
        <v>1252</v>
      </c>
      <c r="F1" s="135" t="n">
        <v>1500</v>
      </c>
      <c r="G1" s="135" t="n">
        <v>1500</v>
      </c>
      <c r="H1" s="135" t="n">
        <v>1274</v>
      </c>
      <c r="I1" s="135" t="n">
        <v>1365</v>
      </c>
      <c r="J1" s="135" t="n">
        <v>1369</v>
      </c>
      <c r="K1" s="135" t="n">
        <v>3176</v>
      </c>
      <c r="L1" s="135" t="n">
        <v>3934</v>
      </c>
      <c r="M1" s="135" t="n">
        <v>4690</v>
      </c>
      <c r="N1" s="135" t="n">
        <v>3405</v>
      </c>
      <c r="O1" s="135" t="n">
        <v>4181</v>
      </c>
      <c r="P1" s="135" t="n">
        <v>4974</v>
      </c>
      <c r="Q1" s="135" t="n">
        <v>4974</v>
      </c>
      <c r="R1" s="135" t="n">
        <v>102</v>
      </c>
      <c r="S1" s="135" t="n">
        <v>102</v>
      </c>
      <c r="T1" s="135" t="n">
        <v>1328</v>
      </c>
      <c r="U1" s="136" t="n"/>
      <c r="V1" s="136" t="n"/>
      <c r="W1" s="136" t="n"/>
      <c r="X1" s="136" t="n"/>
      <c r="Y1" s="136" t="n"/>
      <c r="Z1" s="136" t="n"/>
      <c r="AA1" s="136" t="n"/>
      <c r="AB1" s="136" t="n"/>
      <c r="AC1" s="136" t="n"/>
      <c r="AD1" s="136" t="n"/>
      <c r="AE1" s="136" t="n"/>
      <c r="AF1" s="136" t="n"/>
      <c r="AG1" s="136" t="n"/>
      <c r="AH1" s="136" t="n"/>
      <c r="AI1" s="136" t="n"/>
      <c r="AJ1" s="136" t="n"/>
      <c r="AK1" s="136" t="n"/>
      <c r="AL1" s="136" t="n"/>
      <c r="AM1" s="136" t="n"/>
      <c r="AN1" s="136" t="n"/>
    </row>
    <row r="2" outlineLevel="1" ht="15.75" customHeight="1" s="252">
      <c r="A2" s="132" t="inlineStr">
        <is>
          <t>Top Up / Withdrawals</t>
        </is>
      </c>
      <c r="B2" s="133" t="n"/>
      <c r="C2" s="133" t="n"/>
      <c r="D2" s="137">
        <f>SUMIFS(Investments!$D:$D,Investments!$C:$C,"sol",Investments!$A:$A,D$8)</f>
        <v/>
      </c>
      <c r="E2" s="137">
        <f>SUMIFS(Investments!$D:$D,Investments!$C:$C,"sol",Investments!$A:$A,E$8)</f>
        <v/>
      </c>
      <c r="F2" s="137">
        <f>SUMIFS(Investments!$D:$D,Investments!$C:$C,"sol",Investments!$A:$A,F$8)</f>
        <v/>
      </c>
      <c r="G2" s="137">
        <f>SUMIFS(Investments!$D:$D,Investments!$C:$C,"sol",Investments!$A:$A,G$8)</f>
        <v/>
      </c>
      <c r="H2" s="137">
        <f>SUMIFS(Investments!$D:$D,Investments!$C:$C,"sol",Investments!$A:$A,H$8)</f>
        <v/>
      </c>
      <c r="I2" s="137">
        <f>SUMIFS(Investments!$D:$D,Investments!$C:$C,"sol",Investments!$A:$A,I$8)</f>
        <v/>
      </c>
      <c r="J2" s="137">
        <f>SUMIFS(Investments!$D:$D,Investments!$C:$C,"sol",Investments!$A:$A,J$8)</f>
        <v/>
      </c>
      <c r="K2" s="137">
        <f>SUMIFS(Investments!$D:$D,Investments!$C:$C,"sol",Investments!$A:$A,K$8)</f>
        <v/>
      </c>
      <c r="L2" s="137">
        <f>SUMIFS(Investments!$D:$D,Investments!$C:$C,"sol",Investments!$A:$A,L$8)</f>
        <v/>
      </c>
      <c r="M2" s="137">
        <f>SUMIFS(Investments!$D:$D,Investments!$C:$C,"sol",Investments!$A:$A,M$8)</f>
        <v/>
      </c>
      <c r="N2" s="137">
        <f>SUMIFS(Investments!$D:$D,Investments!$C:$C,"sol",Investments!$A:$A,N$8)</f>
        <v/>
      </c>
      <c r="O2" s="137">
        <f>SUMIFS(Investments!$D:$D,Investments!$C:$C,"sol",Investments!$A:$A,O$8)</f>
        <v/>
      </c>
      <c r="P2" s="137">
        <f>SUMIFS(Investments!$D:$D,Investments!$C:$C,"sol",Investments!$A:$A,P$8)</f>
        <v/>
      </c>
      <c r="Q2" s="137">
        <f>SUMIFS(Investments!$D:$D,Investments!$C:$C,"sol",Investments!$A:$A,Q$8)</f>
        <v/>
      </c>
      <c r="R2" s="137">
        <f>SUMIFS(Investments!$D:$D,Investments!$C:$C,"sol",Investments!$A:$A,R$8)</f>
        <v/>
      </c>
      <c r="S2" s="137">
        <f>SUMIFS(Investments!$D:$D,Investments!$C:$C,"sol",Investments!$A:$A,S$8)</f>
        <v/>
      </c>
      <c r="T2" s="137">
        <f>SUMIFS(Investments!$D:$D,Investments!$C:$C,"sol",Investments!$A:$A,T$8)</f>
        <v/>
      </c>
      <c r="U2" s="136" t="n"/>
      <c r="V2" s="136" t="n"/>
      <c r="W2" s="136" t="n"/>
      <c r="X2" s="136" t="n"/>
      <c r="Y2" s="136" t="n"/>
      <c r="Z2" s="136" t="n"/>
      <c r="AA2" s="136" t="n"/>
      <c r="AB2" s="136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6" t="n"/>
      <c r="AN2" s="136" t="n"/>
    </row>
    <row r="3" outlineLevel="1" ht="15.75" customHeight="1" s="252">
      <c r="A3" s="132" t="inlineStr">
        <is>
          <t>AUM After</t>
        </is>
      </c>
      <c r="B3" s="133" t="n"/>
      <c r="C3" s="133" t="n"/>
      <c r="D3" s="135">
        <f>D1+D2</f>
        <v/>
      </c>
      <c r="E3" s="135">
        <f>E1+E2</f>
        <v/>
      </c>
      <c r="F3" s="135">
        <f>F1+F2</f>
        <v/>
      </c>
      <c r="G3" s="135">
        <f>G1+G2</f>
        <v/>
      </c>
      <c r="H3" s="135">
        <f>H1+H2</f>
        <v/>
      </c>
      <c r="I3" s="135">
        <f>I1+I2</f>
        <v/>
      </c>
      <c r="J3" s="135">
        <f>J1+J2</f>
        <v/>
      </c>
      <c r="K3" s="135">
        <f>K1+K2</f>
        <v/>
      </c>
      <c r="L3" s="135">
        <f>L1+L2</f>
        <v/>
      </c>
      <c r="M3" s="135">
        <f>M1+M2</f>
        <v/>
      </c>
      <c r="N3" s="135">
        <f>N1+N2</f>
        <v/>
      </c>
      <c r="O3" s="135">
        <f>O1+O2</f>
        <v/>
      </c>
      <c r="P3" s="135">
        <f>P1+P2</f>
        <v/>
      </c>
      <c r="Q3" s="135">
        <f>Q1+Q2</f>
        <v/>
      </c>
      <c r="R3" s="135">
        <f>R1+R2</f>
        <v/>
      </c>
      <c r="S3" s="135">
        <f>S1+S2</f>
        <v/>
      </c>
      <c r="T3" s="135">
        <f>T1+T2</f>
        <v/>
      </c>
      <c r="U3" s="136" t="n"/>
      <c r="V3" s="136" t="n"/>
      <c r="W3" s="136" t="n"/>
      <c r="X3" s="136" t="n"/>
      <c r="Y3" s="136" t="n"/>
      <c r="Z3" s="136" t="n"/>
      <c r="AA3" s="136" t="n"/>
      <c r="AB3" s="136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</row>
    <row r="4" outlineLevel="1" ht="15.75" customHeight="1" s="252">
      <c r="A4" s="132" t="inlineStr">
        <is>
          <t>Gross Performance</t>
        </is>
      </c>
      <c r="B4" s="133" t="n"/>
      <c r="C4" s="134" t="n"/>
      <c r="D4" s="138" t="n">
        <v>1</v>
      </c>
      <c r="E4" s="139">
        <f>(E1*$D$4/D3)-100%</f>
        <v/>
      </c>
      <c r="F4" s="139">
        <f>(F1-E3)/E3</f>
        <v/>
      </c>
      <c r="G4" s="139">
        <f>(F3*$D$4/F1)-100%</f>
        <v/>
      </c>
      <c r="H4" s="139">
        <f>(H1*$D$4/G3)-100%</f>
        <v/>
      </c>
      <c r="I4" s="139">
        <f>(I1*$D$4/H3)-100%</f>
        <v/>
      </c>
      <c r="J4" s="139">
        <f>(J1*$D$4/I1)-100%</f>
        <v/>
      </c>
      <c r="K4" s="139">
        <f>(K1*$D$4/J3)-100%</f>
        <v/>
      </c>
      <c r="L4" s="139">
        <f>(L1*$D$4/K3)-100%</f>
        <v/>
      </c>
      <c r="M4" s="139">
        <f>(M1*$D$4/L3)-100%</f>
        <v/>
      </c>
      <c r="N4" s="139">
        <f>(N1*$D$4/M3)-100%</f>
        <v/>
      </c>
      <c r="O4" s="139">
        <f>(O1*$D$4/N3)-100%</f>
        <v/>
      </c>
      <c r="P4" s="139">
        <f>(P1*$D$4/O3)-100%</f>
        <v/>
      </c>
      <c r="Q4" s="139">
        <f>(Q1*$D$4/P3)-100%</f>
        <v/>
      </c>
      <c r="R4" s="139">
        <f>(R1*$D$4/Q3)-100%</f>
        <v/>
      </c>
      <c r="S4" s="139">
        <f>(S1*$D$4/R3)-100%</f>
        <v/>
      </c>
      <c r="T4" s="139">
        <f>(T1*$D$4/S3)-100%</f>
        <v/>
      </c>
      <c r="U4" s="136" t="n"/>
      <c r="V4" s="136" t="n"/>
      <c r="W4" s="136" t="n"/>
      <c r="X4" s="136" t="n"/>
      <c r="Y4" s="136" t="n"/>
      <c r="Z4" s="136" t="n"/>
      <c r="AA4" s="136" t="n"/>
      <c r="AB4" s="136" t="n"/>
      <c r="AC4" s="136" t="n"/>
      <c r="AD4" s="136" t="n"/>
      <c r="AE4" s="136" t="n"/>
      <c r="AF4" s="136" t="n"/>
      <c r="AG4" s="136" t="n"/>
      <c r="AH4" s="136" t="n"/>
      <c r="AI4" s="136" t="n"/>
      <c r="AJ4" s="136" t="n"/>
      <c r="AK4" s="136" t="n"/>
      <c r="AL4" s="136" t="n"/>
      <c r="AM4" s="136" t="n"/>
      <c r="AN4" s="136" t="n"/>
    </row>
    <row r="5" outlineLevel="1" ht="15.75" customHeight="1" s="252">
      <c r="A5" s="132" t="inlineStr">
        <is>
          <t>Net Performance</t>
        </is>
      </c>
      <c r="B5" s="133" t="n"/>
      <c r="C5" s="134" t="n"/>
      <c r="D5" s="140" t="n"/>
      <c r="E5" s="139">
        <f>E4*0.8</f>
        <v/>
      </c>
      <c r="F5" s="139">
        <f>F4*0.8</f>
        <v/>
      </c>
      <c r="G5" s="139">
        <f>G4*0.8</f>
        <v/>
      </c>
      <c r="H5" s="139">
        <f>H4*0.8</f>
        <v/>
      </c>
      <c r="I5" s="139">
        <f>I4*0.8</f>
        <v/>
      </c>
      <c r="J5" s="139">
        <f>J4*0.8</f>
        <v/>
      </c>
      <c r="K5" s="139">
        <f>K4*0.8</f>
        <v/>
      </c>
      <c r="L5" s="139">
        <f>L4*0.8</f>
        <v/>
      </c>
      <c r="M5" s="139">
        <f>M4*0.8</f>
        <v/>
      </c>
      <c r="N5" s="139">
        <f>N4*0.8</f>
        <v/>
      </c>
      <c r="O5" s="139">
        <f>O4*0.8</f>
        <v/>
      </c>
      <c r="P5" s="139">
        <f>P4*0.8</f>
        <v/>
      </c>
      <c r="Q5" s="139">
        <f>Q4*0.8</f>
        <v/>
      </c>
      <c r="R5" s="139">
        <f>R4*0.8</f>
        <v/>
      </c>
      <c r="S5" s="139">
        <f>S4*0.8</f>
        <v/>
      </c>
      <c r="T5" s="139">
        <f>T4*0.8</f>
        <v/>
      </c>
      <c r="U5" s="136" t="n"/>
      <c r="V5" s="136" t="n"/>
      <c r="W5" s="136" t="n"/>
      <c r="X5" s="136" t="n"/>
      <c r="Y5" s="136" t="n"/>
      <c r="Z5" s="136" t="n"/>
      <c r="AA5" s="136" t="n"/>
      <c r="AB5" s="136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</row>
    <row r="6" outlineLevel="1" ht="15.75" customHeight="1" s="252">
      <c r="A6" s="132" t="inlineStr">
        <is>
          <t>Yearly APY</t>
        </is>
      </c>
      <c r="B6" s="133" t="n"/>
      <c r="C6" s="134" t="n"/>
      <c r="D6" s="140" t="n"/>
      <c r="E6" s="139">
        <f>E4*12</f>
        <v/>
      </c>
      <c r="F6" s="139">
        <f>F4*12</f>
        <v/>
      </c>
      <c r="G6" s="139">
        <f>G4*12</f>
        <v/>
      </c>
      <c r="H6" s="139">
        <f>H4*12</f>
        <v/>
      </c>
      <c r="I6" s="139">
        <f>I4*12</f>
        <v/>
      </c>
      <c r="J6" s="139">
        <f>J4*12</f>
        <v/>
      </c>
      <c r="K6" s="139">
        <f>K4*12</f>
        <v/>
      </c>
      <c r="L6" s="139">
        <f>L4*12</f>
        <v/>
      </c>
      <c r="M6" s="139">
        <f>M4*12</f>
        <v/>
      </c>
      <c r="N6" s="139">
        <f>N4*12</f>
        <v/>
      </c>
      <c r="O6" s="139">
        <f>O4*12</f>
        <v/>
      </c>
      <c r="P6" s="139">
        <f>P4*12</f>
        <v/>
      </c>
      <c r="Q6" s="139">
        <f>Q4*12</f>
        <v/>
      </c>
      <c r="R6" s="139">
        <f>R4*12</f>
        <v/>
      </c>
      <c r="S6" s="139">
        <f>S4*12</f>
        <v/>
      </c>
      <c r="T6" s="139">
        <f>T4*12</f>
        <v/>
      </c>
      <c r="U6" s="136" t="n"/>
      <c r="V6" s="136" t="n"/>
      <c r="W6" s="136" t="n"/>
      <c r="X6" s="136" t="n"/>
      <c r="Y6" s="136" t="n"/>
      <c r="Z6" s="136" t="n"/>
      <c r="AA6" s="136" t="n"/>
      <c r="AB6" s="136" t="n"/>
      <c r="AC6" s="136" t="n"/>
      <c r="AD6" s="136" t="n"/>
      <c r="AE6" s="136" t="n"/>
      <c r="AF6" s="136" t="n"/>
      <c r="AG6" s="136" t="n"/>
      <c r="AH6" s="136" t="n"/>
      <c r="AI6" s="136" t="n"/>
      <c r="AJ6" s="136" t="n"/>
      <c r="AK6" s="136" t="n"/>
      <c r="AL6" s="136" t="n"/>
      <c r="AM6" s="136" t="n"/>
      <c r="AN6" s="136" t="n"/>
    </row>
    <row r="7" outlineLevel="1" ht="15.75" customHeight="1" s="252">
      <c r="A7" s="141" t="inlineStr">
        <is>
          <t>Comments</t>
        </is>
      </c>
      <c r="B7" s="133" t="n"/>
      <c r="C7" s="134" t="n"/>
      <c r="D7" s="142" t="inlineStr">
        <is>
          <t>INDIGO LP invest 1250</t>
        </is>
      </c>
      <c r="E7" s="142" t="inlineStr">
        <is>
          <t>Paul Johnson invests 234.17 SOL</t>
        </is>
      </c>
      <c r="F7" s="143" t="n"/>
      <c r="G7" s="142" t="inlineStr">
        <is>
          <t>Paul Johnson withdrawal : 236.02 SOL</t>
        </is>
      </c>
      <c r="H7" s="142" t="inlineStr">
        <is>
          <t>Jose Molla        SOL        87.98</t>
        </is>
      </c>
      <c r="I7" s="143" t="n"/>
      <c r="J7" s="142" t="inlineStr">
        <is>
          <t>Sam Johnson        SOL        1,800.05</t>
        </is>
      </c>
      <c r="K7" s="142" t="inlineStr">
        <is>
          <t>Sam Johnson        SOL        750</t>
        </is>
      </c>
      <c r="L7" s="142" t="inlineStr">
        <is>
          <t>Sam Johnson        SOL        750</t>
        </is>
      </c>
      <c r="M7" s="142" t="inlineStr">
        <is>
          <t>INDIGO DIGITAL ASSET FUND LP        SOL        -1,285.66</t>
        </is>
      </c>
      <c r="N7" s="142" t="inlineStr">
        <is>
          <t>Sam Johnson        SOL        770</t>
        </is>
      </c>
      <c r="O7" s="142" t="inlineStr">
        <is>
          <t>Sam Johnson        SOL        766</t>
        </is>
      </c>
      <c r="P7" s="143" t="n"/>
      <c r="Q7" s="142" t="inlineStr">
        <is>
          <t>Sam Johnson -4873.15</t>
        </is>
      </c>
      <c r="R7" s="142" t="n"/>
      <c r="S7" s="142" t="inlineStr">
        <is>
          <t>Jose Molla	SOL	393.77
ALOK PAVAN BATRA	SOL	826.54</t>
        </is>
      </c>
      <c r="T7" s="142" t="n"/>
      <c r="U7" s="136" t="n"/>
      <c r="V7" s="136" t="n"/>
      <c r="W7" s="136" t="n"/>
      <c r="X7" s="136" t="n"/>
      <c r="Y7" s="136" t="n"/>
      <c r="Z7" s="136" t="n"/>
      <c r="AA7" s="136" t="n"/>
      <c r="AB7" s="136" t="n"/>
      <c r="AC7" s="136" t="n"/>
      <c r="AD7" s="136" t="n"/>
      <c r="AE7" s="136" t="n"/>
      <c r="AF7" s="136" t="n"/>
      <c r="AG7" s="136" t="n"/>
      <c r="AH7" s="136" t="n"/>
      <c r="AI7" s="136" t="n"/>
      <c r="AJ7" s="136" t="n"/>
      <c r="AK7" s="136" t="n"/>
      <c r="AL7" s="136" t="n"/>
      <c r="AM7" s="136" t="n"/>
      <c r="AN7" s="136" t="n"/>
    </row>
    <row r="8" ht="15.75" customHeight="1" s="252">
      <c r="A8" s="144" t="inlineStr">
        <is>
          <t>Investors</t>
        </is>
      </c>
      <c r="B8" s="132" t="inlineStr">
        <is>
          <t>Fees</t>
        </is>
      </c>
      <c r="C8" s="145" t="inlineStr">
        <is>
          <t>IB</t>
        </is>
      </c>
      <c r="D8" s="146" t="n">
        <v>45902</v>
      </c>
      <c r="E8" s="146" t="n">
        <v>45904</v>
      </c>
      <c r="F8" s="147" t="n">
        <v>45930</v>
      </c>
      <c r="G8" s="146" t="n">
        <v>45933</v>
      </c>
      <c r="H8" s="146" t="n">
        <v>45953</v>
      </c>
      <c r="I8" s="147" t="n">
        <v>45961</v>
      </c>
      <c r="J8" s="146" t="n">
        <v>45978</v>
      </c>
      <c r="K8" s="146" t="n">
        <v>45986</v>
      </c>
      <c r="L8" s="147" t="n">
        <v>45991</v>
      </c>
      <c r="M8" s="146" t="n">
        <v>45995</v>
      </c>
      <c r="N8" s="146" t="n">
        <v>45999</v>
      </c>
      <c r="O8" s="146" t="n">
        <v>46006</v>
      </c>
      <c r="P8" s="147" t="n">
        <v>46023</v>
      </c>
      <c r="Q8" s="146" t="n">
        <v>46024</v>
      </c>
      <c r="R8" s="147" t="n">
        <v>46054</v>
      </c>
      <c r="S8" s="146" t="n">
        <v>46065</v>
      </c>
      <c r="T8" s="147" t="n">
        <v>46081</v>
      </c>
    </row>
    <row r="9" ht="15.75" customHeight="1" s="252">
      <c r="A9" s="148" t="inlineStr">
        <is>
          <t>Indigo Fees</t>
        </is>
      </c>
      <c r="B9" s="149" t="n">
        <v>0</v>
      </c>
      <c r="C9" s="149" t="n"/>
      <c r="D9" s="139" t="n">
        <v>0</v>
      </c>
      <c r="E9" s="139">
        <f>D9*$E$4*1+D9+(D11*$E$4*$B$11)+(D12*$E$4*$B$12)</f>
        <v/>
      </c>
      <c r="F9" s="139">
        <f>E9*$F$4*1+E9+(E11*$F$4*$B$11)+(E12*$F$4*$B$12)</f>
        <v/>
      </c>
      <c r="G9" s="139">
        <f>F9*$G$4*1+F9+(F11*$G$4*$B$11)+(F12*$G$4*$B$12)+(F11*$G$4*(1-$B11-$C11)+F11)-236.02</f>
        <v/>
      </c>
      <c r="H9" s="139">
        <f>G9*$H$4*1+G9+(G11*$H$4*$B$11)+(G12*$H$4*$B$12)+(G13*$H$4*$B$13)</f>
        <v/>
      </c>
      <c r="I9" s="139">
        <f>H9*$I$4*1+H9+(H11*$I$4*$B$11)+(H12*$I$4*$B$12)+(H13*$I$4*$B$13)+(H14*$I$4*$B$14)</f>
        <v/>
      </c>
      <c r="J9" s="139">
        <f>I9*$J$4*1+I9+(I11*$J$4*$B$11)+(I12*$J$4*$B$12)+(I13*$J$4*$B$13)+(I14*$J$4*$B$14)</f>
        <v/>
      </c>
      <c r="K9" s="139">
        <f>J9*$K$4*1+J9+(J11*$K$4*$B$11)+(J12*$K$4*$B$12)+(J13*$K$4*$B$13)+(J14*$K$4*$B$14)+(J15*$K$4*$B$15)</f>
        <v/>
      </c>
      <c r="L9" s="139">
        <f>K9*$L$4*1+K9+(K11*$L$4*$B$11)+(K12*$L$4*$B$12)+(K13*$L$4*$B$13)+(K14*$L$4*$B$14)+(K15*$L$4*$B$15)</f>
        <v/>
      </c>
      <c r="M9" s="139">
        <f>L9*$M$4*1+L9+(L11*$M$4*$B$11)+(L12*$M$4*$B$12)+(L13*$M$4*$B$13)+(L14*$M$4*$B$14)+(L15*$M$4*$B$15)+(L10*$M$4+L10-1285.66)</f>
        <v/>
      </c>
      <c r="N9" s="139">
        <f>M9*$N$4*1+M9+(M11*$N$4*$B$11)+(M12*$N$4*$B$12)+(M13*$N$4*$B$13)+(M14*$N$4*$B$14)+(M15*$N$4*$B$15)</f>
        <v/>
      </c>
      <c r="O9" s="139">
        <f>N9*$O$4*1+N9+(N11*$O$4*$B$11)+(N12*$O$4*$B$12)+(N13*$O$4*$B$13)+(N14*$O$4*$B$14)+(N15*$O$4*$B$15)</f>
        <v/>
      </c>
      <c r="P9" s="139">
        <f>O9*$P$4*1+O9+(O11*$P$4*$B$11)+(O12*$P$4*$B$12)+(O13*$P$4*$B$13)+(O14*$P$4*$B$14)+(O15*$P$4*$B$15)</f>
        <v/>
      </c>
      <c r="Q9" s="139">
        <f>P9*$Q$4*1+P9+(P11*$Q$4*$B$11)+(P12*$Q$4*$B$12)+(P13*$Q$4*$B$13)+(P14*$Q$4*$B$14)+(P15*$Q$4*$B$15)+(P14*$Q$4*(1-$B14-$C14)+P14)-4873.15</f>
        <v/>
      </c>
      <c r="R9" s="139">
        <f>Q9*R$4*1+Q9+(Q11*R$4*$B$11)+(Q12*R$4*$B$12)+(Q13*R$4*$B$13)+(Q14*R$4*$B$14)+(Q15*R$4*$B$15)+SUMIFS(Investments!$D:$D,Investments!$B:$B,$A9,Investments!$C:$C,"SOL",Investments!$A:$A,R$8)</f>
        <v/>
      </c>
      <c r="S9" s="139">
        <f>R9*S$4*1+R9+(R11*S$4*$B$11)+(R12*S$4*$B$12)+(R13*S$4*$B$13)+(R14*S$4*$B$14)+(R15*S$4*$B$15)+SUMIFS(Investments!$D:$D,Investments!$B:$B,$A9,Investments!$C:$C,"SOL",Investments!$A:$A,S$8)</f>
        <v/>
      </c>
      <c r="T9" s="139">
        <f>S9*T$4*1+S9+(S11*T$4*$B$11)+(S12*T$4*$B$12)+(S13*T$4*$B$13)+(S14*T$4*$B$14)+(S15*T$4*$B$15)+(S16*T$4*$B$16)+SUMIFS(Investments!$D:$D,Investments!$B:$B,$A9,Investments!$C:$C,"SOL",Investments!$A:$A,T$8)</f>
        <v/>
      </c>
    </row>
    <row r="10" ht="15.75" customHeight="1" s="252">
      <c r="A10" s="148" t="inlineStr">
        <is>
          <t>INDIGO DIGITAL ASSET FUND LP</t>
        </is>
      </c>
      <c r="B10" s="149" t="n">
        <v>0</v>
      </c>
      <c r="C10" s="149" t="n"/>
      <c r="D10" s="139" t="n">
        <v>1250</v>
      </c>
      <c r="E10" s="139">
        <f>D10*$E$4+D10</f>
        <v/>
      </c>
      <c r="F10" s="139">
        <f>E10*$F$4+E10</f>
        <v/>
      </c>
      <c r="G10" s="139">
        <f>F10*$G$4+F10</f>
        <v/>
      </c>
      <c r="H10" s="139">
        <f>G10*$H$4+G10</f>
        <v/>
      </c>
      <c r="I10" s="139">
        <f>H10*$I$4+H10</f>
        <v/>
      </c>
      <c r="J10" s="139">
        <f>I10*$J$4+I10</f>
        <v/>
      </c>
      <c r="K10" s="139">
        <f>J10*$K$4+J10</f>
        <v/>
      </c>
      <c r="L10" s="139">
        <f>K10*$L$4+K10</f>
        <v/>
      </c>
      <c r="M10" s="139">
        <f>L10*$M$4+L10-(L10*$M$4+L10)</f>
        <v/>
      </c>
      <c r="N10" s="139">
        <f>M10*$N$4+M10-(M10*$N$4+M10)</f>
        <v/>
      </c>
      <c r="O10" s="139">
        <f>N10*$O$4+N10-(N10*$O$4+N10)</f>
        <v/>
      </c>
      <c r="P10" s="139">
        <f>O10*$P$4+O10-(O10*$P$4+O10)</f>
        <v/>
      </c>
      <c r="Q10" s="139">
        <f>P10*$Q$4+P10-(P10*$Q$4+P10)</f>
        <v/>
      </c>
      <c r="R10" s="139">
        <f>Q10*R$4+Q10-(Q10*R$4+Q10)+SUMIFS(Investments!$D:$D,Investments!$B:$B,$A10,Investments!$C:$C,"SOL",Investments!$A:$A,R$8)</f>
        <v/>
      </c>
      <c r="S10" s="139">
        <f>R10*S$4+R10-(R10*S$4+R10)+SUMIFS(Investments!$D:$D,Investments!$B:$B,$A10,Investments!$C:$C,"SOL",Investments!$A:$A,S$8)</f>
        <v/>
      </c>
      <c r="T10" s="139">
        <f>S10*T$4+S10-(S10*T$4+S10)+SUMIFS(Investments!$D:$D,Investments!$B:$B,$A10,Investments!$C:$C,"SOL",Investments!$A:$A,T$8)</f>
        <v/>
      </c>
    </row>
    <row r="11" ht="15.75" customHeight="1" s="252">
      <c r="A11" s="148" t="inlineStr">
        <is>
          <t>Paul Johnson</t>
        </is>
      </c>
      <c r="B11" s="149" t="n">
        <v>0.135</v>
      </c>
      <c r="C11" s="149" t="n">
        <v>0.015</v>
      </c>
      <c r="D11" s="139" t="n">
        <v>0</v>
      </c>
      <c r="E11" s="139">
        <f>D11*$E$4*(1-$B11-$C11)+D11+234.17</f>
        <v/>
      </c>
      <c r="F11" s="139">
        <f>E11*$F$4*(1-$B11-$C11)+E11</f>
        <v/>
      </c>
      <c r="G11" s="139">
        <f>F11*$G$4*(1-$B11-$C11)+F11-(F11*$G$4*(1-$B11-$C11)+F11)</f>
        <v/>
      </c>
      <c r="H11" s="139">
        <f>G11*$H$4*(1-$B11-$C11)+G11</f>
        <v/>
      </c>
      <c r="I11" s="139">
        <f>H11*$I$4*(1-$B11-$C11)+H11</f>
        <v/>
      </c>
      <c r="J11" s="139">
        <f>I11*$J$4*(1-$B11-$C11)+I11</f>
        <v/>
      </c>
      <c r="K11" s="139">
        <f>J11*$K$4*(1-$B11-$C11)+J11</f>
        <v/>
      </c>
      <c r="L11" s="139">
        <f>K11*$L$4*(1-$B11-$C11)+K11</f>
        <v/>
      </c>
      <c r="M11" s="139">
        <f>L11*$M$4*(1-$B11-$C11)+L11</f>
        <v/>
      </c>
      <c r="N11" s="139">
        <f>M11*$N$4*(1-$B11-$C11)+M11</f>
        <v/>
      </c>
      <c r="O11" s="139">
        <f>N11*$O$4*(1-$B11-$C11)+N11</f>
        <v/>
      </c>
      <c r="P11" s="139">
        <f>O11*$P$4*(1-$B11-$C11)+O11</f>
        <v/>
      </c>
      <c r="Q11" s="139">
        <f>P11*$Q$4*(1-$B11-$C11)+P11</f>
        <v/>
      </c>
      <c r="R11" s="139">
        <f>Q11*R$4*(1-$B11-$C11)+Q11+SUMIFS(Investments!$D:$D,Investments!$B:$B,$A11,Investments!$C:$C,"SOL",Investments!$A:$A,R$8)</f>
        <v/>
      </c>
      <c r="S11" s="139">
        <f>R11*S$4*(1-$B11-$C11)+R11+SUMIFS(Investments!$D:$D,Investments!$B:$B,$A11,Investments!$C:$C,"SOL",Investments!$A:$A,S$8)</f>
        <v/>
      </c>
      <c r="T11" s="139">
        <f>S11*T$4*(1-$B11-$C11)+S11+SUMIFS(Investments!$D:$D,Investments!$B:$B,$A11,Investments!$C:$C,"SOL",Investments!$A:$A,T$8)</f>
        <v/>
      </c>
    </row>
    <row r="12" ht="15.75" customHeight="1" s="252">
      <c r="A12" s="148" t="inlineStr">
        <is>
          <t>Alex Jacobs</t>
        </is>
      </c>
      <c r="B12" s="149" t="n">
        <v>0.2</v>
      </c>
      <c r="C12" s="149" t="n"/>
      <c r="D12" s="139" t="n">
        <v>0</v>
      </c>
      <c r="E12" s="139">
        <f>(D12*$E$4*(1-$B12)+D12)+(D11*$E$4*$C$11)</f>
        <v/>
      </c>
      <c r="F12" s="139">
        <f>(E12*$F$4*(1-$B12)+E12)+(E11*$F$4*$C$11)</f>
        <v/>
      </c>
      <c r="G12" s="139">
        <f>(F12*$G$4*(1-$B12)+F12)+(F11*$G$4*$C$11)</f>
        <v/>
      </c>
      <c r="H12" s="139">
        <f>(G12*$H$4*(1-$B12)+G12)+(G11*$H$4*$C$11)</f>
        <v/>
      </c>
      <c r="I12" s="139">
        <f>(H12*$I$4*(1-$B12)+H12)+(H11*$I$4*$C$11)</f>
        <v/>
      </c>
      <c r="J12" s="139">
        <f>(I12*$J$4*(1-$B12)+I12)+(I11*$J$4*$C$11)</f>
        <v/>
      </c>
      <c r="K12" s="139">
        <f>(J12*$K$4*(1-$B12)+J12)+(J11*$K$4*$C$11)</f>
        <v/>
      </c>
      <c r="L12" s="139">
        <f>(K12*$L$4*(1-$B12)+K12)+(K11*$L$4*$C$11)</f>
        <v/>
      </c>
      <c r="M12" s="139">
        <f>(L12*$M$4*(1-$B12)+L12)+(L11*$M$4*$C$11)</f>
        <v/>
      </c>
      <c r="N12" s="139">
        <f>(M12*$N$4*(1-$B12)+M12)+(M11*$N$4*$C$11)</f>
        <v/>
      </c>
      <c r="O12" s="139">
        <f>(N12*$O$4*(1-$B12)+N12)+(N11*$O$4*$C$11)</f>
        <v/>
      </c>
      <c r="P12" s="139">
        <f>(O12*$P$4*(1-$B12)+O12)+(O11*$P$4*$C$11)</f>
        <v/>
      </c>
      <c r="Q12" s="139">
        <f>(P12*$Q$4*(1-$B12)+P12)+(P11*$Q$4*$C$11)</f>
        <v/>
      </c>
      <c r="R12" s="139">
        <f>(Q12*R$4*(1-$B12)+Q12)+(Q11*R$4*$C$11)+SUMIFS(Investments!$D:$D,Investments!$B:$B,$A12,Investments!$C:$C,"SOL",Investments!$A:$A,R$8)</f>
        <v/>
      </c>
      <c r="S12" s="139">
        <f>(R12*S$4*(1-$B12)+R12)+(R11*S$4*$C$11)+SUMIFS(Investments!$D:$D,Investments!$B:$B,$A12,Investments!$C:$C,"SOL",Investments!$A:$A,S$8)</f>
        <v/>
      </c>
      <c r="T12" s="139">
        <f>(S12*T$4*(1-$B12)+S12)+(S11*T$4*$C$11)+SUMIFS(Investments!$D:$D,Investments!$B:$B,$A12,Investments!$C:$C,"SOL",Investments!$A:$A,T$8)</f>
        <v/>
      </c>
    </row>
    <row r="13" ht="15.75" customHeight="1" s="252">
      <c r="A13" s="148" t="inlineStr">
        <is>
          <t>Jose Molla</t>
        </is>
      </c>
      <c r="B13" s="149" t="n">
        <v>0.15</v>
      </c>
      <c r="C13" s="149" t="n"/>
      <c r="D13" s="139" t="n">
        <v>0</v>
      </c>
      <c r="E13" s="139">
        <f>D13*$E$4*(1-$B13)+D13</f>
        <v/>
      </c>
      <c r="F13" s="139">
        <f>E13*$F$4*(1-$B13)+E13</f>
        <v/>
      </c>
      <c r="G13" s="139">
        <f>F13*$G$4*(1-$B13)+F13</f>
        <v/>
      </c>
      <c r="H13" s="139">
        <f>G13*$H$4*(1-$B13)+G13+87.98</f>
        <v/>
      </c>
      <c r="I13" s="139">
        <f>H13*$I$4*(1-$B13)+H13</f>
        <v/>
      </c>
      <c r="J13" s="139">
        <f>I13*$J$4*(1-$B13)+I13</f>
        <v/>
      </c>
      <c r="K13" s="139">
        <f>J13*$K$4*(1-$B13)+J13</f>
        <v/>
      </c>
      <c r="L13" s="139">
        <f>K13*$L$4*(1-$B13)+K13</f>
        <v/>
      </c>
      <c r="M13" s="139">
        <f>L13*$M$4*(1-$B13)+L13</f>
        <v/>
      </c>
      <c r="N13" s="139">
        <f>M13*$N$4*(1-$B13)+M13</f>
        <v/>
      </c>
      <c r="O13" s="139">
        <f>N13*$O$4*(1-$B13)+N13</f>
        <v/>
      </c>
      <c r="P13" s="139">
        <f>O13*$P$4*(1-$B13)+O13</f>
        <v/>
      </c>
      <c r="Q13" s="139">
        <f>P13*$Q$4*(1-$B13)+P13</f>
        <v/>
      </c>
      <c r="R13" s="139">
        <f>Q13*R$4*(1-$B13)+Q13+SUMIFS(Investments!$D:$D,Investments!$B:$B,$A13,Investments!$C:$C,"SOL",Investments!$A:$A,R$8)</f>
        <v/>
      </c>
      <c r="S13" s="139">
        <f>R13*S$4*(1-$B13)+R13+SUMIFS(Investments!$D:$D,Investments!$B:$B,$A13,Investments!$C:$C,"SOL",Investments!$A:$A,S$8)</f>
        <v/>
      </c>
      <c r="T13" s="139">
        <f>S13*T$4*(1-$B13)+S13+SUMIFS(Investments!$D:$D,Investments!$B:$B,$A13,Investments!$C:$C,"SOL",Investments!$A:$A,T$8)</f>
        <v/>
      </c>
    </row>
    <row r="14" ht="15.75" customHeight="1" s="252">
      <c r="A14" s="148" t="inlineStr">
        <is>
          <t>Sam Johnson</t>
        </is>
      </c>
      <c r="B14" s="149" t="n">
        <v>0.16</v>
      </c>
      <c r="C14" s="149" t="n">
        <v>0.04</v>
      </c>
      <c r="D14" s="139" t="n">
        <v>0</v>
      </c>
      <c r="E14" s="139">
        <f>D14*$E$4*(1-$B14)+D14</f>
        <v/>
      </c>
      <c r="F14" s="139">
        <f>E14*$F$4*(1-$B14)+E14</f>
        <v/>
      </c>
      <c r="G14" s="139">
        <f>F14*$G$4*(1-$B14)+F14</f>
        <v/>
      </c>
      <c r="H14" s="139">
        <f>G14*$H$4*(1-$B14)+G14</f>
        <v/>
      </c>
      <c r="I14" s="139">
        <f>H14*$I$4*(1-$B14)+H14</f>
        <v/>
      </c>
      <c r="J14" s="139">
        <f>I14*$J$4*(1-$B14)+I14+1800.05</f>
        <v/>
      </c>
      <c r="K14" s="139">
        <f>J14*$K$4*(1-$B14-$C14)+J14+750</f>
        <v/>
      </c>
      <c r="L14" s="139">
        <f>K14*$L$4*(1-$B14-$C14)+K14+750</f>
        <v/>
      </c>
      <c r="M14" s="139">
        <f>L14*$M$4*(1-$B14-$C14)+L14</f>
        <v/>
      </c>
      <c r="N14" s="139">
        <f>M14*$N$4*(1-$B14-$C14)+M14+770</f>
        <v/>
      </c>
      <c r="O14" s="139">
        <f>N14*$O$4*(1-$B14-$C14)+N14+766</f>
        <v/>
      </c>
      <c r="P14" s="139">
        <f>O14*$P$4*(1-$B14-$C14)+O14</f>
        <v/>
      </c>
      <c r="Q14" s="139">
        <f>P14*$Q$4*(1-$B14-$C14)+P14-(P14*$Q$4*(1-$B14-$C14)+P14)</f>
        <v/>
      </c>
      <c r="R14" s="139">
        <f>Q14*R$4*(1-$B14-$C14)+Q14-(Q14*R$4*(1-$B14-$C14)+Q14)+SUMIFS(Investments!$D:$D,Investments!$B:$B,$A14,Investments!$C:$C,"SOL",Investments!$A:$A,R$8)</f>
        <v/>
      </c>
      <c r="S14" s="139">
        <f>R14*S$4*(1-$B14-$C14)+R14-(R14*S$4*(1-$B14-$C14)+R14)+SUMIFS(Investments!$D:$D,Investments!$B:$B,$A14,Investments!$C:$C,"SOL",Investments!$A:$A,S$8)</f>
        <v/>
      </c>
      <c r="T14" s="139">
        <f>S14*T$4*(1-$B14-$C14)+S14-(S14*T$4*(1-$B14-$C14)+S14)+SUMIFS(Investments!$D:$D,Investments!$B:$B,$A14,Investments!$C:$C,"SOL",Investments!$A:$A,T$8)</f>
        <v/>
      </c>
    </row>
    <row r="15" ht="15.75" customHeight="1" s="252">
      <c r="A15" s="148" t="inlineStr">
        <is>
          <t>Ryan Van Der Wall</t>
        </is>
      </c>
      <c r="B15" s="149" t="n">
        <v>0.2</v>
      </c>
      <c r="C15" s="149" t="n"/>
      <c r="D15" s="139" t="n">
        <v>0</v>
      </c>
      <c r="E15" s="139">
        <f>(D15*$E$4*(1-$B15)+D15)+(D14*$E$4*$C$14)</f>
        <v/>
      </c>
      <c r="F15" s="139">
        <f>(E15*$F$4*(1-$B15)+E15)+(E14*$F$4*$C$14)</f>
        <v/>
      </c>
      <c r="G15" s="139">
        <f>(F15*$G$4*(1-$B15)+F15)+(F14*$G$4*$C$14)</f>
        <v/>
      </c>
      <c r="H15" s="139">
        <f>(G15*$H$4*(1-$B15)+G15)+(G14*$H$4*$C$14)</f>
        <v/>
      </c>
      <c r="I15" s="139">
        <f>(H15*$I$4*(1-$B15)+H15)+(H14*$I$4*$C$14)</f>
        <v/>
      </c>
      <c r="J15" s="139">
        <f>(I15*$J$4*(1-$B15)+I15)+(I14*$J$4*$C$14)</f>
        <v/>
      </c>
      <c r="K15" s="139">
        <f>(J15*$K$4*(1-$B15)+J15)+(J14*$K$4*$C$14)</f>
        <v/>
      </c>
      <c r="L15" s="139">
        <f>(K15*$L$4*(1-$B15)+K15)+(K14*$L$4*$C$14)</f>
        <v/>
      </c>
      <c r="M15" s="139">
        <f>(L15*$M$4*(1-$B15)+L15)+(L14*$M$4*$C$14)</f>
        <v/>
      </c>
      <c r="N15" s="139">
        <f>(M15*$N$4*(1-$B15)+M15)+(M14*$N$4*$C$14)</f>
        <v/>
      </c>
      <c r="O15" s="139">
        <f>(N15*$O$4*(1-$B15)+N15)+(N14*$O$4*$C$14)</f>
        <v/>
      </c>
      <c r="P15" s="139">
        <f>(O15*$P$4*(1-$B15)+O15)+(O14*$P$4*$C$14)</f>
        <v/>
      </c>
      <c r="Q15" s="139">
        <f>(P15*$Q$4*(1-$B15)+P15)+(P14*$Q$4*$C$14)</f>
        <v/>
      </c>
      <c r="R15" s="139">
        <f>(Q15*R$4*(1-$B15)+Q15)+(Q14*R$4*$C$14)+SUMIFS(Investments!$D:$D,Investments!$B:$B,$A15,Investments!$C:$C,"SOL",Investments!$A:$A,R$8)</f>
        <v/>
      </c>
      <c r="S15" s="139">
        <f>(R15*S$4*(1-$B15)+R15)+(R14*S$4*$C$14)+SUMIFS(Investments!$D:$D,Investments!$B:$B,$A15,Investments!$C:$C,"SOL",Investments!$A:$A,S$8)</f>
        <v/>
      </c>
      <c r="T15" s="139">
        <f>(S15*T$4*(1-$B15)+S15)+(S14*T$4*$C$14)+SUMIFS(Investments!$D:$D,Investments!$B:$B,$A15,Investments!$C:$C,"SOL",Investments!$A:$A,T$8)</f>
        <v/>
      </c>
    </row>
    <row r="16" ht="15.75" customHeight="1" s="252">
      <c r="A16" s="148" t="inlineStr">
        <is>
          <t>ALOK PAVAN BATRA</t>
        </is>
      </c>
      <c r="B16" s="149" t="n">
        <v>0.2</v>
      </c>
      <c r="C16" s="149" t="n"/>
      <c r="D16" s="139" t="n">
        <v>0</v>
      </c>
      <c r="E16" s="139">
        <f>D16*$E$4*(1-$B16)+D16</f>
        <v/>
      </c>
      <c r="F16" s="139">
        <f>E16*$F$4*(1-$B16)+E16</f>
        <v/>
      </c>
      <c r="G16" s="139">
        <f>F16*$G$4*(1-$B16)+F16</f>
        <v/>
      </c>
      <c r="H16" s="139">
        <f>G16*$H$4*(1-$B16)+G16</f>
        <v/>
      </c>
      <c r="I16" s="139">
        <f>H16*$I$4*(1-$B16)+H16</f>
        <v/>
      </c>
      <c r="J16" s="139">
        <f>I16*$J$4*(1-$B16)+I16</f>
        <v/>
      </c>
      <c r="K16" s="139">
        <f>J16*$K$4*(1-$B16)+J16</f>
        <v/>
      </c>
      <c r="L16" s="139">
        <f>K16*$L$4*(1-$B16)+K16</f>
        <v/>
      </c>
      <c r="M16" s="139">
        <f>L16*$M$4*(1-$B16)+L16</f>
        <v/>
      </c>
      <c r="N16" s="139">
        <f>M16*$N$4*(1-$B16)+M16</f>
        <v/>
      </c>
      <c r="O16" s="139">
        <f>N16*$O$4*(1-$B16)+N16</f>
        <v/>
      </c>
      <c r="P16" s="139">
        <f>O16*$P$4*(1-$B16)+O16</f>
        <v/>
      </c>
      <c r="Q16" s="139">
        <f>P16*$Q$4*(1-$B16)+P16</f>
        <v/>
      </c>
      <c r="R16" s="139">
        <f>Q16*R$4*(1-$B16)+Q16+SUMIFS(Investments!$D:$D,Investments!$B:$B,$A16,Investments!$C:$C,"SOL",Investments!$A:$A,R$8)</f>
        <v/>
      </c>
      <c r="S16" s="139">
        <f>R16*S$4*(1-$B16)+R16+SUMIFS(Investments!$D:$D,Investments!$B:$B,$A16,Investments!$C:$C,"SOL",Investments!$A:$A,S$8)</f>
        <v/>
      </c>
      <c r="T16" s="139">
        <f>S16*T$4*(1-$B16)+S16+SUMIFS(Investments!$D:$D,Investments!$B:$B,$A16,Investments!$C:$C,"SOL",Investments!$A:$A,T$8)</f>
        <v/>
      </c>
    </row>
    <row r="17" ht="15.75" customHeight="1" s="252">
      <c r="A17" s="148" t="inlineStr">
        <is>
          <t>x</t>
        </is>
      </c>
      <c r="B17" s="149" t="n"/>
      <c r="C17" s="149" t="n"/>
      <c r="D17" s="139" t="n">
        <v>0</v>
      </c>
      <c r="E17" s="139">
        <f>D17*$E$4*(1-$B17)+D17</f>
        <v/>
      </c>
      <c r="F17" s="139">
        <f>E17*$F$4*(1-$B17)+E17</f>
        <v/>
      </c>
      <c r="G17" s="139">
        <f>F17*$G$4*(1-$B17)+F17</f>
        <v/>
      </c>
      <c r="H17" s="139">
        <f>G17*$H$4*(1-$B17)+G17</f>
        <v/>
      </c>
      <c r="I17" s="139">
        <f>H17*$I$4*(1-$B17)+H17</f>
        <v/>
      </c>
      <c r="J17" s="139">
        <f>I17*$J$4*(1-$B17)+I17</f>
        <v/>
      </c>
      <c r="K17" s="139">
        <f>J17*$K$4*(1-$B17)+J17</f>
        <v/>
      </c>
      <c r="L17" s="139">
        <f>K17*$L$4*(1-$B17)+K17</f>
        <v/>
      </c>
      <c r="M17" s="139">
        <f>L17*$M$4*(1-$B17)+L17</f>
        <v/>
      </c>
      <c r="N17" s="139">
        <f>M17*$N$4*(1-$B17)+M17</f>
        <v/>
      </c>
      <c r="O17" s="139">
        <f>N17*$O$4*(1-$B17)+N17</f>
        <v/>
      </c>
      <c r="P17" s="139">
        <f>O17*$P$4*(1-$B17)+O17</f>
        <v/>
      </c>
      <c r="Q17" s="139">
        <f>P17*$Q$4*(1-$B17)+P17</f>
        <v/>
      </c>
      <c r="R17" s="139">
        <f>Q17*R$4*(1-$B17)+Q17+SUMIFS(Investments!$D:$D,Investments!$B:$B,$A17,Investments!$C:$C,"SOL",Investments!$A:$A,R$8)</f>
        <v/>
      </c>
      <c r="S17" s="139">
        <f>R17*S$4*(1-$B17)+R17+SUMIFS(Investments!$D:$D,Investments!$B:$B,$A17,Investments!$C:$C,"SOL",Investments!$A:$A,S$8)</f>
        <v/>
      </c>
      <c r="T17" s="139">
        <f>S17*T$4*(1-$B17)+S17+SUMIFS(Investments!$D:$D,Investments!$B:$B,$A17,Investments!$C:$C,"SOL",Investments!$A:$A,T$8)</f>
        <v/>
      </c>
    </row>
    <row r="18" ht="15.75" customHeight="1" s="252">
      <c r="A18" s="148" t="inlineStr">
        <is>
          <t>x</t>
        </is>
      </c>
      <c r="B18" s="149" t="n"/>
      <c r="C18" s="149" t="n"/>
      <c r="D18" s="139" t="n">
        <v>0</v>
      </c>
      <c r="E18" s="139">
        <f>D18*$E$4*(1-$B18)+D18</f>
        <v/>
      </c>
      <c r="F18" s="139">
        <f>E18*$F$4*(1-$B18)+E18</f>
        <v/>
      </c>
      <c r="G18" s="139">
        <f>F18*$G$4*(1-$B18)+F18</f>
        <v/>
      </c>
      <c r="H18" s="139">
        <f>G18*$H$4*(1-$B18)+G18</f>
        <v/>
      </c>
      <c r="I18" s="139">
        <f>H18*$I$4*(1-$B18)+H18</f>
        <v/>
      </c>
      <c r="J18" s="139">
        <f>I18*$J$4*(1-$B18)+I18</f>
        <v/>
      </c>
      <c r="K18" s="139">
        <f>J18*$K$4*(1-$B18)+J18</f>
        <v/>
      </c>
      <c r="L18" s="139">
        <f>K18*$L$4*(1-$B18)+K18</f>
        <v/>
      </c>
      <c r="M18" s="139">
        <f>L18*$M$4*(1-$B18)+L18</f>
        <v/>
      </c>
      <c r="N18" s="139">
        <f>M18*$N$4*(1-$B18)+M18</f>
        <v/>
      </c>
      <c r="O18" s="139">
        <f>N18*$O$4*(1-$B18)+N18</f>
        <v/>
      </c>
      <c r="P18" s="139">
        <f>O18*$P$4*(1-$B18)+O18</f>
        <v/>
      </c>
      <c r="Q18" s="139">
        <f>P18*$Q$4*(1-$B18)+P18</f>
        <v/>
      </c>
      <c r="R18" s="139">
        <f>Q18*R$4*(1-$B18)+Q18+SUMIFS(Investments!$D:$D,Investments!$B:$B,$A18,Investments!$C:$C,"SOL",Investments!$A:$A,R$8)</f>
        <v/>
      </c>
      <c r="S18" s="139">
        <f>R18*S$4*(1-$B18)+R18+SUMIFS(Investments!$D:$D,Investments!$B:$B,$A18,Investments!$C:$C,"SOL",Investments!$A:$A,S$8)</f>
        <v/>
      </c>
      <c r="T18" s="139">
        <f>S18*T$4*(1-$B18)+S18+SUMIFS(Investments!$D:$D,Investments!$B:$B,$A18,Investments!$C:$C,"SOL",Investments!$A:$A,T$8)</f>
        <v/>
      </c>
    </row>
    <row r="19" ht="15.75" customHeight="1" s="252">
      <c r="A19" s="148" t="inlineStr">
        <is>
          <t>x</t>
        </is>
      </c>
      <c r="B19" s="149" t="n"/>
      <c r="C19" s="149" t="n"/>
      <c r="D19" s="139" t="n">
        <v>0</v>
      </c>
      <c r="E19" s="139">
        <f>D19*$E$4*(1-$B19)+D19</f>
        <v/>
      </c>
      <c r="F19" s="139">
        <f>E19*$F$4*(1-$B19)+E19</f>
        <v/>
      </c>
      <c r="G19" s="139">
        <f>F19*$G$4*(1-$B19)+F19</f>
        <v/>
      </c>
      <c r="H19" s="139">
        <f>G19*$H$4*(1-$B19)+G19</f>
        <v/>
      </c>
      <c r="I19" s="139">
        <f>H19*$I$4*(1-$B19)+H19</f>
        <v/>
      </c>
      <c r="J19" s="139">
        <f>I19*$J$4*(1-$B19)+I19</f>
        <v/>
      </c>
      <c r="K19" s="139">
        <f>J19*$K$4*(1-$B19)+J19</f>
        <v/>
      </c>
      <c r="L19" s="139">
        <f>K19*$L$4*(1-$B19)+K19</f>
        <v/>
      </c>
      <c r="M19" s="139">
        <f>L19*$M$4*(1-$B19)+L19</f>
        <v/>
      </c>
      <c r="N19" s="139">
        <f>M19*$N$4*(1-$B19)+M19</f>
        <v/>
      </c>
      <c r="O19" s="139">
        <f>N19*$O$4*(1-$B19)+N19</f>
        <v/>
      </c>
      <c r="P19" s="139">
        <f>O19*$P$4*(1-$B19)+O19</f>
        <v/>
      </c>
      <c r="Q19" s="139">
        <f>P19*$Q$4*(1-$B19)+P19</f>
        <v/>
      </c>
      <c r="R19" s="139">
        <f>Q19*R$4*(1-$B19)+Q19+SUMIFS(Investments!$D:$D,Investments!$B:$B,$A19,Investments!$C:$C,"SOL",Investments!$A:$A,R$8)</f>
        <v/>
      </c>
      <c r="S19" s="139">
        <f>R19*S$4*(1-$B19)+R19+SUMIFS(Investments!$D:$D,Investments!$B:$B,$A19,Investments!$C:$C,"SOL",Investments!$A:$A,S$8)</f>
        <v/>
      </c>
      <c r="T19" s="139">
        <f>S19*T$4*(1-$B19)+S19+SUMIFS(Investments!$D:$D,Investments!$B:$B,$A19,Investments!$C:$C,"SOL",Investments!$A:$A,T$8)</f>
        <v/>
      </c>
    </row>
    <row r="20" ht="15.75" customHeight="1" s="252">
      <c r="A20" s="148" t="inlineStr">
        <is>
          <t>x</t>
        </is>
      </c>
      <c r="B20" s="149" t="n"/>
      <c r="C20" s="149" t="n"/>
      <c r="D20" s="139" t="n">
        <v>0</v>
      </c>
      <c r="E20" s="139">
        <f>D20*$E$4*(1-$B20)+D20</f>
        <v/>
      </c>
      <c r="F20" s="139">
        <f>E20*$F$4*(1-$B20)+E20</f>
        <v/>
      </c>
      <c r="G20" s="139">
        <f>F20*$G$4*(1-$B20)+F20</f>
        <v/>
      </c>
      <c r="H20" s="139">
        <f>G20*$H$4*(1-$B20)+G20</f>
        <v/>
      </c>
      <c r="I20" s="139">
        <f>H20*$I$4*(1-$B20)+H20</f>
        <v/>
      </c>
      <c r="J20" s="139">
        <f>I20*$J$4*(1-$B20)+I20</f>
        <v/>
      </c>
      <c r="K20" s="139">
        <f>J20*$K$4*(1-$B20)+J20</f>
        <v/>
      </c>
      <c r="L20" s="139">
        <f>K20*$L$4*(1-$B20)+K20</f>
        <v/>
      </c>
      <c r="M20" s="139">
        <f>L20*$M$4*(1-$B20)+L20</f>
        <v/>
      </c>
      <c r="N20" s="139">
        <f>M20*$N$4*(1-$B20)+M20</f>
        <v/>
      </c>
      <c r="O20" s="139">
        <f>N20*$O$4*(1-$B20)+N20</f>
        <v/>
      </c>
      <c r="P20" s="139">
        <f>O20*$P$4*(1-$B20)+O20</f>
        <v/>
      </c>
      <c r="Q20" s="139">
        <f>P20*$Q$4*(1-$B20)+P20</f>
        <v/>
      </c>
      <c r="R20" s="139">
        <f>Q20*R$4*(1-$B20)+Q20+SUMIFS(Investments!$D:$D,Investments!$B:$B,$A20,Investments!$C:$C,"SOL",Investments!$A:$A,R$8)</f>
        <v/>
      </c>
      <c r="S20" s="139">
        <f>R20*S$4*(1-$B20)+R20+SUMIFS(Investments!$D:$D,Investments!$B:$B,$A20,Investments!$C:$C,"SOL",Investments!$A:$A,S$8)</f>
        <v/>
      </c>
      <c r="T20" s="139">
        <f>S20*T$4*(1-$B20)+S20+SUMIFS(Investments!$D:$D,Investments!$B:$B,$A20,Investments!$C:$C,"SOL",Investments!$A:$A,T$8)</f>
        <v/>
      </c>
    </row>
    <row r="21" ht="15.75" customHeight="1" s="252">
      <c r="A21" s="148" t="inlineStr">
        <is>
          <t>x</t>
        </is>
      </c>
      <c r="B21" s="149" t="n"/>
      <c r="C21" s="149" t="n"/>
      <c r="D21" s="139" t="n">
        <v>0</v>
      </c>
      <c r="E21" s="139">
        <f>D21*$E$4*(1-$B21)+D21</f>
        <v/>
      </c>
      <c r="F21" s="139">
        <f>E21*$F$4*(1-$B21)+E21</f>
        <v/>
      </c>
      <c r="G21" s="139">
        <f>F21*$G$4*(1-$B21)+F21</f>
        <v/>
      </c>
      <c r="H21" s="139">
        <f>G21*$H$4*(1-$B21)+G21</f>
        <v/>
      </c>
      <c r="I21" s="139">
        <f>H21*$I$4*(1-$B21)+H21</f>
        <v/>
      </c>
      <c r="J21" s="139">
        <f>I21*$J$4*(1-$B21)+I21</f>
        <v/>
      </c>
      <c r="K21" s="139">
        <f>J21*$K$4*(1-$B21)+J21</f>
        <v/>
      </c>
      <c r="L21" s="139">
        <f>K21*$L$4*(1-$B21)+K21</f>
        <v/>
      </c>
      <c r="M21" s="139">
        <f>L21*$M$4*(1-$B21)+L21</f>
        <v/>
      </c>
      <c r="N21" s="139">
        <f>M21*$N$4*(1-$B21)+M21</f>
        <v/>
      </c>
      <c r="O21" s="139">
        <f>N21*$O$4*(1-$B21)+N21</f>
        <v/>
      </c>
      <c r="P21" s="139">
        <f>O21*$P$4*(1-$B21)+O21</f>
        <v/>
      </c>
      <c r="Q21" s="139">
        <f>P21*$Q$4*(1-$B21)+P21</f>
        <v/>
      </c>
      <c r="R21" s="139">
        <f>Q21*R$4*(1-$B21)+Q21+SUMIFS(Investments!$D:$D,Investments!$B:$B,$A21,Investments!$C:$C,"SOL",Investments!$A:$A,R$8)</f>
        <v/>
      </c>
      <c r="S21" s="139">
        <f>R21*S$4*(1-$B21)+R21+SUMIFS(Investments!$D:$D,Investments!$B:$B,$A21,Investments!$C:$C,"SOL",Investments!$A:$A,S$8)</f>
        <v/>
      </c>
      <c r="T21" s="139">
        <f>S21*T$4*(1-$B21)+S21+SUMIFS(Investments!$D:$D,Investments!$B:$B,$A21,Investments!$C:$C,"SOL",Investments!$A:$A,T$8)</f>
        <v/>
      </c>
    </row>
    <row r="22" ht="15.75" customHeight="1" s="252">
      <c r="A22" s="148" t="inlineStr">
        <is>
          <t>x</t>
        </is>
      </c>
      <c r="B22" s="149" t="n"/>
      <c r="C22" s="133" t="n"/>
      <c r="D22" s="139" t="n">
        <v>0</v>
      </c>
      <c r="E22" s="139">
        <f>D22*$E$4*(1-$B22)+D22</f>
        <v/>
      </c>
      <c r="F22" s="139">
        <f>E22*$F$4*(1-$B22)+E22</f>
        <v/>
      </c>
      <c r="G22" s="139">
        <f>F22*$G$4*(1-$B22)+F22</f>
        <v/>
      </c>
      <c r="H22" s="139">
        <f>G22*$H$4*(1-$B22)+G22</f>
        <v/>
      </c>
      <c r="I22" s="139">
        <f>H22*$I$4*(1-$B22)+H22</f>
        <v/>
      </c>
      <c r="J22" s="139">
        <f>I22*$J$4*(1-$B22)+I22</f>
        <v/>
      </c>
      <c r="K22" s="139">
        <f>J22*$K$4*(1-$B22)+J22</f>
        <v/>
      </c>
      <c r="L22" s="139">
        <f>K22*$L$4*(1-$B22)+K22</f>
        <v/>
      </c>
      <c r="M22" s="139">
        <f>L22*$M$4*(1-$B22)+L22</f>
        <v/>
      </c>
      <c r="N22" s="139">
        <f>M22*$N$4*(1-$B22)+M22</f>
        <v/>
      </c>
      <c r="O22" s="139">
        <f>N22*$O$4*(1-$B22)+N22</f>
        <v/>
      </c>
      <c r="P22" s="139">
        <f>O22*$P$4*(1-$B22)+O22</f>
        <v/>
      </c>
      <c r="Q22" s="139">
        <f>P22*$Q$4*(1-$B22)+P22</f>
        <v/>
      </c>
      <c r="R22" s="139">
        <f>Q22*R$4*(1-$B22)+Q22+SUMIFS(Investments!$D:$D,Investments!$B:$B,$A22,Investments!$C:$C,"SOL",Investments!$A:$A,R$8)</f>
        <v/>
      </c>
      <c r="S22" s="139">
        <f>R22*S$4*(1-$B22)+R22+SUMIFS(Investments!$D:$D,Investments!$B:$B,$A22,Investments!$C:$C,"SOL",Investments!$A:$A,S$8)</f>
        <v/>
      </c>
      <c r="T22" s="139">
        <f>S22*T$4*(1-$B22)+S22+SUMIFS(Investments!$D:$D,Investments!$B:$B,$A22,Investments!$C:$C,"SOL",Investments!$A:$A,T$8)</f>
        <v/>
      </c>
    </row>
    <row r="23" ht="15.75" customHeight="1" s="252">
      <c r="A23" s="150" t="inlineStr">
        <is>
          <t>Total AUM</t>
        </is>
      </c>
      <c r="B23" s="151" t="n"/>
      <c r="C23" s="151" t="n"/>
      <c r="D23" s="151">
        <f>SUM(D9:D22)</f>
        <v/>
      </c>
      <c r="E23" s="151">
        <f>SUM(E9:E22)</f>
        <v/>
      </c>
      <c r="F23" s="151">
        <f>SUM(F9:F22)</f>
        <v/>
      </c>
      <c r="G23" s="151">
        <f>SUM(G9:G22)</f>
        <v/>
      </c>
      <c r="H23" s="151">
        <f>SUM(H9:H22)</f>
        <v/>
      </c>
      <c r="I23" s="151">
        <f>SUM(I9:I22)</f>
        <v/>
      </c>
      <c r="J23" s="151">
        <f>SUM(J9:J22)</f>
        <v/>
      </c>
      <c r="K23" s="151">
        <f>SUM(K9:K22)</f>
        <v/>
      </c>
      <c r="L23" s="151">
        <f>SUM(L9:L22)</f>
        <v/>
      </c>
      <c r="M23" s="151">
        <f>SUM(M9:M22)</f>
        <v/>
      </c>
      <c r="N23" s="151">
        <f>SUM(N9:N22)</f>
        <v/>
      </c>
      <c r="O23" s="151">
        <f>SUM(O9:O22)</f>
        <v/>
      </c>
      <c r="P23" s="151">
        <f>SUM(P9:P22)</f>
        <v/>
      </c>
      <c r="Q23" s="151">
        <f>SUM(Q9:Q22)</f>
        <v/>
      </c>
      <c r="R23" s="151">
        <f>SUM(R9:R22)</f>
        <v/>
      </c>
      <c r="S23" s="151">
        <f>SUM(S9:S22)</f>
        <v/>
      </c>
      <c r="T23" s="151">
        <f>SUM(T9:T22)</f>
        <v/>
      </c>
    </row>
    <row r="24" ht="15.75" customHeight="1" s="252"/>
    <row r="25" ht="15.75" customHeight="1" s="252">
      <c r="A25" s="11" t="inlineStr">
        <is>
          <t>Indigo fees</t>
        </is>
      </c>
      <c r="C25" s="18" t="n"/>
      <c r="D25" s="18">
        <f>IFERROR(D9/D$23,"")</f>
        <v/>
      </c>
      <c r="E25" s="18">
        <f>IFERROR(E9/E$23,"")</f>
        <v/>
      </c>
      <c r="F25" s="18">
        <f>IFERROR(F9/F$23,"")</f>
        <v/>
      </c>
      <c r="G25" s="18">
        <f>IFERROR(G9/G$23,"")</f>
        <v/>
      </c>
      <c r="H25" s="18">
        <f>IFERROR(H9/H$23,"")</f>
        <v/>
      </c>
      <c r="I25" s="18">
        <f>IFERROR(I9/I$23,"")</f>
        <v/>
      </c>
      <c r="J25" s="18">
        <f>IFERROR(J9/J$23,"")</f>
        <v/>
      </c>
      <c r="K25" s="18">
        <f>IFERROR(K9/K$23,"")</f>
        <v/>
      </c>
      <c r="L25" s="18">
        <f>IFERROR(L9/L$23,"")</f>
        <v/>
      </c>
      <c r="M25" s="18">
        <f>IFERROR(M9/M$23,"")</f>
        <v/>
      </c>
      <c r="N25" s="18">
        <f>IFERROR(N9/N$23,"")</f>
        <v/>
      </c>
      <c r="O25" s="18">
        <f>IFERROR(O9/O$23,"")</f>
        <v/>
      </c>
      <c r="P25" s="18">
        <f>IFERROR(P9/P$23,"")</f>
        <v/>
      </c>
      <c r="Q25" s="18">
        <f>IFERROR(Q9/Q$23,"")</f>
        <v/>
      </c>
      <c r="R25" s="18">
        <f>IFERROR(R9/R$23,"")</f>
        <v/>
      </c>
      <c r="S25" s="18">
        <f>IFERROR(S9/S$23,"")</f>
        <v/>
      </c>
      <c r="T25" s="18">
        <f>IFERROR(T9/T$23,"")</f>
        <v/>
      </c>
    </row>
    <row r="26" ht="15.75" customHeight="1" s="252">
      <c r="A26" s="11" t="inlineStr">
        <is>
          <t>INDIGO DIGITAL ASSET FUND LP</t>
        </is>
      </c>
      <c r="C26" s="18" t="n"/>
      <c r="D26" s="18">
        <f>IFERROR(D10/D$23,"")</f>
        <v/>
      </c>
      <c r="E26" s="18">
        <f>IFERROR(E10/E$23,"")</f>
        <v/>
      </c>
      <c r="F26" s="18">
        <f>IFERROR(F10/F$23,"")</f>
        <v/>
      </c>
      <c r="G26" s="18">
        <f>IFERROR(G10/G$23,"")</f>
        <v/>
      </c>
      <c r="H26" s="18">
        <f>IFERROR(H10/H$23,"")</f>
        <v/>
      </c>
      <c r="I26" s="18">
        <f>IFERROR(I10/I$23,"")</f>
        <v/>
      </c>
      <c r="J26" s="18">
        <f>IFERROR(J10/J$23,"")</f>
        <v/>
      </c>
      <c r="K26" s="18">
        <f>IFERROR(K10/K$23,"")</f>
        <v/>
      </c>
      <c r="L26" s="18">
        <f>IFERROR(L10/L$23,"")</f>
        <v/>
      </c>
      <c r="M26" s="18">
        <f>IFERROR(M10/M$23,"")</f>
        <v/>
      </c>
      <c r="N26" s="18">
        <f>IFERROR(N10/N$23,"")</f>
        <v/>
      </c>
      <c r="O26" s="18">
        <f>IFERROR(O10/O$23,"")</f>
        <v/>
      </c>
      <c r="P26" s="18">
        <f>IFERROR(P10/P$23,"")</f>
        <v/>
      </c>
      <c r="Q26" s="18">
        <f>IFERROR(Q10/Q$23,"")</f>
        <v/>
      </c>
      <c r="R26" s="18">
        <f>IFERROR(R10/R$23,"")</f>
        <v/>
      </c>
      <c r="S26" s="18">
        <f>IFERROR(S10/S$23,"")</f>
        <v/>
      </c>
      <c r="T26" s="18">
        <f>IFERROR(T10/T$23,"")</f>
        <v/>
      </c>
    </row>
    <row r="27" ht="15.75" customHeight="1" s="252">
      <c r="A27" s="11" t="inlineStr">
        <is>
          <t>Paul Johnson</t>
        </is>
      </c>
      <c r="C27" s="18" t="n"/>
      <c r="D27" s="18">
        <f>IFERROR(D11/D$23,"")</f>
        <v/>
      </c>
      <c r="E27" s="18">
        <f>IFERROR(E11/E$23,"")</f>
        <v/>
      </c>
      <c r="F27" s="18">
        <f>IFERROR(F11/F$23,"")</f>
        <v/>
      </c>
      <c r="G27" s="18">
        <f>IFERROR(G11/G$23,"")</f>
        <v/>
      </c>
      <c r="H27" s="18">
        <f>IFERROR(H11/H$23,"")</f>
        <v/>
      </c>
      <c r="I27" s="18">
        <f>IFERROR(I11/I$23,"")</f>
        <v/>
      </c>
      <c r="J27" s="18">
        <f>IFERROR(J11/J$23,"")</f>
        <v/>
      </c>
      <c r="K27" s="18">
        <f>IFERROR(K11/K$23,"")</f>
        <v/>
      </c>
      <c r="L27" s="18">
        <f>IFERROR(L11/L$23,"")</f>
        <v/>
      </c>
      <c r="M27" s="18">
        <f>IFERROR(M11/M$23,"")</f>
        <v/>
      </c>
      <c r="N27" s="18">
        <f>IFERROR(N11/N$23,"")</f>
        <v/>
      </c>
      <c r="O27" s="18">
        <f>IFERROR(O11/O$23,"")</f>
        <v/>
      </c>
      <c r="P27" s="18">
        <f>IFERROR(P11/P$23,"")</f>
        <v/>
      </c>
      <c r="Q27" s="18">
        <f>IFERROR(Q11/Q$23,"")</f>
        <v/>
      </c>
      <c r="R27" s="18">
        <f>IFERROR(R11/R$23,"")</f>
        <v/>
      </c>
      <c r="S27" s="18">
        <f>IFERROR(S11/S$23,"")</f>
        <v/>
      </c>
      <c r="T27" s="18">
        <f>IFERROR(T11/T$23,"")</f>
        <v/>
      </c>
    </row>
    <row r="28" ht="15.75" customHeight="1" s="252">
      <c r="A28" s="11" t="inlineStr">
        <is>
          <t>Alex Jacobs</t>
        </is>
      </c>
      <c r="C28" s="18" t="n"/>
      <c r="D28" s="18">
        <f>IFERROR(D12/D$23,"")</f>
        <v/>
      </c>
      <c r="E28" s="18">
        <f>IFERROR(E12/E$23,"")</f>
        <v/>
      </c>
      <c r="F28" s="18">
        <f>IFERROR(F12/F$23,"")</f>
        <v/>
      </c>
      <c r="G28" s="18">
        <f>IFERROR(G12/G$23,"")</f>
        <v/>
      </c>
      <c r="H28" s="18">
        <f>IFERROR(H12/H$23,"")</f>
        <v/>
      </c>
      <c r="I28" s="18">
        <f>IFERROR(I12/I$23,"")</f>
        <v/>
      </c>
      <c r="J28" s="18">
        <f>IFERROR(J12/J$23,"")</f>
        <v/>
      </c>
      <c r="K28" s="18">
        <f>IFERROR(K12/K$23,"")</f>
        <v/>
      </c>
      <c r="L28" s="18">
        <f>IFERROR(L12/L$23,"")</f>
        <v/>
      </c>
      <c r="M28" s="18">
        <f>IFERROR(M12/M$23,"")</f>
        <v/>
      </c>
      <c r="N28" s="18">
        <f>IFERROR(N12/N$23,"")</f>
        <v/>
      </c>
      <c r="O28" s="18">
        <f>IFERROR(O12/O$23,"")</f>
        <v/>
      </c>
      <c r="P28" s="18">
        <f>IFERROR(P12/P$23,"")</f>
        <v/>
      </c>
      <c r="Q28" s="18">
        <f>IFERROR(Q12/Q$23,"")</f>
        <v/>
      </c>
      <c r="R28" s="18">
        <f>IFERROR(R12/R$23,"")</f>
        <v/>
      </c>
      <c r="S28" s="18">
        <f>IFERROR(S12/S$23,"")</f>
        <v/>
      </c>
      <c r="T28" s="18">
        <f>IFERROR(T12/T$23,"")</f>
        <v/>
      </c>
    </row>
    <row r="29" ht="15.75" customHeight="1" s="252">
      <c r="A29" s="11" t="inlineStr">
        <is>
          <t>Jose Molla</t>
        </is>
      </c>
      <c r="C29" s="18" t="n"/>
      <c r="D29" s="18">
        <f>IFERROR(D13/D$23,"")</f>
        <v/>
      </c>
      <c r="E29" s="18">
        <f>IFERROR(E13/E$23,"")</f>
        <v/>
      </c>
      <c r="F29" s="18">
        <f>IFERROR(F13/F$23,"")</f>
        <v/>
      </c>
      <c r="G29" s="18">
        <f>IFERROR(G13/G$23,"")</f>
        <v/>
      </c>
      <c r="H29" s="18">
        <f>IFERROR(H13/H$23,"")</f>
        <v/>
      </c>
      <c r="I29" s="18">
        <f>IFERROR(I13/I$23,"")</f>
        <v/>
      </c>
      <c r="J29" s="18">
        <f>IFERROR(J13/J$23,"")</f>
        <v/>
      </c>
      <c r="K29" s="18">
        <f>IFERROR(K13/K$23,"")</f>
        <v/>
      </c>
      <c r="L29" s="18">
        <f>IFERROR(L13/L$23,"")</f>
        <v/>
      </c>
      <c r="M29" s="18">
        <f>IFERROR(M13/M$23,"")</f>
        <v/>
      </c>
      <c r="N29" s="18">
        <f>IFERROR(N13/N$23,"")</f>
        <v/>
      </c>
      <c r="O29" s="18">
        <f>IFERROR(O13/O$23,"")</f>
        <v/>
      </c>
      <c r="P29" s="18">
        <f>IFERROR(P13/P$23,"")</f>
        <v/>
      </c>
      <c r="Q29" s="18">
        <f>IFERROR(Q13/Q$23,"")</f>
        <v/>
      </c>
      <c r="R29" s="18">
        <f>IFERROR(R13/R$23,"")</f>
        <v/>
      </c>
      <c r="S29" s="18">
        <f>IFERROR(S13/S$23,"")</f>
        <v/>
      </c>
      <c r="T29" s="18">
        <f>IFERROR(T13/T$23,"")</f>
        <v/>
      </c>
    </row>
    <row r="30" ht="15.75" customHeight="1" s="252">
      <c r="A30" s="11" t="inlineStr">
        <is>
          <t xml:space="preserve">Sam Johnson </t>
        </is>
      </c>
      <c r="C30" s="18" t="n"/>
      <c r="D30" s="18">
        <f>IFERROR(D14/D$23,"")</f>
        <v/>
      </c>
      <c r="E30" s="18">
        <f>IFERROR(E14/E$23,"")</f>
        <v/>
      </c>
      <c r="F30" s="18">
        <f>IFERROR(F14/F$23,"")</f>
        <v/>
      </c>
      <c r="G30" s="18">
        <f>IFERROR(G14/G$23,"")</f>
        <v/>
      </c>
      <c r="H30" s="18">
        <f>IFERROR(H14/H$23,"")</f>
        <v/>
      </c>
      <c r="I30" s="18">
        <f>IFERROR(I14/I$23,"")</f>
        <v/>
      </c>
      <c r="J30" s="18">
        <f>IFERROR(J14/J$23,"")</f>
        <v/>
      </c>
      <c r="K30" s="18">
        <f>IFERROR(K14/K$23,"")</f>
        <v/>
      </c>
      <c r="L30" s="18">
        <f>IFERROR(L14/L$23,"")</f>
        <v/>
      </c>
      <c r="M30" s="18">
        <f>IFERROR(M14/M$23,"")</f>
        <v/>
      </c>
      <c r="N30" s="18">
        <f>IFERROR(N14/N$23,"")</f>
        <v/>
      </c>
      <c r="O30" s="18">
        <f>IFERROR(O14/O$23,"")</f>
        <v/>
      </c>
      <c r="P30" s="18">
        <f>IFERROR(P14/P$23,"")</f>
        <v/>
      </c>
      <c r="Q30" s="18">
        <f>IFERROR(Q14/Q$23,"")</f>
        <v/>
      </c>
      <c r="R30" s="18">
        <f>IFERROR(R14/R$23,"")</f>
        <v/>
      </c>
      <c r="S30" s="18">
        <f>IFERROR(S14/S$23,"")</f>
        <v/>
      </c>
      <c r="T30" s="18">
        <f>IFERROR(T14/T$23,"")</f>
        <v/>
      </c>
    </row>
    <row r="31" ht="15.75" customHeight="1" s="252">
      <c r="A31" s="11" t="inlineStr">
        <is>
          <t>Ryan Van Der Wall</t>
        </is>
      </c>
      <c r="C31" s="18" t="n"/>
      <c r="D31" s="18">
        <f>IFERROR(D15/D$23,"")</f>
        <v/>
      </c>
      <c r="E31" s="18">
        <f>IFERROR(E15/E$23,"")</f>
        <v/>
      </c>
      <c r="F31" s="18">
        <f>IFERROR(F15/F$23,"")</f>
        <v/>
      </c>
      <c r="G31" s="18">
        <f>IFERROR(G15/G$23,"")</f>
        <v/>
      </c>
      <c r="H31" s="18">
        <f>IFERROR(H15/H$23,"")</f>
        <v/>
      </c>
      <c r="I31" s="18">
        <f>IFERROR(I15/I$23,"")</f>
        <v/>
      </c>
      <c r="J31" s="18">
        <f>IFERROR(J15/J$23,"")</f>
        <v/>
      </c>
      <c r="K31" s="18">
        <f>IFERROR(K15/K$23,"")</f>
        <v/>
      </c>
      <c r="L31" s="18">
        <f>IFERROR(L15/L$23,"")</f>
        <v/>
      </c>
      <c r="M31" s="18">
        <f>IFERROR(M15/M$23,"")</f>
        <v/>
      </c>
      <c r="N31" s="18">
        <f>IFERROR(N15/N$23,"")</f>
        <v/>
      </c>
      <c r="O31" s="18">
        <f>IFERROR(O15/O$23,"")</f>
        <v/>
      </c>
      <c r="P31" s="18">
        <f>IFERROR(P15/P$23,"")</f>
        <v/>
      </c>
      <c r="Q31" s="18">
        <f>IFERROR(Q15/Q$23,"")</f>
        <v/>
      </c>
      <c r="R31" s="18">
        <f>IFERROR(R15/R$23,"")</f>
        <v/>
      </c>
      <c r="S31" s="18">
        <f>IFERROR(S15/S$23,"")</f>
        <v/>
      </c>
      <c r="T31" s="18">
        <f>IFERROR(T15/T$23,"")</f>
        <v/>
      </c>
    </row>
    <row r="32" ht="15.75" customHeight="1" s="252">
      <c r="A32" s="11" t="inlineStr">
        <is>
          <t>ALOK PAVAN BATRA</t>
        </is>
      </c>
      <c r="B32" s="7" t="n"/>
      <c r="C32" s="18" t="n"/>
      <c r="D32" s="18">
        <f>IFERROR(D16/D$23,"")</f>
        <v/>
      </c>
      <c r="E32" s="18">
        <f>IFERROR(E16/E$23,"")</f>
        <v/>
      </c>
      <c r="F32" s="18">
        <f>IFERROR(F16/F$23,"")</f>
        <v/>
      </c>
      <c r="G32" s="18">
        <f>IFERROR(G16/G$23,"")</f>
        <v/>
      </c>
      <c r="H32" s="18">
        <f>IFERROR(H16/H$23,"")</f>
        <v/>
      </c>
      <c r="I32" s="18">
        <f>IFERROR(I16/I$23,"")</f>
        <v/>
      </c>
      <c r="J32" s="18">
        <f>IFERROR(J16/J$23,"")</f>
        <v/>
      </c>
      <c r="K32" s="18">
        <f>IFERROR(K16/K$23,"")</f>
        <v/>
      </c>
      <c r="L32" s="18">
        <f>IFERROR(L16/L$23,"")</f>
        <v/>
      </c>
      <c r="M32" s="18">
        <f>IFERROR(M16/M$23,"")</f>
        <v/>
      </c>
      <c r="N32" s="18">
        <f>IFERROR(N16/N$23,"")</f>
        <v/>
      </c>
      <c r="O32" s="18">
        <f>IFERROR(O16/O$23,"")</f>
        <v/>
      </c>
      <c r="P32" s="18">
        <f>IFERROR(P16/P$23,"")</f>
        <v/>
      </c>
      <c r="Q32" s="18">
        <f>IFERROR(Q16/Q$23,"")</f>
        <v/>
      </c>
      <c r="R32" s="18">
        <f>IFERROR(R16/R$23,"")</f>
        <v/>
      </c>
      <c r="S32" s="18">
        <f>IFERROR(S16/S$23,"")</f>
        <v/>
      </c>
      <c r="T32" s="18">
        <f>IFERROR(T16/T$23,"")</f>
        <v/>
      </c>
    </row>
    <row r="33" ht="15.75" customHeight="1" s="252">
      <c r="A33" s="11" t="inlineStr">
        <is>
          <t>x</t>
        </is>
      </c>
      <c r="B33" s="7" t="n"/>
      <c r="C33" s="18" t="n"/>
      <c r="D33" s="18">
        <f>IFERROR(D17/D$23,"")</f>
        <v/>
      </c>
      <c r="E33" s="18">
        <f>IFERROR(E17/E$23,"")</f>
        <v/>
      </c>
      <c r="F33" s="18">
        <f>IFERROR(F17/F$23,"")</f>
        <v/>
      </c>
      <c r="G33" s="18">
        <f>IFERROR(G17/G$23,"")</f>
        <v/>
      </c>
      <c r="H33" s="18">
        <f>IFERROR(H17/H$23,"")</f>
        <v/>
      </c>
      <c r="I33" s="18">
        <f>IFERROR(I17/I$23,"")</f>
        <v/>
      </c>
      <c r="J33" s="18">
        <f>IFERROR(J17/J$23,"")</f>
        <v/>
      </c>
      <c r="K33" s="18">
        <f>IFERROR(K17/K$23,"")</f>
        <v/>
      </c>
      <c r="L33" s="18">
        <f>IFERROR(L17/L$23,"")</f>
        <v/>
      </c>
      <c r="M33" s="18">
        <f>IFERROR(M17/M$23,"")</f>
        <v/>
      </c>
      <c r="N33" s="18">
        <f>IFERROR(N17/N$23,"")</f>
        <v/>
      </c>
      <c r="O33" s="18">
        <f>IFERROR(O17/O$23,"")</f>
        <v/>
      </c>
      <c r="P33" s="18">
        <f>IFERROR(P17/P$23,"")</f>
        <v/>
      </c>
      <c r="Q33" s="18">
        <f>IFERROR(Q17/Q$23,"")</f>
        <v/>
      </c>
      <c r="R33" s="18">
        <f>IFERROR(R17/R$23,"")</f>
        <v/>
      </c>
      <c r="S33" s="18">
        <f>IFERROR(S17/S$23,"")</f>
        <v/>
      </c>
      <c r="T33" s="18">
        <f>IFERROR(T17/T$23,"")</f>
        <v/>
      </c>
    </row>
    <row r="34" ht="15.75" customHeight="1" s="252">
      <c r="A34" s="11" t="inlineStr">
        <is>
          <t>x</t>
        </is>
      </c>
      <c r="B34" s="7" t="n"/>
      <c r="C34" s="18" t="n"/>
      <c r="D34" s="18">
        <f>IFERROR(D18/D$23,"")</f>
        <v/>
      </c>
      <c r="E34" s="18">
        <f>IFERROR(E18/E$23,"")</f>
        <v/>
      </c>
      <c r="F34" s="18">
        <f>IFERROR(F18/F$23,"")</f>
        <v/>
      </c>
      <c r="G34" s="18">
        <f>IFERROR(G18/G$23,"")</f>
        <v/>
      </c>
      <c r="H34" s="18">
        <f>IFERROR(H18/H$23,"")</f>
        <v/>
      </c>
      <c r="I34" s="18">
        <f>IFERROR(I18/I$23,"")</f>
        <v/>
      </c>
      <c r="J34" s="18">
        <f>IFERROR(J18/J$23,"")</f>
        <v/>
      </c>
      <c r="K34" s="18">
        <f>IFERROR(K18/K$23,"")</f>
        <v/>
      </c>
      <c r="L34" s="18">
        <f>IFERROR(L18/L$23,"")</f>
        <v/>
      </c>
      <c r="M34" s="18">
        <f>IFERROR(M18/M$23,"")</f>
        <v/>
      </c>
      <c r="N34" s="18">
        <f>IFERROR(N18/N$23,"")</f>
        <v/>
      </c>
      <c r="O34" s="18">
        <f>IFERROR(O18/O$23,"")</f>
        <v/>
      </c>
      <c r="P34" s="18">
        <f>IFERROR(P18/P$23,"")</f>
        <v/>
      </c>
      <c r="Q34" s="18">
        <f>IFERROR(Q18/Q$23,"")</f>
        <v/>
      </c>
      <c r="R34" s="18">
        <f>IFERROR(R18/R$23,"")</f>
        <v/>
      </c>
      <c r="S34" s="18">
        <f>IFERROR(S18/S$23,"")</f>
        <v/>
      </c>
      <c r="T34" s="18">
        <f>IFERROR(T18/T$23,"")</f>
        <v/>
      </c>
    </row>
    <row r="35" ht="15.75" customHeight="1" s="252">
      <c r="A35" s="11" t="inlineStr">
        <is>
          <t>x</t>
        </is>
      </c>
      <c r="B35" s="7" t="n"/>
      <c r="C35" s="18" t="n"/>
      <c r="D35" s="18">
        <f>IFERROR(D19/D$23,"")</f>
        <v/>
      </c>
      <c r="E35" s="18">
        <f>IFERROR(E19/E$23,"")</f>
        <v/>
      </c>
      <c r="F35" s="18">
        <f>IFERROR(F19/F$23,"")</f>
        <v/>
      </c>
      <c r="G35" s="18">
        <f>IFERROR(G19/G$23,"")</f>
        <v/>
      </c>
      <c r="H35" s="18">
        <f>IFERROR(H19/H$23,"")</f>
        <v/>
      </c>
      <c r="I35" s="18">
        <f>IFERROR(I19/I$23,"")</f>
        <v/>
      </c>
      <c r="J35" s="18">
        <f>IFERROR(J19/J$23,"")</f>
        <v/>
      </c>
      <c r="K35" s="18">
        <f>IFERROR(K19/K$23,"")</f>
        <v/>
      </c>
      <c r="L35" s="18">
        <f>IFERROR(L19/L$23,"")</f>
        <v/>
      </c>
      <c r="M35" s="18">
        <f>IFERROR(M19/M$23,"")</f>
        <v/>
      </c>
      <c r="N35" s="18">
        <f>IFERROR(N19/N$23,"")</f>
        <v/>
      </c>
      <c r="O35" s="18">
        <f>IFERROR(O19/O$23,"")</f>
        <v/>
      </c>
      <c r="P35" s="18">
        <f>IFERROR(P19/P$23,"")</f>
        <v/>
      </c>
      <c r="Q35" s="18">
        <f>IFERROR(Q19/Q$23,"")</f>
        <v/>
      </c>
      <c r="R35" s="18">
        <f>IFERROR(R19/R$23,"")</f>
        <v/>
      </c>
      <c r="S35" s="18">
        <f>IFERROR(S19/S$23,"")</f>
        <v/>
      </c>
      <c r="T35" s="18">
        <f>IFERROR(T19/T$23,"")</f>
        <v/>
      </c>
    </row>
    <row r="36" ht="15.75" customHeight="1" s="252">
      <c r="A36" s="11" t="inlineStr">
        <is>
          <t>x</t>
        </is>
      </c>
      <c r="C36" s="18" t="n"/>
      <c r="D36" s="18">
        <f>IFERROR(D20/D$23,"")</f>
        <v/>
      </c>
      <c r="E36" s="18">
        <f>IFERROR(E20/E$23,"")</f>
        <v/>
      </c>
      <c r="F36" s="18">
        <f>IFERROR(F20/F$23,"")</f>
        <v/>
      </c>
      <c r="G36" s="18">
        <f>IFERROR(G20/G$23,"")</f>
        <v/>
      </c>
      <c r="H36" s="18">
        <f>IFERROR(H20/H$23,"")</f>
        <v/>
      </c>
      <c r="I36" s="18">
        <f>IFERROR(I20/I$23,"")</f>
        <v/>
      </c>
      <c r="J36" s="18">
        <f>IFERROR(J20/J$23,"")</f>
        <v/>
      </c>
      <c r="K36" s="18">
        <f>IFERROR(K20/K$23,"")</f>
        <v/>
      </c>
      <c r="L36" s="18">
        <f>IFERROR(L20/L$23,"")</f>
        <v/>
      </c>
      <c r="M36" s="18">
        <f>IFERROR(M20/M$23,"")</f>
        <v/>
      </c>
      <c r="N36" s="18">
        <f>IFERROR(N20/N$23,"")</f>
        <v/>
      </c>
      <c r="O36" s="18">
        <f>IFERROR(O20/O$23,"")</f>
        <v/>
      </c>
      <c r="P36" s="18">
        <f>IFERROR(P20/P$23,"")</f>
        <v/>
      </c>
      <c r="Q36" s="18">
        <f>IFERROR(Q20/Q$23,"")</f>
        <v/>
      </c>
      <c r="R36" s="18">
        <f>IFERROR(R20/R$23,"")</f>
        <v/>
      </c>
      <c r="S36" s="18">
        <f>IFERROR(S20/S$23,"")</f>
        <v/>
      </c>
      <c r="T36" s="18">
        <f>IFERROR(T20/T$23,"")</f>
        <v/>
      </c>
    </row>
    <row r="37" ht="15.75" customHeight="1" s="252">
      <c r="A37" s="11" t="inlineStr">
        <is>
          <t>x</t>
        </is>
      </c>
      <c r="C37" s="18" t="n"/>
      <c r="D37" s="18">
        <f>IFERROR(D21/D$23,"")</f>
        <v/>
      </c>
      <c r="E37" s="18">
        <f>IFERROR(E21/E$23,"")</f>
        <v/>
      </c>
      <c r="F37" s="18">
        <f>IFERROR(F21/F$23,"")</f>
        <v/>
      </c>
      <c r="G37" s="18">
        <f>IFERROR(G21/G$23,"")</f>
        <v/>
      </c>
      <c r="H37" s="18">
        <f>IFERROR(H21/H$23,"")</f>
        <v/>
      </c>
      <c r="I37" s="18">
        <f>IFERROR(I21/I$23,"")</f>
        <v/>
      </c>
      <c r="J37" s="18">
        <f>IFERROR(J21/J$23,"")</f>
        <v/>
      </c>
      <c r="K37" s="18">
        <f>IFERROR(K21/K$23,"")</f>
        <v/>
      </c>
      <c r="L37" s="18">
        <f>IFERROR(L21/L$23,"")</f>
        <v/>
      </c>
      <c r="M37" s="18">
        <f>IFERROR(M21/M$23,"")</f>
        <v/>
      </c>
      <c r="N37" s="18">
        <f>IFERROR(N21/N$23,"")</f>
        <v/>
      </c>
      <c r="O37" s="18">
        <f>IFERROR(O21/O$23,"")</f>
        <v/>
      </c>
      <c r="P37" s="18">
        <f>IFERROR(P21/P$23,"")</f>
        <v/>
      </c>
      <c r="Q37" s="18">
        <f>IFERROR(Q21/Q$23,"")</f>
        <v/>
      </c>
      <c r="R37" s="18">
        <f>IFERROR(R21/R$23,"")</f>
        <v/>
      </c>
      <c r="S37" s="18">
        <f>IFERROR(S21/S$23,"")</f>
        <v/>
      </c>
      <c r="T37" s="18">
        <f>IFERROR(T21/T$23,"")</f>
        <v/>
      </c>
    </row>
    <row r="38" ht="15.75" customHeight="1" s="252">
      <c r="A38" s="11" t="inlineStr">
        <is>
          <t>x</t>
        </is>
      </c>
      <c r="D38" s="18">
        <f>IFERROR(D22/D$23,"")</f>
        <v/>
      </c>
      <c r="E38" s="18">
        <f>IFERROR(E22/E$23,"")</f>
        <v/>
      </c>
      <c r="F38" s="18">
        <f>IFERROR(F22/F$23,"")</f>
        <v/>
      </c>
      <c r="G38" s="18">
        <f>IFERROR(G22/G$23,"")</f>
        <v/>
      </c>
      <c r="H38" s="18">
        <f>IFERROR(H22/H$23,"")</f>
        <v/>
      </c>
      <c r="I38" s="18">
        <f>IFERROR(I22/I$23,"")</f>
        <v/>
      </c>
      <c r="J38" s="18">
        <f>IFERROR(J22/J$23,"")</f>
        <v/>
      </c>
      <c r="K38" s="18">
        <f>IFERROR(K22/K$23,"")</f>
        <v/>
      </c>
      <c r="L38" s="18">
        <f>IFERROR(L22/L$23,"")</f>
        <v/>
      </c>
      <c r="M38" s="18">
        <f>IFERROR(M22/M$23,"")</f>
        <v/>
      </c>
      <c r="N38" s="18">
        <f>IFERROR(N22/N$23,"")</f>
        <v/>
      </c>
      <c r="O38" s="18">
        <f>IFERROR(O22/O$23,"")</f>
        <v/>
      </c>
      <c r="P38" s="18">
        <f>IFERROR(P22/P$23,"")</f>
        <v/>
      </c>
      <c r="Q38" s="18">
        <f>IFERROR(Q22/Q$23,"")</f>
        <v/>
      </c>
      <c r="R38" s="18">
        <f>IFERROR(R22/R$23,"")</f>
        <v/>
      </c>
      <c r="S38" s="18">
        <f>IFERROR(S22/S$23,"")</f>
        <v/>
      </c>
      <c r="T38" s="18">
        <f>IFERROR(T22/T$23,"")</f>
        <v/>
      </c>
    </row>
    <row r="39" ht="15.75" customHeight="1" s="252">
      <c r="A39" s="76" t="inlineStr">
        <is>
          <t>Total AUM</t>
        </is>
      </c>
      <c r="B39" s="77" t="n"/>
      <c r="C39" s="131" t="n"/>
      <c r="D39" s="131">
        <f>SUM(D25:D37)</f>
        <v/>
      </c>
      <c r="E39" s="131">
        <f>SUM(E25:E37)</f>
        <v/>
      </c>
      <c r="F39" s="131">
        <f>SUM(F25:F37)</f>
        <v/>
      </c>
      <c r="G39" s="131">
        <f>SUM(G25:G37)</f>
        <v/>
      </c>
      <c r="H39" s="131">
        <f>SUM(H25:H37)</f>
        <v/>
      </c>
      <c r="I39" s="131">
        <f>SUM(I25:I37)</f>
        <v/>
      </c>
      <c r="J39" s="131">
        <f>SUM(J25:J37)</f>
        <v/>
      </c>
      <c r="K39" s="131">
        <f>SUM(K25:K37)</f>
        <v/>
      </c>
      <c r="L39" s="131">
        <f>SUM(L25:L37)</f>
        <v/>
      </c>
      <c r="M39" s="131">
        <f>SUM(M25:M37)</f>
        <v/>
      </c>
      <c r="N39" s="131">
        <f>SUM(N25:N37)</f>
        <v/>
      </c>
      <c r="O39" s="131">
        <f>SUM(O25:O37)</f>
        <v/>
      </c>
      <c r="P39" s="131">
        <f>SUM(P25:P37)</f>
        <v/>
      </c>
      <c r="Q39" s="131">
        <f>SUM(Q25:Q37)</f>
        <v/>
      </c>
      <c r="R39" s="131">
        <f>SUM(R25:R37)</f>
        <v/>
      </c>
      <c r="S39" s="131">
        <f>SUM(S25:S37)</f>
        <v/>
      </c>
      <c r="T39" s="131">
        <f>SUM(T25:T37)</f>
        <v/>
      </c>
    </row>
    <row r="40" ht="15.75" customHeight="1" s="252"/>
    <row r="41" ht="15.75" customHeight="1" s="252"/>
    <row r="42" ht="15.75" customHeight="1" s="252"/>
    <row r="43" ht="15.75" customHeight="1" s="252"/>
    <row r="44" ht="15.75" customHeight="1" s="252"/>
    <row r="45" ht="15.75" customHeight="1" s="252"/>
    <row r="46" ht="15.75" customHeight="1" s="252"/>
    <row r="47" ht="15.75" customHeight="1" s="252"/>
    <row r="48" ht="15.75" customHeight="1" s="252"/>
    <row r="49" ht="15.75" customHeight="1" s="252"/>
    <row r="50" ht="15.75" customHeight="1" s="252"/>
    <row r="51" ht="15.75" customHeight="1" s="252"/>
    <row r="52" ht="15.75" customHeight="1" s="252"/>
    <row r="53" ht="15.75" customHeight="1" s="252"/>
    <row r="54" ht="15.75" customHeight="1" s="252"/>
    <row r="55" ht="15.75" customHeight="1" s="252"/>
    <row r="56" ht="15.75" customHeight="1" s="252"/>
    <row r="57" ht="15.75" customHeight="1" s="252"/>
    <row r="58" ht="15.75" customHeight="1" s="252"/>
    <row r="59" ht="15.75" customHeight="1" s="252"/>
    <row r="60" ht="15.75" customHeight="1" s="252"/>
    <row r="61" ht="15.75" customHeight="1" s="252"/>
    <row r="62" ht="15.75" customHeight="1" s="252"/>
    <row r="63" ht="15.75" customHeight="1" s="252"/>
    <row r="64" ht="15.75" customHeight="1" s="252"/>
    <row r="65" ht="15.75" customHeight="1" s="252"/>
    <row r="66" ht="15.75" customHeight="1" s="252"/>
    <row r="67" ht="15.75" customHeight="1" s="252"/>
    <row r="68" ht="15.75" customHeight="1" s="252"/>
    <row r="69" ht="15.75" customHeight="1" s="252"/>
    <row r="70" ht="15.75" customHeight="1" s="252"/>
    <row r="71" ht="15.75" customHeight="1" s="252"/>
    <row r="72" ht="15.75" customHeight="1" s="252"/>
    <row r="73" ht="15.75" customHeight="1" s="252"/>
    <row r="74" ht="15.75" customHeight="1" s="252"/>
    <row r="75" ht="15.75" customHeight="1" s="252"/>
    <row r="76" ht="15.75" customHeight="1" s="252"/>
    <row r="77" ht="15.75" customHeight="1" s="252"/>
    <row r="78" ht="15.75" customHeight="1" s="252"/>
    <row r="79" ht="15.75" customHeight="1" s="252"/>
    <row r="80" ht="15.75" customHeight="1" s="252"/>
    <row r="81" ht="15.75" customHeight="1" s="252"/>
    <row r="82" ht="15.75" customHeight="1" s="252"/>
    <row r="83" ht="15.75" customHeight="1" s="252"/>
    <row r="84" ht="15.75" customHeight="1" s="252"/>
    <row r="85" ht="15.75" customHeight="1" s="252"/>
    <row r="86" ht="15.75" customHeight="1" s="252"/>
    <row r="87" ht="15.75" customHeight="1" s="252"/>
    <row r="88" ht="15.75" customHeight="1" s="252"/>
    <row r="89" ht="15.75" customHeight="1" s="252"/>
    <row r="90" ht="15.75" customHeight="1" s="252"/>
    <row r="91" ht="15.75" customHeight="1" s="252"/>
    <row r="92" ht="15.75" customHeight="1" s="252"/>
    <row r="93" ht="15.75" customHeight="1" s="252"/>
    <row r="94" ht="15.75" customHeight="1" s="252"/>
    <row r="95" ht="15.75" customHeight="1" s="252"/>
    <row r="96" ht="15.75" customHeight="1" s="252"/>
    <row r="97" ht="15.75" customHeight="1" s="252"/>
    <row r="98" ht="15.75" customHeight="1" s="252"/>
    <row r="99" ht="15.75" customHeight="1" s="252"/>
    <row r="100" ht="15.75" customHeight="1" s="252"/>
    <row r="101" ht="15.75" customHeight="1" s="252"/>
    <row r="102" ht="15.75" customHeight="1" s="252"/>
    <row r="103" ht="15.75" customHeight="1" s="252"/>
    <row r="104" ht="15.75" customHeight="1" s="252"/>
    <row r="105" ht="15.75" customHeight="1" s="252"/>
    <row r="106" ht="15.75" customHeight="1" s="252"/>
    <row r="107" ht="15.75" customHeight="1" s="252"/>
    <row r="108" ht="15.75" customHeight="1" s="252"/>
    <row r="109" ht="15.75" customHeight="1" s="252"/>
    <row r="110" ht="15.75" customHeight="1" s="252"/>
    <row r="111" ht="15.75" customHeight="1" s="252"/>
    <row r="112" ht="15.75" customHeight="1" s="252"/>
    <row r="113" ht="15.75" customHeight="1" s="252"/>
    <row r="114" ht="15.75" customHeight="1" s="252"/>
    <row r="115" ht="15.75" customHeight="1" s="252"/>
    <row r="116" ht="15.75" customHeight="1" s="252"/>
    <row r="117" ht="15.75" customHeight="1" s="252"/>
    <row r="118" ht="15.75" customHeight="1" s="252"/>
    <row r="119" ht="15.75" customHeight="1" s="252"/>
    <row r="120" ht="15.75" customHeight="1" s="252"/>
    <row r="121" ht="15.75" customHeight="1" s="252"/>
    <row r="122" ht="15.75" customHeight="1" s="252"/>
    <row r="123" ht="15.75" customHeight="1" s="252"/>
    <row r="124" ht="15.75" customHeight="1" s="252"/>
    <row r="125" ht="15.75" customHeight="1" s="252"/>
    <row r="126" ht="15.75" customHeight="1" s="252"/>
    <row r="127" ht="15.75" customHeight="1" s="252"/>
    <row r="128" ht="15.75" customHeight="1" s="252"/>
    <row r="129" ht="15.75" customHeight="1" s="252"/>
    <row r="130" ht="15.75" customHeight="1" s="252"/>
    <row r="131" ht="15.75" customHeight="1" s="252"/>
    <row r="132" ht="15.75" customHeight="1" s="252"/>
    <row r="133" ht="15.75" customHeight="1" s="252"/>
    <row r="134" ht="15.75" customHeight="1" s="252"/>
    <row r="135" ht="15.75" customHeight="1" s="252"/>
    <row r="136" ht="15.75" customHeight="1" s="252"/>
    <row r="137" ht="15.75" customHeight="1" s="252"/>
    <row r="138" ht="15.75" customHeight="1" s="252"/>
    <row r="139" ht="15.75" customHeight="1" s="252"/>
    <row r="140" ht="15.75" customHeight="1" s="252"/>
    <row r="141" ht="15.75" customHeight="1" s="252"/>
    <row r="142" ht="15.75" customHeight="1" s="252"/>
    <row r="143" ht="15.75" customHeight="1" s="252"/>
    <row r="144" ht="15.75" customHeight="1" s="252"/>
    <row r="145" ht="15.75" customHeight="1" s="252"/>
    <row r="146" ht="15.75" customHeight="1" s="252"/>
    <row r="147" ht="15.75" customHeight="1" s="252"/>
    <row r="148" ht="15.75" customHeight="1" s="252"/>
    <row r="149" ht="15.75" customHeight="1" s="252"/>
    <row r="150" ht="15.75" customHeight="1" s="252"/>
    <row r="151" ht="15.75" customHeight="1" s="252"/>
    <row r="152" ht="15.75" customHeight="1" s="252"/>
    <row r="153" ht="15.75" customHeight="1" s="252"/>
    <row r="154" ht="15.75" customHeight="1" s="252"/>
    <row r="155" ht="15.75" customHeight="1" s="252"/>
    <row r="156" ht="15.75" customHeight="1" s="252"/>
    <row r="157" ht="15.75" customHeight="1" s="252"/>
    <row r="158" ht="15.75" customHeight="1" s="252"/>
    <row r="159" ht="15.75" customHeight="1" s="252"/>
    <row r="160" ht="15.75" customHeight="1" s="252"/>
    <row r="161" ht="15.75" customHeight="1" s="252"/>
    <row r="162" ht="15.75" customHeight="1" s="252"/>
    <row r="163" ht="15.75" customHeight="1" s="252"/>
    <row r="164" ht="15.75" customHeight="1" s="252"/>
    <row r="165" ht="15.75" customHeight="1" s="252"/>
    <row r="166" ht="15.75" customHeight="1" s="252"/>
    <row r="167" ht="15.75" customHeight="1" s="252"/>
    <row r="168" ht="15.75" customHeight="1" s="252"/>
    <row r="169" ht="15.75" customHeight="1" s="252"/>
    <row r="170" ht="15.75" customHeight="1" s="252"/>
    <row r="171" ht="15.75" customHeight="1" s="252"/>
    <row r="172" ht="15.75" customHeight="1" s="252"/>
    <row r="173" ht="15.75" customHeight="1" s="252"/>
    <row r="174" ht="15.75" customHeight="1" s="252"/>
    <row r="175" ht="15.75" customHeight="1" s="252"/>
    <row r="176" ht="15.75" customHeight="1" s="252"/>
    <row r="177" ht="15.75" customHeight="1" s="252"/>
    <row r="178" ht="15.75" customHeight="1" s="252"/>
    <row r="179" ht="15.75" customHeight="1" s="252"/>
    <row r="180" ht="15.75" customHeight="1" s="252"/>
    <row r="181" ht="15.75" customHeight="1" s="252"/>
    <row r="182" ht="15.75" customHeight="1" s="252"/>
    <row r="183" ht="15.75" customHeight="1" s="252"/>
    <row r="184" ht="15.75" customHeight="1" s="252"/>
    <row r="185" ht="15.75" customHeight="1" s="252"/>
    <row r="186" ht="15.75" customHeight="1" s="252"/>
    <row r="187" ht="15.75" customHeight="1" s="252"/>
    <row r="188" ht="15.75" customHeight="1" s="252"/>
    <row r="189" ht="15.75" customHeight="1" s="252"/>
    <row r="190" ht="15.75" customHeight="1" s="252"/>
    <row r="191" ht="15.75" customHeight="1" s="252"/>
    <row r="192" ht="15.75" customHeight="1" s="252"/>
    <row r="193" ht="15.75" customHeight="1" s="252"/>
    <row r="194" ht="15.75" customHeight="1" s="252"/>
    <row r="195" ht="15.75" customHeight="1" s="252"/>
    <row r="196" ht="15.75" customHeight="1" s="252"/>
    <row r="197" ht="15.75" customHeight="1" s="252"/>
    <row r="198" ht="15.75" customHeight="1" s="252"/>
    <row r="199" ht="15.75" customHeight="1" s="252"/>
    <row r="200" ht="15.75" customHeight="1" s="252"/>
    <row r="201" ht="15.75" customHeight="1" s="252"/>
    <row r="202" ht="15.75" customHeight="1" s="252"/>
    <row r="203" ht="15.75" customHeight="1" s="252"/>
    <row r="204" ht="15.75" customHeight="1" s="252"/>
    <row r="205" ht="15.75" customHeight="1" s="252"/>
    <row r="206" ht="15.75" customHeight="1" s="252"/>
    <row r="207" ht="15.75" customHeight="1" s="252"/>
    <row r="208" ht="15.75" customHeight="1" s="252"/>
    <row r="209" ht="15.75" customHeight="1" s="252"/>
    <row r="210" ht="15.75" customHeight="1" s="252"/>
    <row r="211" ht="15.75" customHeight="1" s="252"/>
    <row r="212" ht="15.75" customHeight="1" s="252"/>
    <row r="213" ht="15.75" customHeight="1" s="252"/>
    <row r="214" ht="15.75" customHeight="1" s="252"/>
    <row r="215" ht="15.75" customHeight="1" s="252"/>
    <row r="216" ht="15.75" customHeight="1" s="252"/>
    <row r="217" ht="15.75" customHeight="1" s="252"/>
    <row r="218" ht="15.75" customHeight="1" s="252"/>
    <row r="219" ht="15.75" customHeight="1" s="252"/>
    <row r="220" ht="15.75" customHeight="1" s="252"/>
    <row r="221" ht="15.75" customHeight="1" s="252"/>
    <row r="222" ht="15.75" customHeight="1" s="252"/>
    <row r="223" ht="15.75" customHeight="1" s="252"/>
    <row r="224" ht="15.75" customHeight="1" s="252"/>
    <row r="225" ht="15.75" customHeight="1" s="252"/>
    <row r="226" ht="15.75" customHeight="1" s="252"/>
    <row r="227" ht="15.75" customHeight="1" s="252"/>
    <row r="228" ht="15.75" customHeight="1" s="252"/>
    <row r="229" ht="15.75" customHeight="1" s="252"/>
    <row r="230" ht="15.75" customHeight="1" s="252"/>
    <row r="231" ht="15.75" customHeight="1" s="252"/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G3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 outlineLevelRow="1"/>
  <cols>
    <col width="30.25" customWidth="1" style="252" min="1" max="1"/>
    <col width="12.63" customWidth="1" style="252" min="2" max="6"/>
    <col width="25.88" customWidth="1" style="252" min="8" max="8"/>
    <col width="18.5" customWidth="1" style="252" min="11" max="11"/>
  </cols>
  <sheetData>
    <row r="1" outlineLevel="1" ht="15.75" customHeight="1" s="252">
      <c r="A1" s="55" t="inlineStr">
        <is>
          <t>AUM Before</t>
        </is>
      </c>
      <c r="B1" s="152" t="n"/>
      <c r="C1" s="152" t="n"/>
      <c r="D1" s="153" t="n">
        <v>0</v>
      </c>
      <c r="E1" s="59" t="n">
        <v>135003</v>
      </c>
      <c r="F1" s="59" t="n">
        <v>184358</v>
      </c>
      <c r="G1" s="59" t="n">
        <v>229731</v>
      </c>
      <c r="H1" s="59" t="n">
        <v>279719</v>
      </c>
      <c r="I1" s="59" t="n">
        <v>330976</v>
      </c>
      <c r="J1" s="59" t="n">
        <v>330976</v>
      </c>
      <c r="K1" s="59" t="n">
        <v>475.58</v>
      </c>
      <c r="L1" s="59" t="n">
        <v>795</v>
      </c>
      <c r="M1" s="59" t="n">
        <v>795</v>
      </c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</row>
    <row r="2" outlineLevel="1" ht="15.75" customHeight="1" s="252">
      <c r="A2" s="55" t="inlineStr">
        <is>
          <t>Top Up / Withdrawals</t>
        </is>
      </c>
      <c r="B2" s="152" t="n"/>
      <c r="C2" s="152" t="n"/>
      <c r="D2" s="154">
        <f>SUMIFS(Investments!$D:$D,Investments!$C:$C,"XRP",Investments!$A:$A,D$8)</f>
        <v/>
      </c>
      <c r="E2" s="154">
        <f>SUMIFS(Investments!$D:$D,Investments!$C:$C,"XRP",Investments!$A:$A,E$8)</f>
        <v/>
      </c>
      <c r="F2" s="154">
        <f>SUMIFS(Investments!$D:$D,Investments!$C:$C,"XRP",Investments!$A:$A,F$8)</f>
        <v/>
      </c>
      <c r="G2" s="154">
        <f>SUMIFS(Investments!$D:$D,Investments!$C:$C,"XRP",Investments!$A:$A,G$8)</f>
        <v/>
      </c>
      <c r="H2" s="154">
        <f>SUMIFS(Investments!$D:$D,Investments!$C:$C,"XRP",Investments!$A:$A,H$8)</f>
        <v/>
      </c>
      <c r="I2" s="154">
        <f>SUMIFS(Investments!$D:$D,Investments!$C:$C,"XRP",Investments!$A:$A,I$8)</f>
        <v/>
      </c>
      <c r="J2" s="154">
        <f>SUMIFS(Investments!$D:$D,Investments!$C:$C,"XRP",Investments!$A:$A,J$8)</f>
        <v/>
      </c>
      <c r="K2" s="154">
        <f>SUMIFS(Investments!$D:$D,Investments!$C:$C,"XRP",Investments!$A:$A,K$8)</f>
        <v/>
      </c>
      <c r="L2" s="154">
        <f>SUMIFS(Investments!$D:$D,Investments!$C:$C,"XRP",Investments!$A:$A,L$8)</f>
        <v/>
      </c>
      <c r="M2" s="154">
        <f>SUMIFS(Investments!$D:$D,Investments!$C:$C,"XRP",Investments!$A:$A,M$8)</f>
        <v/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</row>
    <row r="3" outlineLevel="1" ht="15.75" customHeight="1" s="252">
      <c r="A3" s="55" t="inlineStr">
        <is>
          <t>AUM After</t>
        </is>
      </c>
      <c r="B3" s="152" t="n"/>
      <c r="C3" s="152" t="n"/>
      <c r="D3" s="59">
        <f>D1+D2</f>
        <v/>
      </c>
      <c r="E3" s="59">
        <f>E1+E2</f>
        <v/>
      </c>
      <c r="F3" s="59">
        <f>F1+F2</f>
        <v/>
      </c>
      <c r="G3" s="59">
        <f>G1+G2</f>
        <v/>
      </c>
      <c r="H3" s="59">
        <f>H1+H2</f>
        <v/>
      </c>
      <c r="I3" s="59">
        <f>I1+I2</f>
        <v/>
      </c>
      <c r="J3" s="59">
        <f>J1+J2</f>
        <v/>
      </c>
      <c r="K3" s="59" t="n">
        <v>792</v>
      </c>
      <c r="L3" s="59">
        <f>L1+L2</f>
        <v/>
      </c>
      <c r="M3" s="59">
        <f>M1+M2</f>
        <v/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</row>
    <row r="4" outlineLevel="1" ht="15.75" customHeight="1" s="252">
      <c r="A4" s="55" t="inlineStr">
        <is>
          <t>Gross Performance</t>
        </is>
      </c>
      <c r="B4" s="152" t="n"/>
      <c r="C4" s="152" t="n"/>
      <c r="D4" s="155" t="n">
        <v>1</v>
      </c>
      <c r="E4" s="62">
        <f>(E1*$D$4/D3)-100%</f>
        <v/>
      </c>
      <c r="F4" s="62">
        <f>(F1*$D$4/E3)-100%</f>
        <v/>
      </c>
      <c r="G4" s="62">
        <f>(G1*$D$4/F3)-100%</f>
        <v/>
      </c>
      <c r="H4" s="62">
        <f>(H1*$D$4/G3)-100%</f>
        <v/>
      </c>
      <c r="I4" s="62">
        <f>(I1*$D$4/H3)-100%</f>
        <v/>
      </c>
      <c r="J4" s="62">
        <f>(J1*$D$4/I1)-100%</f>
        <v/>
      </c>
      <c r="K4" s="62">
        <f>(K1*$D$4/J3)-100%</f>
        <v/>
      </c>
      <c r="L4" s="62">
        <f>(L1*$D$4/K3)-100%</f>
        <v/>
      </c>
      <c r="M4" s="62">
        <f>(M1*$D$4/L3)-100%</f>
        <v/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</row>
    <row r="5" outlineLevel="1" ht="15.75" customHeight="1" s="252">
      <c r="A5" s="55" t="inlineStr">
        <is>
          <t>Net Performance</t>
        </is>
      </c>
      <c r="B5" s="152" t="n"/>
      <c r="C5" s="152" t="n"/>
      <c r="D5" s="152" t="n"/>
      <c r="E5" s="62">
        <f>E4*0.8</f>
        <v/>
      </c>
      <c r="F5" s="62">
        <f>F4*0.8</f>
        <v/>
      </c>
      <c r="G5" s="62">
        <f>G4*0.8</f>
        <v/>
      </c>
      <c r="H5" s="62">
        <f>H4*0.8</f>
        <v/>
      </c>
      <c r="I5" s="62">
        <f>I4*0.8</f>
        <v/>
      </c>
      <c r="J5" s="62">
        <f>J4*0.8</f>
        <v/>
      </c>
      <c r="K5" s="62">
        <f>K4*0.8</f>
        <v/>
      </c>
      <c r="L5" s="62">
        <f>L4*0.8</f>
        <v/>
      </c>
      <c r="M5" s="62">
        <f>M4*0.8</f>
        <v/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</row>
    <row r="6" outlineLevel="1" ht="15.75" customHeight="1" s="252">
      <c r="A6" s="55" t="inlineStr">
        <is>
          <t>Yearly APY</t>
        </is>
      </c>
      <c r="B6" s="152" t="n"/>
      <c r="C6" s="152" t="n"/>
      <c r="D6" s="152" t="n"/>
      <c r="E6" s="62">
        <f>E4*12</f>
        <v/>
      </c>
      <c r="F6" s="62">
        <f>F4*12</f>
        <v/>
      </c>
      <c r="G6" s="62">
        <f>G4*12</f>
        <v/>
      </c>
      <c r="H6" s="62">
        <f>H4*12</f>
        <v/>
      </c>
      <c r="I6" s="62">
        <f>I4*12</f>
        <v/>
      </c>
      <c r="J6" s="62">
        <f>J4*12</f>
        <v/>
      </c>
      <c r="K6" s="62">
        <f>K4*12</f>
        <v/>
      </c>
      <c r="L6" s="62">
        <f>L4*12</f>
        <v/>
      </c>
      <c r="M6" s="62">
        <f>M4*12</f>
        <v/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</row>
    <row r="7" outlineLevel="1" ht="15.75" customHeight="1" s="252">
      <c r="A7" s="63" t="inlineStr">
        <is>
          <t>Comments</t>
        </is>
      </c>
      <c r="B7" s="152" t="n"/>
      <c r="C7" s="152" t="n"/>
      <c r="D7" s="156" t="inlineStr">
        <is>
          <t>Sam Johnson invest 135003</t>
        </is>
      </c>
      <c r="E7" s="156" t="inlineStr">
        <is>
          <t>Sam Johnson XRP 49000</t>
        </is>
      </c>
      <c r="F7" s="156" t="inlineStr">
        <is>
          <t>Sam Johnson XRP 45000</t>
        </is>
      </c>
      <c r="G7" s="156" t="inlineStr">
        <is>
          <t>Sam Johnson XRP 49500</t>
        </is>
      </c>
      <c r="H7" s="156" t="inlineStr">
        <is>
          <t>Sam Johnson XRP 50100</t>
        </is>
      </c>
      <c r="I7" s="156" t="n"/>
      <c r="J7" s="156" t="inlineStr">
        <is>
          <t>Sam Johnson XRP -330500.42</t>
        </is>
      </c>
      <c r="K7" s="156" t="inlineStr">
        <is>
          <t>INDIGO Fees gets 80% of the yield
Ryan Van Der Wall gets 20% of the yield (minus fees)</t>
        </is>
      </c>
      <c r="L7" s="156" t="n"/>
      <c r="M7" s="156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15.75" customHeight="1" s="252">
      <c r="A8" s="66" t="inlineStr">
        <is>
          <t>Investors</t>
        </is>
      </c>
      <c r="B8" s="55" t="inlineStr">
        <is>
          <t>Fees</t>
        </is>
      </c>
      <c r="C8" s="157" t="inlineStr">
        <is>
          <t>IB</t>
        </is>
      </c>
      <c r="D8" s="68" t="n">
        <v>45978</v>
      </c>
      <c r="E8" s="68" t="n">
        <v>45986</v>
      </c>
      <c r="F8" s="69" t="n">
        <v>45991</v>
      </c>
      <c r="G8" s="68" t="n">
        <v>45999</v>
      </c>
      <c r="H8" s="68" t="n">
        <v>46006</v>
      </c>
      <c r="I8" s="69" t="n">
        <v>46023</v>
      </c>
      <c r="J8" s="68" t="n">
        <v>46024</v>
      </c>
      <c r="K8" s="68" t="n">
        <v>46027</v>
      </c>
      <c r="L8" s="69" t="n">
        <v>46054</v>
      </c>
      <c r="M8" s="69" t="n">
        <v>46081</v>
      </c>
    </row>
    <row r="9" ht="15.75" customHeight="1" s="252">
      <c r="A9" s="71" t="inlineStr">
        <is>
          <t>Indigo Fees</t>
        </is>
      </c>
      <c r="B9" s="60" t="n">
        <v>0</v>
      </c>
      <c r="C9" s="60" t="n"/>
      <c r="D9" s="62" t="n">
        <v>0</v>
      </c>
      <c r="E9" s="62">
        <f>D9*$E$4*1+D9+(D10*$E$4*$B$10)+(D11*$E$4*$B$11)+(D12*$E$4*$B$12)</f>
        <v/>
      </c>
      <c r="F9" s="62">
        <f>E9*$F$4*1+E9+(E10*$F$4*$B$10)+(E11*$F$4*$B$11)+(E12*$F$4*$B$12)</f>
        <v/>
      </c>
      <c r="G9" s="62">
        <f>F9*$G$4*1+F9+(F10*$G$4*$B$10)+(F11*$G$4*$B$11)+(F12*$G$4*$B$12)</f>
        <v/>
      </c>
      <c r="H9" s="62">
        <f>G9*$H$4*1+G9+(G10*$H$4*$B$10)+(G11*$H$4*$B$11)+(G12*$H$4*$B$12)</f>
        <v/>
      </c>
      <c r="I9" s="62">
        <f>H9*$I$4*1+H9+(H10*$I$4*$B$10)+(H11*$I$4*$B$11)+(H12*$I$4*$B$12)</f>
        <v/>
      </c>
      <c r="J9" s="62">
        <f>I9*$J$4*1+I9+(I10*$J$4*$B$10)+(I11*$J$4*$B$11)+(I12*$J$4*$B$12)+(I10*$J$4*(1-$B10-$C10)+I10)-330500.42</f>
        <v/>
      </c>
      <c r="K9" s="62">
        <f>J9*K$4*1+J9+(J10*K$4*$B$10)+(J11*K$4*$B$11)+(J12*K$4*$B$12)+(792-475.58)*80%</f>
        <v/>
      </c>
      <c r="L9" s="62">
        <f>K9*L$4*1+K9+(K10*L$4*$B$10)+(K11*L$4*$B$11)+(K12*L$4*$B$12)+SUMIFS(Investments!$D:$D,Investments!$B:$B,$A9,Investments!$C:$C,"XRP",Investments!$A:$A,L$8)</f>
        <v/>
      </c>
      <c r="M9" s="62">
        <f>L9*M$4*1+L9+(L10*M$4*$B$10)+(L11*M$4*$B$11)+(L12*M$4*$B$12)+SUMIFS(Investments!$D:$D,Investments!$B:$B,$A9,Investments!$C:$C,"XRP",Investments!$A:$A,M$8)</f>
        <v/>
      </c>
    </row>
    <row r="10" ht="15.75" customHeight="1" s="252">
      <c r="A10" s="71" t="inlineStr">
        <is>
          <t>Sam Johnson</t>
        </is>
      </c>
      <c r="B10" s="60" t="n">
        <v>0.16</v>
      </c>
      <c r="C10" s="60" t="n">
        <v>0.04</v>
      </c>
      <c r="D10" s="62" t="n">
        <v>135003</v>
      </c>
      <c r="E10" s="62">
        <f>D10*$E$4*(1-$B10-$C10)+D10+49000</f>
        <v/>
      </c>
      <c r="F10" s="62">
        <f>E10*$F$4*(1-$B10-$C10)+E10+45000</f>
        <v/>
      </c>
      <c r="G10" s="62">
        <f>F10*$G$4*(1-$B10-$C10)+F10+49500</f>
        <v/>
      </c>
      <c r="H10" s="62">
        <f>G10*$H$4*(1-$B10-$C10)+G10+50100</f>
        <v/>
      </c>
      <c r="I10" s="62">
        <f>H10*$I$4*(1-$B10-$C10)+H10</f>
        <v/>
      </c>
      <c r="J10" s="62">
        <f>I10*$J$4*(1-$B10-$C10)+I10-(I10*$J$4*(1-$B10-$C10)+I10)</f>
        <v/>
      </c>
      <c r="K10" s="62">
        <f>J10*K$4*(1-$B10-$C10)+J10</f>
        <v/>
      </c>
      <c r="L10" s="62">
        <f>K10*L$4*(1-$B10-$C10)+K10+SUMIFS(Investments!$D:$D,Investments!$B:$B,$A10,Investments!$C:$C,"XRP",Investments!$A:$A,L$8)</f>
        <v/>
      </c>
      <c r="M10" s="62">
        <f>L10*M$4*(1-$B10-$C10)+L10+SUMIFS(Investments!$D:$D,Investments!$B:$B,$A10,Investments!$C:$C,"XRP",Investments!$A:$A,M$8)</f>
        <v/>
      </c>
    </row>
    <row r="11" ht="15.75" customHeight="1" s="252">
      <c r="A11" s="71" t="inlineStr">
        <is>
          <t>Ryan Van Der Wall</t>
        </is>
      </c>
      <c r="B11" s="60" t="n">
        <v>0.2</v>
      </c>
      <c r="C11" s="60" t="n"/>
      <c r="D11" s="62" t="n">
        <v>0</v>
      </c>
      <c r="E11" s="62">
        <f>(D11*$E$4*(1-$B11)+D11)+(D10*$E$4*$C$10)</f>
        <v/>
      </c>
      <c r="F11" s="62">
        <f>(E11*$F$4*(1-$B11)+E11)+(E10*$F$4*$C$10)</f>
        <v/>
      </c>
      <c r="G11" s="62">
        <f>(F11*$G$4*(1-$B11)+F11)+(F10*$G$4*$C$10)</f>
        <v/>
      </c>
      <c r="H11" s="62">
        <f>(G11*$H$4*(1-$B11)+G11)+(G10*$H$4*$C$10)</f>
        <v/>
      </c>
      <c r="I11" s="62">
        <f>(H11*$I$4*(1-$B11)+H11)+(H10*$I$4*$C$10)</f>
        <v/>
      </c>
      <c r="J11" s="62">
        <f>(I11*$J$4*(1-$B11)+I11)+(I10*$J$4*$C$10)</f>
        <v/>
      </c>
      <c r="K11" s="62">
        <f>(J11*K$4*(1-$B11)+J11)+(J10*K$4*$C$10)+((792-475.58)*20%)</f>
        <v/>
      </c>
      <c r="L11" s="62">
        <f>(K11*L$4*(1-$B11)+K11)+(K10*L$4*$C$10)+SUMIFS(Investments!$D:$D,Investments!$B:$B,$A11,Investments!$C:$C,"XRP",Investments!$A:$A,L$8)</f>
        <v/>
      </c>
      <c r="M11" s="62">
        <f>(L11*M$4*(1-$B11)+L11)+(L10*M$4*$C$10)+SUMIFS(Investments!$D:$D,Investments!$B:$B,$A11,Investments!$C:$C,"XRP",Investments!$A:$A,M$8)</f>
        <v/>
      </c>
    </row>
    <row r="12" ht="15.75" customHeight="1" s="252">
      <c r="A12" s="158" t="inlineStr">
        <is>
          <t>Next IB</t>
        </is>
      </c>
      <c r="B12" s="60" t="n"/>
      <c r="C12" s="60" t="n"/>
      <c r="D12" s="62" t="n">
        <v>0</v>
      </c>
      <c r="E12" s="62">
        <f>(D12*$E$4*(1-$B12)+D12)+(D11*$E$4*$C$11)</f>
        <v/>
      </c>
      <c r="F12" s="62">
        <f>(E12*$F$4*(1-$B12)+E12)+(E11*$F$4*$C$11)</f>
        <v/>
      </c>
      <c r="G12" s="62">
        <f>(F12*$G$4*(1-$B12)+F12)+(F11*$G$4*$C$11)</f>
        <v/>
      </c>
      <c r="H12" s="62">
        <f>(G12*$H$4*(1-$B12)+G12)+(G11*$H$4*$C$11)</f>
        <v/>
      </c>
      <c r="I12" s="62">
        <f>(H12*$I$4*(1-$B12)+H12)+(H11*$I$4*$C$11)</f>
        <v/>
      </c>
      <c r="J12" s="62">
        <f>(I12*$J$4*(1-$B12)+I12)+(I11*$J$4*$C$11)</f>
        <v/>
      </c>
      <c r="K12" s="62">
        <f>(J12*K$4*(1-$B12)+J12)+(J11*K$4*$C$11)</f>
        <v/>
      </c>
      <c r="L12" s="62">
        <f>(K12*L$4*(1-$B12)+K12)+(K11*L$4*$C$11)+SUMIFS(Investments!$D:$D,Investments!$B:$B,$A12,Investments!$C:$C,"XRP",Investments!$A:$A,L$8)</f>
        <v/>
      </c>
      <c r="M12" s="62">
        <f>(L12*M$4*(1-$B12)+L12)+(L11*M$4*$C$11)+SUMIFS(Investments!$D:$D,Investments!$B:$B,$A12,Investments!$C:$C,"XRP",Investments!$A:$A,M$8)</f>
        <v/>
      </c>
    </row>
    <row r="13" ht="15.75" customHeight="1" s="252">
      <c r="A13" s="71" t="inlineStr">
        <is>
          <t>x</t>
        </is>
      </c>
      <c r="B13" s="60" t="n"/>
      <c r="C13" s="60" t="n"/>
      <c r="D13" s="62" t="n">
        <v>0</v>
      </c>
      <c r="E13" s="62">
        <f>D13*$E$4*(1-$B13)+D13</f>
        <v/>
      </c>
      <c r="F13" s="62">
        <f>E13*$F$4*(1-$B13)+E13</f>
        <v/>
      </c>
      <c r="G13" s="62">
        <f>F13*$G$4*(1-$B13)+F13</f>
        <v/>
      </c>
      <c r="H13" s="62">
        <f>G13*$H$4*(1-$B13)+G13</f>
        <v/>
      </c>
      <c r="I13" s="62">
        <f>H13*$I$4*(1-$B13)+H13</f>
        <v/>
      </c>
      <c r="J13" s="62">
        <f>I13*$J$4*(1-$B13)+I13</f>
        <v/>
      </c>
      <c r="K13" s="62">
        <f>J13*K$4*(1-$B13)+J13</f>
        <v/>
      </c>
      <c r="L13" s="62">
        <f>K13*L$4*(1-$B13)+K13+SUMIFS(Investments!$D:$D,Investments!$B:$B,$A13,Investments!$C:$C,"XRP",Investments!$A:$A,L$8)</f>
        <v/>
      </c>
      <c r="M13" s="62">
        <f>L13*M$4*(1-$B13)+L13+SUMIFS(Investments!$D:$D,Investments!$B:$B,$A13,Investments!$C:$C,"XRP",Investments!$A:$A,M$8)</f>
        <v/>
      </c>
    </row>
    <row r="14" ht="15.75" customHeight="1" s="252">
      <c r="A14" s="71" t="inlineStr">
        <is>
          <t>x</t>
        </is>
      </c>
      <c r="B14" s="60" t="n"/>
      <c r="C14" s="60" t="n"/>
      <c r="D14" s="62" t="n">
        <v>0</v>
      </c>
      <c r="E14" s="62">
        <f>D14*$E$4*(1-$B14)+D14</f>
        <v/>
      </c>
      <c r="F14" s="62">
        <f>E14*$F$4*(1-$B14)+E14</f>
        <v/>
      </c>
      <c r="G14" s="62">
        <f>F14*$G$4*(1-$B14)+F14</f>
        <v/>
      </c>
      <c r="H14" s="62">
        <f>G14*$H$4*(1-$B14)+G14</f>
        <v/>
      </c>
      <c r="I14" s="62">
        <f>H14*$I$4*(1-$B14)+H14</f>
        <v/>
      </c>
      <c r="J14" s="62">
        <f>I14*$J$4*(1-$B14)+I14</f>
        <v/>
      </c>
      <c r="K14" s="62">
        <f>J14*K$4*(1-$B14)+J14</f>
        <v/>
      </c>
      <c r="L14" s="62">
        <f>K14*L$4*(1-$B14)+K14+SUMIFS(Investments!$D:$D,Investments!$B:$B,$A14,Investments!$C:$C,"XRP",Investments!$A:$A,L$8)</f>
        <v/>
      </c>
      <c r="M14" s="62">
        <f>L14*M$4*(1-$B14)+L14+SUMIFS(Investments!$D:$D,Investments!$B:$B,$A14,Investments!$C:$C,"XRP",Investments!$A:$A,M$8)</f>
        <v/>
      </c>
    </row>
    <row r="15" ht="15.75" customHeight="1" s="252">
      <c r="A15" s="71" t="inlineStr">
        <is>
          <t>x</t>
        </is>
      </c>
      <c r="B15" s="60" t="n"/>
      <c r="C15" s="60" t="n"/>
      <c r="D15" s="62" t="n">
        <v>0</v>
      </c>
      <c r="E15" s="62">
        <f>D15*$E$4*(1-$B15)+D15</f>
        <v/>
      </c>
      <c r="F15" s="62">
        <f>E15*$F$4*(1-$B15)+E15</f>
        <v/>
      </c>
      <c r="G15" s="62">
        <f>F15*$G$4*(1-$B15)+F15</f>
        <v/>
      </c>
      <c r="H15" s="62">
        <f>G15*$H$4*(1-$B15)+G15</f>
        <v/>
      </c>
      <c r="I15" s="62">
        <f>H15*$I$4*(1-$B15)+H15</f>
        <v/>
      </c>
      <c r="J15" s="62">
        <f>I15*$J$4*(1-$B15)+I15</f>
        <v/>
      </c>
      <c r="K15" s="62">
        <f>J15*K$4*(1-$B15)+J15</f>
        <v/>
      </c>
      <c r="L15" s="62">
        <f>K15*L$4*(1-$B15)+K15+SUMIFS(Investments!$D:$D,Investments!$B:$B,$A15,Investments!$C:$C,"XRP",Investments!$A:$A,L$8)</f>
        <v/>
      </c>
      <c r="M15" s="62">
        <f>L15*M$4*(1-$B15)+L15+SUMIFS(Investments!$D:$D,Investments!$B:$B,$A15,Investments!$C:$C,"XRP",Investments!$A:$A,M$8)</f>
        <v/>
      </c>
    </row>
    <row r="16" ht="15.75" customHeight="1" s="252">
      <c r="A16" s="71" t="inlineStr">
        <is>
          <t>x</t>
        </is>
      </c>
      <c r="B16" s="60" t="n"/>
      <c r="C16" s="60" t="n"/>
      <c r="D16" s="62" t="n">
        <v>0</v>
      </c>
      <c r="E16" s="62">
        <f>D16*$E$4*(1-$B16)+D16</f>
        <v/>
      </c>
      <c r="F16" s="62">
        <f>E16*$F$4*(1-$B16)+E16</f>
        <v/>
      </c>
      <c r="G16" s="62">
        <f>F16*$G$4*(1-$B16)+F16</f>
        <v/>
      </c>
      <c r="H16" s="62">
        <f>G16*$H$4*(1-$B16)+G16</f>
        <v/>
      </c>
      <c r="I16" s="62">
        <f>H16*$I$4*(1-$B16)+H16</f>
        <v/>
      </c>
      <c r="J16" s="62">
        <f>I16*$J$4*(1-$B16)+I16</f>
        <v/>
      </c>
      <c r="K16" s="62">
        <f>J16*K$4*(1-$B16)+J16</f>
        <v/>
      </c>
      <c r="L16" s="62">
        <f>K16*L$4*(1-$B16)+K16+SUMIFS(Investments!$D:$D,Investments!$B:$B,$A16,Investments!$C:$C,"XRP",Investments!$A:$A,L$8)</f>
        <v/>
      </c>
      <c r="M16" s="62">
        <f>L16*M$4*(1-$B16)+L16+SUMIFS(Investments!$D:$D,Investments!$B:$B,$A16,Investments!$C:$C,"XRP",Investments!$A:$A,M$8)</f>
        <v/>
      </c>
    </row>
    <row r="17" ht="15.75" customHeight="1" s="252">
      <c r="A17" s="71" t="inlineStr">
        <is>
          <t>x</t>
        </is>
      </c>
      <c r="B17" s="60" t="n"/>
      <c r="C17" s="60" t="n"/>
      <c r="D17" s="62" t="n">
        <v>0</v>
      </c>
      <c r="E17" s="62">
        <f>D17*$E$4*(1-$B17)+D17</f>
        <v/>
      </c>
      <c r="F17" s="62">
        <f>E17*$F$4*(1-$B17)+E17</f>
        <v/>
      </c>
      <c r="G17" s="62">
        <f>F17*$G$4*(1-$B17)+F17</f>
        <v/>
      </c>
      <c r="H17" s="62">
        <f>G17*$H$4*(1-$B17)+G17</f>
        <v/>
      </c>
      <c r="I17" s="62">
        <f>H17*$I$4*(1-$B17)+H17</f>
        <v/>
      </c>
      <c r="J17" s="62">
        <f>I17*$J$4*(1-$B17)+I17</f>
        <v/>
      </c>
      <c r="K17" s="62">
        <f>J17*K$4*(1-$B17)+J17</f>
        <v/>
      </c>
      <c r="L17" s="62">
        <f>K17*L$4*(1-$B17)+K17+SUMIFS(Investments!$D:$D,Investments!$B:$B,$A17,Investments!$C:$C,"XRP",Investments!$A:$A,L$8)</f>
        <v/>
      </c>
      <c r="M17" s="62">
        <f>L17*M$4*(1-$B17)+L17+SUMIFS(Investments!$D:$D,Investments!$B:$B,$A17,Investments!$C:$C,"XRP",Investments!$A:$A,M$8)</f>
        <v/>
      </c>
    </row>
    <row r="18" ht="15.75" customHeight="1" s="252">
      <c r="A18" s="71" t="inlineStr">
        <is>
          <t>x</t>
        </is>
      </c>
      <c r="B18" s="60" t="n"/>
      <c r="C18" s="60" t="n"/>
      <c r="D18" s="62" t="n">
        <v>0</v>
      </c>
      <c r="E18" s="62">
        <f>D18*$E$4*(1-$B18)+D18</f>
        <v/>
      </c>
      <c r="F18" s="62">
        <f>E18*$F$4*(1-$B18)+E18</f>
        <v/>
      </c>
      <c r="G18" s="62">
        <f>F18*$G$4*(1-$B18)+F18</f>
        <v/>
      </c>
      <c r="H18" s="62">
        <f>G18*$H$4*(1-$B18)+G18</f>
        <v/>
      </c>
      <c r="I18" s="62">
        <f>H18*$I$4*(1-$B18)+H18</f>
        <v/>
      </c>
      <c r="J18" s="62">
        <f>I18*$J$4*(1-$B18)+I18</f>
        <v/>
      </c>
      <c r="K18" s="62">
        <f>J18*K$4*(1-$B18)+J18</f>
        <v/>
      </c>
      <c r="L18" s="62">
        <f>K18*L$4*(1-$B18)+K18+SUMIFS(Investments!$D:$D,Investments!$B:$B,$A18,Investments!$C:$C,"XRP",Investments!$A:$A,L$8)</f>
        <v/>
      </c>
      <c r="M18" s="62">
        <f>L18*M$4*(1-$B18)+L18+SUMIFS(Investments!$D:$D,Investments!$B:$B,$A18,Investments!$C:$C,"XRP",Investments!$A:$A,M$8)</f>
        <v/>
      </c>
    </row>
    <row r="19" ht="15.75" customHeight="1" s="252">
      <c r="A19" s="71" t="inlineStr">
        <is>
          <t>x</t>
        </is>
      </c>
      <c r="B19" s="60" t="n"/>
      <c r="C19" s="60" t="n"/>
      <c r="D19" s="62" t="n">
        <v>0</v>
      </c>
      <c r="E19" s="62">
        <f>D19*$E$4*(1-$B19)+D19</f>
        <v/>
      </c>
      <c r="F19" s="62">
        <f>E19*$F$4*(1-$B19)+E19</f>
        <v/>
      </c>
      <c r="G19" s="62">
        <f>F19*$G$4*(1-$B19)+F19</f>
        <v/>
      </c>
      <c r="H19" s="62">
        <f>G19*$H$4*(1-$B19)+G19</f>
        <v/>
      </c>
      <c r="I19" s="62">
        <f>H19*$I$4*(1-$B19)+H19</f>
        <v/>
      </c>
      <c r="J19" s="62">
        <f>I19*$J$4*(1-$B19)+I19</f>
        <v/>
      </c>
      <c r="K19" s="62">
        <f>J19*K$4*(1-$B19)+J19</f>
        <v/>
      </c>
      <c r="L19" s="62">
        <f>K19*L$4*(1-$B19)+K19+SUMIFS(Investments!$D:$D,Investments!$B:$B,$A19,Investments!$C:$C,"XRP",Investments!$A:$A,L$8)</f>
        <v/>
      </c>
      <c r="M19" s="62">
        <f>L19*M$4*(1-$B19)+L19+SUMIFS(Investments!$D:$D,Investments!$B:$B,$A19,Investments!$C:$C,"XRP",Investments!$A:$A,M$8)</f>
        <v/>
      </c>
    </row>
    <row r="20" ht="15.75" customHeight="1" s="252">
      <c r="A20" s="71" t="inlineStr">
        <is>
          <t>x</t>
        </is>
      </c>
      <c r="B20" s="60" t="n"/>
      <c r="C20" s="60" t="n"/>
      <c r="D20" s="62" t="n">
        <v>0</v>
      </c>
      <c r="E20" s="62">
        <f>D20*$E$4*(1-$B20)+D20</f>
        <v/>
      </c>
      <c r="F20" s="62">
        <f>E20*$F$4*(1-$B20)+E20</f>
        <v/>
      </c>
      <c r="G20" s="62">
        <f>F20*$G$4*(1-$B20)+F20</f>
        <v/>
      </c>
      <c r="H20" s="62">
        <f>G20*$H$4*(1-$B20)+G20</f>
        <v/>
      </c>
      <c r="I20" s="62">
        <f>H20*$I$4*(1-$B20)+H20</f>
        <v/>
      </c>
      <c r="J20" s="62">
        <f>I20*$J$4*(1-$B20)+I20</f>
        <v/>
      </c>
      <c r="K20" s="62">
        <f>J20*K$4*(1-$B20)+J20</f>
        <v/>
      </c>
      <c r="L20" s="62">
        <f>K20*L$4*(1-$B20)+K20+SUMIFS(Investments!$D:$D,Investments!$B:$B,$A20,Investments!$C:$C,"XRP",Investments!$A:$A,L$8)</f>
        <v/>
      </c>
      <c r="M20" s="62">
        <f>L20*M$4*(1-$B20)+L20+SUMIFS(Investments!$D:$D,Investments!$B:$B,$A20,Investments!$C:$C,"XRP",Investments!$A:$A,M$8)</f>
        <v/>
      </c>
    </row>
    <row r="21" ht="15.75" customHeight="1" s="252">
      <c r="A21" s="71" t="inlineStr">
        <is>
          <t>x</t>
        </is>
      </c>
      <c r="B21" s="60" t="n"/>
      <c r="C21" s="60" t="n"/>
      <c r="D21" s="62" t="n">
        <v>0</v>
      </c>
      <c r="E21" s="62">
        <f>D21*$E$4*(1-$B21)+D21</f>
        <v/>
      </c>
      <c r="F21" s="62">
        <f>E21*$F$4*(1-$B21)+E21</f>
        <v/>
      </c>
      <c r="G21" s="62">
        <f>F21*$G$4*(1-$B21)+F21</f>
        <v/>
      </c>
      <c r="H21" s="62">
        <f>G21*$H$4*(1-$B21)+G21</f>
        <v/>
      </c>
      <c r="I21" s="62">
        <f>H21*$I$4*(1-$B21)+H21</f>
        <v/>
      </c>
      <c r="J21" s="62">
        <f>I21*$J$4*(1-$B21)+I21</f>
        <v/>
      </c>
      <c r="K21" s="62">
        <f>J21*K$4*(1-$B21)+J21</f>
        <v/>
      </c>
      <c r="L21" s="62">
        <f>K21*L$4*(1-$B21)+K21+SUMIFS(Investments!$D:$D,Investments!$B:$B,$A21,Investments!$C:$C,"XRP",Investments!$A:$A,L$8)</f>
        <v/>
      </c>
      <c r="M21" s="62">
        <f>L21*M$4*(1-$B21)+L21+SUMIFS(Investments!$D:$D,Investments!$B:$B,$A21,Investments!$C:$C,"XRP",Investments!$A:$A,M$8)</f>
        <v/>
      </c>
    </row>
    <row r="22" ht="15.75" customHeight="1" s="252">
      <c r="A22" s="71" t="inlineStr">
        <is>
          <t>x</t>
        </is>
      </c>
      <c r="B22" s="60" t="n"/>
      <c r="C22" s="57" t="n"/>
      <c r="D22" s="62" t="n">
        <v>0</v>
      </c>
      <c r="E22" s="62">
        <f>D22*$E$4*(1-$B22)+D22</f>
        <v/>
      </c>
      <c r="F22" s="62">
        <f>E22*$F$4*(1-$B22)+E22</f>
        <v/>
      </c>
      <c r="G22" s="62">
        <f>F22*$G$4*(1-$B22)+F22</f>
        <v/>
      </c>
      <c r="H22" s="62">
        <f>G22*$H$4*(1-$B22)+G22</f>
        <v/>
      </c>
      <c r="I22" s="62">
        <f>H22*$I$4*(1-$B22)+H22</f>
        <v/>
      </c>
      <c r="J22" s="62">
        <f>I22*$J$4*(1-$B22)+I22</f>
        <v/>
      </c>
      <c r="K22" s="62">
        <f>J22*K$4*(1-$B22)+J22</f>
        <v/>
      </c>
      <c r="L22" s="62">
        <f>K22*L$4*(1-$B22)+K22+SUMIFS(Investments!$D:$D,Investments!$B:$B,$A22,Investments!$C:$C,"XRP",Investments!$A:$A,L$8)</f>
        <v/>
      </c>
      <c r="M22" s="62">
        <f>L22*M$4*(1-$B22)+L22+SUMIFS(Investments!$D:$D,Investments!$B:$B,$A22,Investments!$C:$C,"XRP",Investments!$A:$A,M$8)</f>
        <v/>
      </c>
    </row>
    <row r="23" ht="15.75" customHeight="1" s="252">
      <c r="A23" s="159" t="inlineStr">
        <is>
          <t>Total AUM</t>
        </is>
      </c>
      <c r="B23" s="73" t="n"/>
      <c r="C23" s="73" t="n"/>
      <c r="D23" s="73">
        <f>SUM(D9:D22)</f>
        <v/>
      </c>
      <c r="E23" s="73">
        <f>SUM(E9:E22)</f>
        <v/>
      </c>
      <c r="F23" s="73">
        <f>SUM(F9:F22)</f>
        <v/>
      </c>
      <c r="G23" s="73">
        <f>SUM(G9:G22)</f>
        <v/>
      </c>
      <c r="H23" s="73">
        <f>SUM(H9:H22)</f>
        <v/>
      </c>
      <c r="I23" s="73">
        <f>SUM(I9:I22)</f>
        <v/>
      </c>
      <c r="J23" s="73">
        <f>SUM(J9:J22)</f>
        <v/>
      </c>
      <c r="K23" s="73">
        <f>SUM(K9:K22)</f>
        <v/>
      </c>
      <c r="L23" s="73">
        <f>SUM(L9:L22)</f>
        <v/>
      </c>
      <c r="M23" s="73">
        <f>SUM(M9:M22)</f>
        <v/>
      </c>
    </row>
    <row r="24" ht="15.75" customHeight="1" s="252"/>
    <row r="25" ht="15.75" customHeight="1" s="252">
      <c r="A25" s="11" t="inlineStr">
        <is>
          <t>Indigo fees</t>
        </is>
      </c>
      <c r="C25" s="18" t="n"/>
      <c r="D25" s="18">
        <f>IFERROR(D9/D$23,"")</f>
        <v/>
      </c>
      <c r="E25" s="18">
        <f>IFERROR(E9/E$23,"")</f>
        <v/>
      </c>
      <c r="F25" s="18">
        <f>IFERROR(F9/F$23,"")</f>
        <v/>
      </c>
      <c r="G25" s="18">
        <f>IFERROR(G9/G$23,"")</f>
        <v/>
      </c>
      <c r="H25" s="18">
        <f>IFERROR(H9/H$23,"")</f>
        <v/>
      </c>
      <c r="I25" s="18">
        <f>IFERROR(I9/I$23,"")</f>
        <v/>
      </c>
      <c r="J25" s="18">
        <f>IFERROR(J9/J$23,"")</f>
        <v/>
      </c>
      <c r="K25" s="18">
        <f>IFERROR(K9/K$23,"")</f>
        <v/>
      </c>
      <c r="L25" s="18">
        <f>IFERROR(L9/L$23,"")</f>
        <v/>
      </c>
      <c r="M25" s="18">
        <f>IFERROR(M9/M$23,"")</f>
        <v/>
      </c>
    </row>
    <row r="26" ht="15.75" customHeight="1" s="252">
      <c r="A26" s="11" t="inlineStr">
        <is>
          <t xml:space="preserve">Sam Johnson </t>
        </is>
      </c>
      <c r="C26" s="18" t="n"/>
      <c r="D26" s="18">
        <f>IFERROR(D10/D$23,"")</f>
        <v/>
      </c>
      <c r="E26" s="18">
        <f>IFERROR(E10/E$23,"")</f>
        <v/>
      </c>
      <c r="F26" s="18">
        <f>IFERROR(F10/F$23,"")</f>
        <v/>
      </c>
      <c r="G26" s="18">
        <f>IFERROR(G10/G$23,"")</f>
        <v/>
      </c>
      <c r="H26" s="18">
        <f>IFERROR(H10/H$23,"")</f>
        <v/>
      </c>
      <c r="I26" s="18">
        <f>IFERROR(I10/I$23,"")</f>
        <v/>
      </c>
      <c r="J26" s="18">
        <f>IFERROR(J10/J$23,"")</f>
        <v/>
      </c>
      <c r="K26" s="18">
        <f>IFERROR(K10/K$23,"")</f>
        <v/>
      </c>
      <c r="L26" s="18">
        <f>IFERROR(L10/L$23,"")</f>
        <v/>
      </c>
      <c r="M26" s="18">
        <f>IFERROR(M10/M$23,"")</f>
        <v/>
      </c>
    </row>
    <row r="27" ht="15.75" customHeight="1" s="252">
      <c r="A27" s="11" t="inlineStr">
        <is>
          <t>Ryan Van Der Wall</t>
        </is>
      </c>
      <c r="C27" s="18" t="n"/>
      <c r="D27" s="18">
        <f>IFERROR(D11/D$23,"")</f>
        <v/>
      </c>
      <c r="E27" s="18">
        <f>IFERROR(E11/E$23,"")</f>
        <v/>
      </c>
      <c r="F27" s="18">
        <f>IFERROR(F11/F$23,"")</f>
        <v/>
      </c>
      <c r="G27" s="18">
        <f>IFERROR(G11/G$23,"")</f>
        <v/>
      </c>
      <c r="H27" s="18">
        <f>IFERROR(H11/H$23,"")</f>
        <v/>
      </c>
      <c r="I27" s="18">
        <f>IFERROR(I11/I$23,"")</f>
        <v/>
      </c>
      <c r="J27" s="18">
        <f>IFERROR(J11/J$23,"")</f>
        <v/>
      </c>
      <c r="K27" s="18">
        <f>IFERROR(K11/K$23,"")</f>
        <v/>
      </c>
      <c r="L27" s="18">
        <f>IFERROR(L11/L$23,"")</f>
        <v/>
      </c>
      <c r="M27" s="18">
        <f>IFERROR(M11/M$23,"")</f>
        <v/>
      </c>
    </row>
    <row r="28" ht="15.75" customHeight="1" s="252">
      <c r="A28" s="11" t="inlineStr">
        <is>
          <t>x</t>
        </is>
      </c>
      <c r="C28" s="18" t="n"/>
      <c r="D28" s="18">
        <f>IFERROR(D12/D$23,"")</f>
        <v/>
      </c>
      <c r="E28" s="18">
        <f>IFERROR(E12/E$23,"")</f>
        <v/>
      </c>
      <c r="F28" s="18">
        <f>IFERROR(F12/F$23,"")</f>
        <v/>
      </c>
      <c r="G28" s="18">
        <f>IFERROR(G12/G$23,"")</f>
        <v/>
      </c>
      <c r="H28" s="18">
        <f>IFERROR(H12/H$23,"")</f>
        <v/>
      </c>
      <c r="I28" s="18">
        <f>IFERROR(I12/I$23,"")</f>
        <v/>
      </c>
      <c r="J28" s="18">
        <f>IFERROR(J12/J$23,"")</f>
        <v/>
      </c>
      <c r="K28" s="18">
        <f>IFERROR(K12/K$23,"")</f>
        <v/>
      </c>
      <c r="L28" s="18">
        <f>IFERROR(L12/L$23,"")</f>
        <v/>
      </c>
      <c r="M28" s="18">
        <f>IFERROR(M12/M$23,"")</f>
        <v/>
      </c>
    </row>
    <row r="29" ht="15.75" customHeight="1" s="252">
      <c r="A29" s="11" t="inlineStr">
        <is>
          <t>x</t>
        </is>
      </c>
      <c r="C29" s="18" t="n"/>
      <c r="D29" s="18">
        <f>IFERROR(D13/D$23,"")</f>
        <v/>
      </c>
      <c r="E29" s="18">
        <f>IFERROR(E13/E$23,"")</f>
        <v/>
      </c>
      <c r="F29" s="18">
        <f>IFERROR(F13/F$23,"")</f>
        <v/>
      </c>
      <c r="G29" s="18">
        <f>IFERROR(G13/G$23,"")</f>
        <v/>
      </c>
      <c r="H29" s="18">
        <f>IFERROR(H13/H$23,"")</f>
        <v/>
      </c>
      <c r="I29" s="18">
        <f>IFERROR(I13/I$23,"")</f>
        <v/>
      </c>
      <c r="J29" s="18">
        <f>IFERROR(J13/J$23,"")</f>
        <v/>
      </c>
      <c r="K29" s="18">
        <f>IFERROR(K13/K$23,"")</f>
        <v/>
      </c>
      <c r="L29" s="18">
        <f>IFERROR(L13/L$23,"")</f>
        <v/>
      </c>
      <c r="M29" s="18">
        <f>IFERROR(M13/M$23,"")</f>
        <v/>
      </c>
    </row>
    <row r="30" ht="15.75" customHeight="1" s="252">
      <c r="A30" s="11" t="inlineStr">
        <is>
          <t>x</t>
        </is>
      </c>
      <c r="C30" s="18" t="n"/>
      <c r="D30" s="18">
        <f>IFERROR(D14/D$23,"")</f>
        <v/>
      </c>
      <c r="E30" s="18">
        <f>IFERROR(E14/E$23,"")</f>
        <v/>
      </c>
      <c r="F30" s="18">
        <f>IFERROR(F14/F$23,"")</f>
        <v/>
      </c>
      <c r="G30" s="18">
        <f>IFERROR(G14/G$23,"")</f>
        <v/>
      </c>
      <c r="H30" s="18">
        <f>IFERROR(H14/H$23,"")</f>
        <v/>
      </c>
      <c r="I30" s="18">
        <f>IFERROR(I14/I$23,"")</f>
        <v/>
      </c>
      <c r="J30" s="18">
        <f>IFERROR(J14/J$23,"")</f>
        <v/>
      </c>
      <c r="K30" s="18">
        <f>IFERROR(K14/K$23,"")</f>
        <v/>
      </c>
      <c r="L30" s="18">
        <f>IFERROR(L14/L$23,"")</f>
        <v/>
      </c>
      <c r="M30" s="18">
        <f>IFERROR(M14/M$23,"")</f>
        <v/>
      </c>
    </row>
    <row r="31" ht="15.75" customHeight="1" s="252">
      <c r="A31" s="11" t="inlineStr">
        <is>
          <t>x</t>
        </is>
      </c>
      <c r="C31" s="18" t="n"/>
      <c r="D31" s="18">
        <f>IFERROR(D15/D$23,"")</f>
        <v/>
      </c>
      <c r="E31" s="18">
        <f>IFERROR(E15/E$23,"")</f>
        <v/>
      </c>
      <c r="F31" s="18">
        <f>IFERROR(F15/F$23,"")</f>
        <v/>
      </c>
      <c r="G31" s="18">
        <f>IFERROR(G15/G$23,"")</f>
        <v/>
      </c>
      <c r="H31" s="18">
        <f>IFERROR(H15/H$23,"")</f>
        <v/>
      </c>
      <c r="I31" s="18">
        <f>IFERROR(I15/I$23,"")</f>
        <v/>
      </c>
      <c r="J31" s="18">
        <f>IFERROR(J15/J$23,"")</f>
        <v/>
      </c>
      <c r="K31" s="18">
        <f>IFERROR(K15/K$23,"")</f>
        <v/>
      </c>
      <c r="L31" s="18">
        <f>IFERROR(L15/L$23,"")</f>
        <v/>
      </c>
      <c r="M31" s="18">
        <f>IFERROR(M15/M$23,"")</f>
        <v/>
      </c>
    </row>
    <row r="32" ht="15.75" customHeight="1" s="252">
      <c r="A32" s="11" t="inlineStr">
        <is>
          <t>x</t>
        </is>
      </c>
      <c r="B32" s="7" t="n"/>
      <c r="C32" s="18" t="n"/>
      <c r="D32" s="18">
        <f>IFERROR(D16/D$23,"")</f>
        <v/>
      </c>
      <c r="E32" s="18">
        <f>IFERROR(E16/E$23,"")</f>
        <v/>
      </c>
      <c r="F32" s="18">
        <f>IFERROR(F16/F$23,"")</f>
        <v/>
      </c>
      <c r="G32" s="18">
        <f>IFERROR(G16/G$23,"")</f>
        <v/>
      </c>
      <c r="H32" s="18">
        <f>IFERROR(H16/H$23,"")</f>
        <v/>
      </c>
      <c r="I32" s="18">
        <f>IFERROR(I16/I$23,"")</f>
        <v/>
      </c>
      <c r="J32" s="18">
        <f>IFERROR(J16/J$23,"")</f>
        <v/>
      </c>
      <c r="K32" s="18">
        <f>IFERROR(K16/K$23,"")</f>
        <v/>
      </c>
      <c r="L32" s="18">
        <f>IFERROR(L16/L$23,"")</f>
        <v/>
      </c>
      <c r="M32" s="18">
        <f>IFERROR(M16/M$23,"")</f>
        <v/>
      </c>
    </row>
    <row r="33" ht="15.75" customHeight="1" s="252">
      <c r="A33" s="11" t="inlineStr">
        <is>
          <t>x</t>
        </is>
      </c>
      <c r="B33" s="7" t="n"/>
      <c r="C33" s="18" t="n"/>
      <c r="D33" s="18">
        <f>IFERROR(D17/D$23,"")</f>
        <v/>
      </c>
      <c r="E33" s="18">
        <f>IFERROR(E17/E$23,"")</f>
        <v/>
      </c>
      <c r="F33" s="18">
        <f>IFERROR(F17/F$23,"")</f>
        <v/>
      </c>
      <c r="G33" s="18">
        <f>IFERROR(G17/G$23,"")</f>
        <v/>
      </c>
      <c r="H33" s="18">
        <f>IFERROR(H17/H$23,"")</f>
        <v/>
      </c>
      <c r="I33" s="18">
        <f>IFERROR(I17/I$23,"")</f>
        <v/>
      </c>
      <c r="J33" s="18">
        <f>IFERROR(J17/J$23,"")</f>
        <v/>
      </c>
      <c r="K33" s="18">
        <f>IFERROR(K17/K$23,"")</f>
        <v/>
      </c>
      <c r="L33" s="18">
        <f>IFERROR(L17/L$23,"")</f>
        <v/>
      </c>
      <c r="M33" s="18">
        <f>IFERROR(M17/M$23,"")</f>
        <v/>
      </c>
    </row>
    <row r="34" ht="15.75" customHeight="1" s="252">
      <c r="A34" s="11" t="inlineStr">
        <is>
          <t>x</t>
        </is>
      </c>
      <c r="B34" s="7" t="n"/>
      <c r="C34" s="18" t="n"/>
      <c r="D34" s="18">
        <f>IFERROR(D18/D$23,"")</f>
        <v/>
      </c>
      <c r="E34" s="18">
        <f>IFERROR(E18/E$23,"")</f>
        <v/>
      </c>
      <c r="F34" s="18">
        <f>IFERROR(F18/F$23,"")</f>
        <v/>
      </c>
      <c r="G34" s="18">
        <f>IFERROR(G18/G$23,"")</f>
        <v/>
      </c>
      <c r="H34" s="18">
        <f>IFERROR(H18/H$23,"")</f>
        <v/>
      </c>
      <c r="I34" s="18">
        <f>IFERROR(I18/I$23,"")</f>
        <v/>
      </c>
      <c r="J34" s="18">
        <f>IFERROR(J18/J$23,"")</f>
        <v/>
      </c>
      <c r="K34" s="18">
        <f>IFERROR(K18/K$23,"")</f>
        <v/>
      </c>
      <c r="L34" s="18">
        <f>IFERROR(L18/L$23,"")</f>
        <v/>
      </c>
      <c r="M34" s="18">
        <f>IFERROR(M18/M$23,"")</f>
        <v/>
      </c>
    </row>
    <row r="35" ht="15.75" customHeight="1" s="252">
      <c r="A35" s="11" t="inlineStr">
        <is>
          <t>x</t>
        </is>
      </c>
      <c r="B35" s="7" t="n"/>
      <c r="C35" s="18" t="n"/>
      <c r="D35" s="18">
        <f>IFERROR(D19/D$23,"")</f>
        <v/>
      </c>
      <c r="E35" s="18">
        <f>IFERROR(E19/E$23,"")</f>
        <v/>
      </c>
      <c r="F35" s="18">
        <f>IFERROR(F19/F$23,"")</f>
        <v/>
      </c>
      <c r="G35" s="18">
        <f>IFERROR(G19/G$23,"")</f>
        <v/>
      </c>
      <c r="H35" s="18">
        <f>IFERROR(H19/H$23,"")</f>
        <v/>
      </c>
      <c r="I35" s="18">
        <f>IFERROR(I19/I$23,"")</f>
        <v/>
      </c>
      <c r="J35" s="18">
        <f>IFERROR(J19/J$23,"")</f>
        <v/>
      </c>
      <c r="K35" s="18">
        <f>IFERROR(K19/K$23,"")</f>
        <v/>
      </c>
      <c r="L35" s="18">
        <f>IFERROR(L19/L$23,"")</f>
        <v/>
      </c>
      <c r="M35" s="18">
        <f>IFERROR(M19/M$23,"")</f>
        <v/>
      </c>
    </row>
    <row r="36" ht="15.75" customHeight="1" s="252">
      <c r="A36" s="11" t="inlineStr">
        <is>
          <t>x</t>
        </is>
      </c>
      <c r="C36" s="18" t="n"/>
      <c r="D36" s="18">
        <f>IFERROR(D20/D$23,"")</f>
        <v/>
      </c>
      <c r="E36" s="18">
        <f>IFERROR(E20/E$23,"")</f>
        <v/>
      </c>
      <c r="F36" s="18">
        <f>IFERROR(F20/F$23,"")</f>
        <v/>
      </c>
      <c r="G36" s="18">
        <f>IFERROR(G20/G$23,"")</f>
        <v/>
      </c>
      <c r="H36" s="18">
        <f>IFERROR(H20/H$23,"")</f>
        <v/>
      </c>
      <c r="I36" s="18">
        <f>IFERROR(I20/I$23,"")</f>
        <v/>
      </c>
      <c r="J36" s="18">
        <f>IFERROR(J20/J$23,"")</f>
        <v/>
      </c>
      <c r="K36" s="18">
        <f>IFERROR(K20/K$23,"")</f>
        <v/>
      </c>
      <c r="L36" s="18">
        <f>IFERROR(L20/L$23,"")</f>
        <v/>
      </c>
      <c r="M36" s="18">
        <f>IFERROR(M20/M$23,"")</f>
        <v/>
      </c>
    </row>
    <row r="37" ht="15.75" customHeight="1" s="252">
      <c r="A37" s="11" t="inlineStr">
        <is>
          <t>x</t>
        </is>
      </c>
      <c r="C37" s="18" t="n"/>
      <c r="D37" s="18">
        <f>IFERROR(D21/D$23,"")</f>
        <v/>
      </c>
      <c r="E37" s="18">
        <f>IFERROR(E21/E$23,"")</f>
        <v/>
      </c>
      <c r="F37" s="18">
        <f>IFERROR(F21/F$23,"")</f>
        <v/>
      </c>
      <c r="G37" s="18">
        <f>IFERROR(G21/G$23,"")</f>
        <v/>
      </c>
      <c r="H37" s="18">
        <f>IFERROR(H21/H$23,"")</f>
        <v/>
      </c>
      <c r="I37" s="18">
        <f>IFERROR(I21/I$23,"")</f>
        <v/>
      </c>
      <c r="J37" s="18">
        <f>IFERROR(J21/J$23,"")</f>
        <v/>
      </c>
      <c r="K37" s="18">
        <f>IFERROR(K21/K$23,"")</f>
        <v/>
      </c>
      <c r="L37" s="18">
        <f>IFERROR(L21/L$23,"")</f>
        <v/>
      </c>
      <c r="M37" s="18">
        <f>IFERROR(M21/M$23,"")</f>
        <v/>
      </c>
    </row>
    <row r="38" ht="15.75" customHeight="1" s="252">
      <c r="A38" s="11" t="inlineStr">
        <is>
          <t>x</t>
        </is>
      </c>
      <c r="D38" s="18">
        <f>IFERROR(D22/D$23,"")</f>
        <v/>
      </c>
      <c r="E38" s="18">
        <f>IFERROR(E22/E$23,"")</f>
        <v/>
      </c>
      <c r="F38" s="18">
        <f>IFERROR(F22/F$23,"")</f>
        <v/>
      </c>
      <c r="G38" s="18">
        <f>IFERROR(G22/G$23,"")</f>
        <v/>
      </c>
      <c r="H38" s="18">
        <f>IFERROR(H22/H$23,"")</f>
        <v/>
      </c>
      <c r="I38" s="18">
        <f>IFERROR(I22/I$23,"")</f>
        <v/>
      </c>
      <c r="J38" s="18">
        <f>IFERROR(J22/J$23,"")</f>
        <v/>
      </c>
      <c r="K38" s="18">
        <f>IFERROR(K22/K$23,"")</f>
        <v/>
      </c>
      <c r="L38" s="18">
        <f>IFERROR(L22/L$23,"")</f>
        <v/>
      </c>
      <c r="M38" s="18">
        <f>IFERROR(M22/M$23,"")</f>
        <v/>
      </c>
    </row>
    <row r="39" ht="15.75" customHeight="1" s="252">
      <c r="A39" s="76" t="inlineStr">
        <is>
          <t>Total AUM</t>
        </is>
      </c>
      <c r="B39" s="77" t="n"/>
      <c r="C39" s="131" t="n"/>
      <c r="D39" s="131">
        <f>SUM(D25:D37)</f>
        <v/>
      </c>
      <c r="E39" s="131">
        <f>SUM(E25:E37)</f>
        <v/>
      </c>
      <c r="F39" s="131">
        <f>SUM(F25:F37)</f>
        <v/>
      </c>
      <c r="G39" s="131">
        <f>SUM(G25:G37)</f>
        <v/>
      </c>
      <c r="H39" s="131">
        <f>SUM(H25:H37)</f>
        <v/>
      </c>
      <c r="I39" s="131">
        <f>SUM(I25:I37)</f>
        <v/>
      </c>
      <c r="J39" s="131">
        <f>SUM(J25:J37)</f>
        <v/>
      </c>
      <c r="K39" s="131">
        <f>SUM(K25:K37)</f>
        <v/>
      </c>
      <c r="L39" s="131">
        <f>SUM(L25:L37)</f>
        <v/>
      </c>
      <c r="M39" s="131">
        <f>SUM(M25:M37)</f>
        <v/>
      </c>
    </row>
    <row r="40" ht="15.75" customHeight="1" s="252"/>
    <row r="41" ht="15.75" customHeight="1" s="252"/>
    <row r="42" ht="15.75" customHeight="1" s="252"/>
    <row r="43" ht="15.75" customHeight="1" s="252"/>
    <row r="44" ht="15.75" customHeight="1" s="252"/>
    <row r="45" ht="15.75" customHeight="1" s="252"/>
    <row r="46" ht="15.75" customHeight="1" s="252"/>
    <row r="47" ht="15.75" customHeight="1" s="252"/>
    <row r="48" ht="15.75" customHeight="1" s="252"/>
    <row r="49" ht="15.75" customHeight="1" s="252"/>
    <row r="50" ht="15.75" customHeight="1" s="252"/>
    <row r="51" ht="15.75" customHeight="1" s="252"/>
    <row r="52" ht="15.75" customHeight="1" s="252"/>
    <row r="53" ht="15.75" customHeight="1" s="252"/>
    <row r="54" ht="15.75" customHeight="1" s="252"/>
    <row r="55" ht="15.75" customHeight="1" s="252"/>
    <row r="56" ht="15.75" customHeight="1" s="252"/>
    <row r="57" ht="15.75" customHeight="1" s="252"/>
    <row r="58" ht="15.75" customHeight="1" s="252"/>
    <row r="59" ht="15.75" customHeight="1" s="252"/>
    <row r="60" ht="15.75" customHeight="1" s="252"/>
    <row r="61" ht="15.75" customHeight="1" s="252"/>
    <row r="62" ht="15.75" customHeight="1" s="252"/>
    <row r="63" ht="15.75" customHeight="1" s="252"/>
    <row r="64" ht="15.75" customHeight="1" s="252"/>
    <row r="65" ht="15.75" customHeight="1" s="252"/>
    <row r="66" ht="15.75" customHeight="1" s="252"/>
    <row r="67" ht="15.75" customHeight="1" s="252"/>
    <row r="68" ht="15.75" customHeight="1" s="252"/>
    <row r="69" ht="15.75" customHeight="1" s="252"/>
    <row r="70" ht="15.75" customHeight="1" s="252"/>
    <row r="71" ht="15.75" customHeight="1" s="252"/>
    <row r="72" ht="15.75" customHeight="1" s="252"/>
    <row r="73" ht="15.75" customHeight="1" s="252"/>
    <row r="74" ht="15.75" customHeight="1" s="252"/>
    <row r="75" ht="15.75" customHeight="1" s="252"/>
    <row r="76" ht="15.75" customHeight="1" s="252"/>
    <row r="77" ht="15.75" customHeight="1" s="252"/>
    <row r="78" ht="15.75" customHeight="1" s="252"/>
    <row r="79" ht="15.75" customHeight="1" s="252"/>
    <row r="80" ht="15.75" customHeight="1" s="252"/>
    <row r="81" ht="15.75" customHeight="1" s="252"/>
    <row r="82" ht="15.75" customHeight="1" s="252"/>
    <row r="83" ht="15.75" customHeight="1" s="252"/>
    <row r="84" ht="15.75" customHeight="1" s="252"/>
    <row r="85" ht="15.75" customHeight="1" s="252"/>
    <row r="86" ht="15.75" customHeight="1" s="252"/>
    <row r="87" ht="15.75" customHeight="1" s="252"/>
    <row r="88" ht="15.75" customHeight="1" s="252"/>
    <row r="89" ht="15.75" customHeight="1" s="252"/>
    <row r="90" ht="15.75" customHeight="1" s="252"/>
    <row r="91" ht="15.75" customHeight="1" s="252"/>
    <row r="92" ht="15.75" customHeight="1" s="252"/>
    <row r="93" ht="15.75" customHeight="1" s="252"/>
    <row r="94" ht="15.75" customHeight="1" s="252"/>
    <row r="95" ht="15.75" customHeight="1" s="252"/>
    <row r="96" ht="15.75" customHeight="1" s="252"/>
    <row r="97" ht="15.75" customHeight="1" s="252"/>
    <row r="98" ht="15.75" customHeight="1" s="252"/>
    <row r="99" ht="15.75" customHeight="1" s="252"/>
    <row r="100" ht="15.75" customHeight="1" s="252"/>
    <row r="101" ht="15.75" customHeight="1" s="252"/>
    <row r="102" ht="15.75" customHeight="1" s="252"/>
    <row r="103" ht="15.75" customHeight="1" s="252"/>
    <row r="104" ht="15.75" customHeight="1" s="252"/>
    <row r="105" ht="15.75" customHeight="1" s="252"/>
    <row r="106" ht="15.75" customHeight="1" s="252"/>
    <row r="107" ht="15.75" customHeight="1" s="252"/>
    <row r="108" ht="15.75" customHeight="1" s="252"/>
    <row r="109" ht="15.75" customHeight="1" s="252"/>
    <row r="110" ht="15.75" customHeight="1" s="252"/>
    <row r="111" ht="15.75" customHeight="1" s="252"/>
    <row r="112" ht="15.75" customHeight="1" s="252"/>
    <row r="113" ht="15.75" customHeight="1" s="252"/>
    <row r="114" ht="15.75" customHeight="1" s="252"/>
    <row r="115" ht="15.75" customHeight="1" s="252"/>
    <row r="116" ht="15.75" customHeight="1" s="252"/>
    <row r="117" ht="15.75" customHeight="1" s="252"/>
    <row r="118" ht="15.75" customHeight="1" s="252"/>
    <row r="119" ht="15.75" customHeight="1" s="252"/>
    <row r="120" ht="15.75" customHeight="1" s="252"/>
    <row r="121" ht="15.75" customHeight="1" s="252"/>
    <row r="122" ht="15.75" customHeight="1" s="252"/>
    <row r="123" ht="15.75" customHeight="1" s="252"/>
    <row r="124" ht="15.75" customHeight="1" s="252"/>
    <row r="125" ht="15.75" customHeight="1" s="252"/>
    <row r="126" ht="15.75" customHeight="1" s="252"/>
    <row r="127" ht="15.75" customHeight="1" s="252"/>
    <row r="128" ht="15.75" customHeight="1" s="252"/>
    <row r="129" ht="15.75" customHeight="1" s="252"/>
    <row r="130" ht="15.75" customHeight="1" s="252"/>
    <row r="131" ht="15.75" customHeight="1" s="252"/>
    <row r="132" ht="15.75" customHeight="1" s="252"/>
    <row r="133" ht="15.75" customHeight="1" s="252"/>
    <row r="134" ht="15.75" customHeight="1" s="252"/>
    <row r="135" ht="15.75" customHeight="1" s="252"/>
    <row r="136" ht="15.75" customHeight="1" s="252"/>
    <row r="137" ht="15.75" customHeight="1" s="252"/>
    <row r="138" ht="15.75" customHeight="1" s="252"/>
    <row r="139" ht="15.75" customHeight="1" s="252"/>
    <row r="140" ht="15.75" customHeight="1" s="252"/>
    <row r="141" ht="15.75" customHeight="1" s="252"/>
    <row r="142" ht="15.75" customHeight="1" s="252"/>
    <row r="143" ht="15.75" customHeight="1" s="252"/>
    <row r="144" ht="15.75" customHeight="1" s="252"/>
    <row r="145" ht="15.75" customHeight="1" s="252"/>
    <row r="146" ht="15.75" customHeight="1" s="252"/>
    <row r="147" ht="15.75" customHeight="1" s="252"/>
    <row r="148" ht="15.75" customHeight="1" s="252"/>
    <row r="149" ht="15.75" customHeight="1" s="252"/>
    <row r="150" ht="15.75" customHeight="1" s="252"/>
    <row r="151" ht="15.75" customHeight="1" s="252"/>
    <row r="152" ht="15.75" customHeight="1" s="252"/>
    <row r="153" ht="15.75" customHeight="1" s="252"/>
    <row r="154" ht="15.75" customHeight="1" s="252"/>
    <row r="155" ht="15.75" customHeight="1" s="252"/>
    <row r="156" ht="15.75" customHeight="1" s="252"/>
    <row r="157" ht="15.75" customHeight="1" s="252"/>
    <row r="158" ht="15.75" customHeight="1" s="252"/>
    <row r="159" ht="15.75" customHeight="1" s="252"/>
    <row r="160" ht="15.75" customHeight="1" s="252"/>
    <row r="161" ht="15.75" customHeight="1" s="252"/>
    <row r="162" ht="15.75" customHeight="1" s="252"/>
    <row r="163" ht="15.75" customHeight="1" s="252"/>
    <row r="164" ht="15.75" customHeight="1" s="252"/>
    <row r="165" ht="15.75" customHeight="1" s="252"/>
    <row r="166" ht="15.75" customHeight="1" s="252"/>
    <row r="167" ht="15.75" customHeight="1" s="252"/>
    <row r="168" ht="15.75" customHeight="1" s="252"/>
    <row r="169" ht="15.75" customHeight="1" s="252"/>
    <row r="170" ht="15.75" customHeight="1" s="252"/>
    <row r="171" ht="15.75" customHeight="1" s="252"/>
    <row r="172" ht="15.75" customHeight="1" s="252"/>
    <row r="173" ht="15.75" customHeight="1" s="252"/>
    <row r="174" ht="15.75" customHeight="1" s="252"/>
    <row r="175" ht="15.75" customHeight="1" s="252"/>
    <row r="176" ht="15.75" customHeight="1" s="252"/>
    <row r="177" ht="15.75" customHeight="1" s="252"/>
    <row r="178" ht="15.75" customHeight="1" s="252"/>
    <row r="179" ht="15.75" customHeight="1" s="252"/>
    <row r="180" ht="15.75" customHeight="1" s="252"/>
    <row r="181" ht="15.75" customHeight="1" s="252"/>
    <row r="182" ht="15.75" customHeight="1" s="252"/>
    <row r="183" ht="15.75" customHeight="1" s="252"/>
    <row r="184" ht="15.75" customHeight="1" s="252"/>
    <row r="185" ht="15.75" customHeight="1" s="252"/>
    <row r="186" ht="15.75" customHeight="1" s="252"/>
    <row r="187" ht="15.75" customHeight="1" s="252"/>
    <row r="188" ht="15.75" customHeight="1" s="252"/>
    <row r="189" ht="15.75" customHeight="1" s="252"/>
    <row r="190" ht="15.75" customHeight="1" s="252"/>
    <row r="191" ht="15.75" customHeight="1" s="252"/>
    <row r="192" ht="15.75" customHeight="1" s="252"/>
    <row r="193" ht="15.75" customHeight="1" s="252"/>
    <row r="194" ht="15.75" customHeight="1" s="252"/>
    <row r="195" ht="15.75" customHeight="1" s="252"/>
    <row r="196" ht="15.75" customHeight="1" s="252"/>
    <row r="197" ht="15.75" customHeight="1" s="252"/>
    <row r="198" ht="15.75" customHeight="1" s="252"/>
    <row r="199" ht="15.75" customHeight="1" s="252"/>
    <row r="200" ht="15.75" customHeight="1" s="252"/>
    <row r="201" ht="15.75" customHeight="1" s="252"/>
    <row r="202" ht="15.75" customHeight="1" s="252"/>
    <row r="203" ht="15.75" customHeight="1" s="252"/>
    <row r="204" ht="15.75" customHeight="1" s="252"/>
    <row r="205" ht="15.75" customHeight="1" s="252"/>
    <row r="206" ht="15.75" customHeight="1" s="252"/>
    <row r="207" ht="15.75" customHeight="1" s="252"/>
    <row r="208" ht="15.75" customHeight="1" s="252"/>
    <row r="209" ht="15.75" customHeight="1" s="252"/>
    <row r="210" ht="15.75" customHeight="1" s="252"/>
    <row r="211" ht="15.75" customHeight="1" s="252"/>
    <row r="212" ht="15.75" customHeight="1" s="252"/>
    <row r="213" ht="15.75" customHeight="1" s="252"/>
    <row r="214" ht="15.75" customHeight="1" s="252"/>
    <row r="215" ht="15.75" customHeight="1" s="252"/>
    <row r="216" ht="15.75" customHeight="1" s="252"/>
    <row r="217" ht="15.75" customHeight="1" s="252"/>
    <row r="218" ht="15.75" customHeight="1" s="252"/>
    <row r="219" ht="15.75" customHeight="1" s="252"/>
    <row r="220" ht="15.75" customHeight="1" s="252"/>
    <row r="221" ht="15.75" customHeight="1" s="252"/>
    <row r="222" ht="15.75" customHeight="1" s="252"/>
    <row r="223" ht="15.75" customHeight="1" s="252"/>
    <row r="224" ht="15.75" customHeight="1" s="252"/>
    <row r="225" ht="15.75" customHeight="1" s="252"/>
    <row r="226" ht="15.75" customHeight="1" s="252"/>
    <row r="227" ht="15.75" customHeight="1" s="252"/>
    <row r="228" ht="15.75" customHeight="1" s="252"/>
    <row r="229" ht="15.75" customHeight="1" s="252"/>
    <row r="230" ht="15.75" customHeight="1" s="252"/>
    <row r="231" ht="15.75" customHeight="1" s="252"/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0FF00"/>
    <outlinePr summaryRight="0"/>
    <pageSetUpPr fitToPage="1"/>
  </sheetPr>
  <dimension ref="A1:JC55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8.63" customWidth="1" style="252" min="1" max="1"/>
    <col width="12.63" customWidth="1" style="252" min="2" max="5"/>
    <col width="2.88" customWidth="1" style="252" min="6" max="6"/>
    <col width="17.75" customWidth="1" style="252" min="7" max="7"/>
    <col width="2.88" customWidth="1" style="252" min="12" max="12"/>
    <col width="13.63" customWidth="1" style="252" min="14" max="14"/>
    <col width="2.88" customWidth="1" style="252" min="18" max="18"/>
    <col width="2.88" customWidth="1" style="252" min="24" max="24"/>
    <col width="12.88" customWidth="1" style="252" min="25" max="29"/>
    <col width="2.88" customWidth="1" style="252" min="30" max="30"/>
    <col width="12.88" customWidth="1" style="252" min="31" max="35"/>
    <col width="2.88" customWidth="1" style="252" min="36" max="36"/>
    <col width="2.88" customWidth="1" style="252" min="42" max="42"/>
    <col width="2.88" customWidth="1" style="252" min="48" max="48"/>
    <col width="2.88" customWidth="1" style="252" min="54" max="54"/>
    <col width="12.88" customWidth="1" style="252" min="55" max="59"/>
    <col width="2.88" customWidth="1" style="252" min="60" max="60"/>
    <col width="2.88" customWidth="1" style="252" min="66" max="66"/>
    <col width="2.88" customWidth="1" style="252" min="72" max="72"/>
    <col width="2.88" customWidth="1" style="252" min="78" max="78"/>
    <col width="2.88" customWidth="1" style="252" min="84" max="84"/>
    <col width="2.88" customWidth="1" style="252" min="90" max="90"/>
    <col width="2.88" customWidth="1" style="252" min="96" max="96"/>
    <col width="2.88" customWidth="1" style="252" min="102" max="102"/>
    <col width="2.88" customWidth="1" style="252" min="108" max="108"/>
    <col width="2.88" customWidth="1" style="252" min="114" max="114"/>
    <col width="2.88" customWidth="1" style="252" min="120" max="120"/>
    <col width="2.88" customWidth="1" style="252" min="126" max="126"/>
    <col width="2.88" customWidth="1" style="252" min="132" max="132"/>
    <col width="2.88" customWidth="1" style="252" min="138" max="138"/>
    <col width="2.88" customWidth="1" style="252" min="144" max="144"/>
    <col width="2.88" customWidth="1" style="252" min="150" max="150"/>
    <col width="2.88" customWidth="1" style="252" min="156" max="156"/>
    <col width="2.88" customWidth="1" style="252" min="162" max="162"/>
    <col width="2.88" customWidth="1" style="252" min="168" max="168"/>
    <col width="2.88" customWidth="1" style="252" min="174" max="174"/>
    <col width="2.88" customWidth="1" style="252" min="180" max="180"/>
    <col width="2.88" customWidth="1" style="252" min="186" max="186"/>
    <col width="2.88" customWidth="1" style="252" min="192" max="192"/>
    <col width="2.88" customWidth="1" style="252" min="198" max="198"/>
    <col width="2.88" customWidth="1" style="252" min="204" max="204"/>
    <col width="2.88" customWidth="1" style="252" min="210" max="210"/>
    <col width="2.88" customWidth="1" style="252" min="216" max="216"/>
    <col width="2.88" customWidth="1" style="252" min="222" max="222"/>
    <col width="2.88" customWidth="1" style="252" min="228" max="228"/>
    <col width="2.88" customWidth="1" style="252" min="234" max="234"/>
    <col width="2.88" customWidth="1" style="252" min="240" max="240"/>
    <col width="2.88" customWidth="1" style="252" min="246" max="246"/>
    <col width="2.88" customWidth="1" style="252" min="252" max="252"/>
    <col width="2.88" customWidth="1" style="252" min="258" max="258"/>
  </cols>
  <sheetData>
    <row r="1" outlineLevel="1" ht="15.75" customHeight="1" s="252">
      <c r="A1" s="160" t="inlineStr">
        <is>
          <t>BTC</t>
        </is>
      </c>
      <c r="B1" s="161">
        <f>COUNTA(12:12)/2-COUNTA(11:11)</f>
        <v/>
      </c>
      <c r="D1" s="84" t="inlineStr">
        <is>
          <t>Beginning</t>
        </is>
      </c>
      <c r="E1" s="84" t="inlineStr">
        <is>
          <t>Ending</t>
        </is>
      </c>
      <c r="G1" s="160" t="inlineStr">
        <is>
          <t>BTC</t>
        </is>
      </c>
      <c r="H1" s="161">
        <f t="array" ref="H1">COUNTIF(INDEX(INDIRECT("'BTC Yield Fund'!D9:HN"&amp;(MATCH("Total AUM", 'BTC Yield Fund'!A:A, 0)-1)), 0, MATCH(Report!E2, 'BTC Yield Fund'!D8:IZ8, 0)), "&gt;0")-1</f>
        <v/>
      </c>
      <c r="J1" s="162" t="inlineStr">
        <is>
          <t>A sortir du Word le mois prochain</t>
        </is>
      </c>
      <c r="K1" s="163" t="n"/>
      <c r="L1" s="164" t="n"/>
      <c r="M1" s="160" t="n"/>
      <c r="N1" s="164" t="n"/>
      <c r="O1" s="164" t="n"/>
      <c r="P1" s="164" t="n"/>
      <c r="Q1" s="164" t="n"/>
      <c r="R1" s="164" t="n"/>
      <c r="S1" s="160" t="n"/>
      <c r="Y1" s="160" t="n"/>
      <c r="AE1" s="160" t="n"/>
      <c r="AK1" s="160" t="n"/>
      <c r="AQ1" s="160" t="n"/>
      <c r="AW1" s="160" t="n"/>
      <c r="BC1" s="160" t="n"/>
      <c r="BD1" s="164" t="n"/>
      <c r="BE1" s="164" t="n"/>
      <c r="BF1" s="164" t="n"/>
      <c r="BG1" s="164" t="n"/>
      <c r="BI1" s="165" t="n"/>
      <c r="BO1" s="160" t="n"/>
      <c r="BU1" s="15" t="n"/>
      <c r="CA1" s="15" t="n"/>
      <c r="CG1" s="15" t="n"/>
      <c r="CM1" s="15" t="n"/>
      <c r="CS1" s="15" t="n"/>
      <c r="CY1" s="15" t="n"/>
      <c r="DE1" s="15" t="n"/>
      <c r="DK1" s="15" t="n"/>
      <c r="DQ1" s="15" t="n"/>
      <c r="DW1" s="15" t="n"/>
      <c r="EC1" s="15" t="n"/>
      <c r="EI1" s="15" t="n"/>
      <c r="EO1" s="15" t="n"/>
      <c r="EU1" s="15" t="n"/>
      <c r="FA1" s="15" t="n"/>
      <c r="FG1" s="15" t="n"/>
      <c r="FM1" s="15" t="n"/>
      <c r="FS1" s="15" t="n"/>
      <c r="FY1" s="15" t="n"/>
      <c r="GE1" s="15" t="n"/>
      <c r="GK1" s="15" t="n"/>
      <c r="GQ1" s="15" t="n"/>
      <c r="GW1" s="15" t="n"/>
      <c r="HC1" s="15" t="n"/>
      <c r="HI1" s="15" t="n"/>
      <c r="HO1" s="15" t="n"/>
      <c r="HU1" s="15" t="n"/>
      <c r="IA1" s="15" t="n"/>
      <c r="IG1" s="15" t="n"/>
      <c r="IM1" s="15" t="n"/>
      <c r="IS1" s="15" t="n"/>
      <c r="IY1" s="15" t="n"/>
    </row>
    <row r="2" outlineLevel="1" ht="15.75" customHeight="1" s="252">
      <c r="A2" s="160" t="inlineStr">
        <is>
          <t>ETH</t>
        </is>
      </c>
      <c r="B2" s="161">
        <f>COUNTA(21:21)/2-COUNTA(20:20)</f>
        <v/>
      </c>
      <c r="C2" s="166" t="inlineStr">
        <is>
          <t>Month</t>
        </is>
      </c>
      <c r="D2" s="167" t="n">
        <v>46054</v>
      </c>
      <c r="E2" s="167" t="n">
        <v>46081</v>
      </c>
      <c r="G2" s="160" t="inlineStr">
        <is>
          <t>ETH</t>
        </is>
      </c>
      <c r="H2" s="161">
        <f t="array" ref="H2">COUNTIF(INDEX(INDIRECT("'ETH Yield Fund'!D9:HN"&amp;(MATCH("Total AUM", 'ETH Yield Fund'!A:A, 0)-1)), 0, MATCH(Report!E2, 'ETH Yield Fund'!D8:BG8, 0)), "&gt;0")-1</f>
        <v/>
      </c>
      <c r="J2" s="15" t="inlineStr">
        <is>
          <t>BTC</t>
        </is>
      </c>
      <c r="K2" s="15" t="inlineStr">
        <is>
          <t>Danielle Richetta</t>
        </is>
      </c>
      <c r="L2" s="164" t="n"/>
      <c r="O2" s="164" t="n"/>
      <c r="P2" s="164" t="n"/>
      <c r="Q2" s="164" t="n"/>
      <c r="R2" s="164" t="n"/>
      <c r="S2" s="160" t="n"/>
      <c r="Y2" s="160" t="n"/>
      <c r="AE2" s="160" t="n"/>
      <c r="AK2" s="160" t="n"/>
      <c r="AQ2" s="160" t="n"/>
      <c r="AW2" s="160" t="n"/>
      <c r="BC2" s="160" t="n"/>
      <c r="BD2" s="164" t="n"/>
      <c r="BE2" s="164" t="n"/>
      <c r="BF2" s="164" t="n"/>
      <c r="BG2" s="164" t="n"/>
      <c r="BI2" s="165" t="n"/>
      <c r="BO2" s="160" t="n"/>
      <c r="BU2" s="15" t="n"/>
      <c r="CA2" s="15" t="n"/>
      <c r="CG2" s="15" t="n"/>
      <c r="CM2" s="15" t="n"/>
      <c r="CS2" s="15" t="n"/>
      <c r="CY2" s="15" t="n"/>
      <c r="DE2" s="15" t="n"/>
      <c r="DK2" s="15" t="n"/>
      <c r="DQ2" s="15" t="n"/>
      <c r="DW2" s="15" t="n"/>
      <c r="EC2" s="15" t="n"/>
      <c r="EI2" s="15" t="n"/>
      <c r="EO2" s="15" t="n"/>
      <c r="EU2" s="15" t="n"/>
      <c r="FA2" s="15" t="n"/>
      <c r="FG2" s="15" t="n"/>
      <c r="FM2" s="15" t="n"/>
      <c r="FS2" s="15" t="n"/>
      <c r="FY2" s="15" t="n"/>
      <c r="GE2" s="15" t="n"/>
      <c r="GK2" s="15" t="n"/>
      <c r="GQ2" s="15" t="n"/>
      <c r="GW2" s="15" t="n"/>
      <c r="HC2" s="15" t="n"/>
      <c r="HI2" s="15" t="n"/>
      <c r="HO2" s="15" t="n"/>
      <c r="HU2" s="15" t="n"/>
      <c r="IA2" s="15" t="n"/>
      <c r="IG2" s="15" t="n"/>
      <c r="IM2" s="15" t="n"/>
      <c r="IS2" s="15" t="n"/>
      <c r="IY2" s="15" t="n"/>
    </row>
    <row r="3" outlineLevel="1" ht="15.75" customHeight="1" s="252">
      <c r="A3" s="160" t="inlineStr">
        <is>
          <t>USDT</t>
        </is>
      </c>
      <c r="B3" s="161">
        <f>COUNTA(30:30)/2-COUNTA(29:29)</f>
        <v/>
      </c>
      <c r="C3" s="166" t="inlineStr">
        <is>
          <t>Quarter</t>
        </is>
      </c>
      <c r="D3" s="167" t="n">
        <v>46023</v>
      </c>
      <c r="E3" s="167">
        <f>E2</f>
        <v/>
      </c>
      <c r="G3" s="160" t="inlineStr">
        <is>
          <t>USDT</t>
        </is>
      </c>
      <c r="H3" s="161">
        <f t="array" ref="H3">COUNTIF(INDEX(INDIRECT("'USDT Yield Fund'!D9:HS"&amp;(MATCH("Total AUM", 'USDT Yield Fund'!A:A, 0)-1)), 0, MATCH(Report!E2, 'USDT Yield Fund'!D8:HS8, 0)), "&gt;0")-1</f>
        <v/>
      </c>
      <c r="J3" s="15" t="inlineStr">
        <is>
          <t>USDT</t>
        </is>
      </c>
      <c r="K3" s="15" t="inlineStr">
        <is>
          <t>Thomas Puech</t>
        </is>
      </c>
      <c r="L3" s="164" t="n"/>
      <c r="M3" s="160" t="n"/>
      <c r="N3" s="164" t="n"/>
      <c r="O3" s="164" t="n"/>
      <c r="P3" s="164" t="n"/>
      <c r="Q3" s="164" t="n"/>
      <c r="R3" s="164" t="n"/>
      <c r="S3" s="160" t="n"/>
      <c r="Y3" s="160" t="n"/>
      <c r="AE3" s="160" t="n"/>
      <c r="AK3" s="160" t="n"/>
      <c r="AQ3" s="160" t="n"/>
      <c r="AW3" s="160" t="n"/>
      <c r="BC3" s="160" t="n"/>
      <c r="BD3" s="164" t="n"/>
      <c r="BE3" s="164" t="n"/>
      <c r="BF3" s="164" t="n"/>
      <c r="BG3" s="164" t="n"/>
      <c r="BI3" s="165" t="n"/>
      <c r="BO3" s="160" t="n"/>
      <c r="BU3" s="15" t="n"/>
      <c r="CA3" s="15" t="n"/>
      <c r="CG3" s="15" t="n"/>
      <c r="CM3" s="15" t="n"/>
      <c r="CS3" s="15" t="n"/>
      <c r="CY3" s="15" t="n"/>
      <c r="DE3" s="15" t="n"/>
      <c r="DK3" s="15" t="n"/>
      <c r="DQ3" s="15" t="n"/>
      <c r="DW3" s="15" t="n"/>
      <c r="EC3" s="15" t="n"/>
      <c r="EI3" s="15" t="n"/>
      <c r="EO3" s="15" t="n"/>
      <c r="EU3" s="15" t="n"/>
      <c r="FA3" s="15" t="n"/>
      <c r="FG3" s="15" t="n"/>
      <c r="FM3" s="15" t="n"/>
      <c r="FS3" s="15" t="n"/>
      <c r="FY3" s="15" t="n"/>
      <c r="GE3" s="15" t="n"/>
      <c r="GK3" s="15" t="n"/>
      <c r="GQ3" s="15" t="n"/>
      <c r="GW3" s="15" t="n"/>
      <c r="HC3" s="15" t="n"/>
      <c r="HI3" s="15" t="n"/>
      <c r="HO3" s="15" t="n"/>
      <c r="HU3" s="15" t="n"/>
      <c r="IA3" s="15" t="n"/>
      <c r="IG3" s="15" t="n"/>
      <c r="IM3" s="15" t="n"/>
      <c r="IS3" s="15" t="n"/>
      <c r="IY3" s="15" t="n"/>
    </row>
    <row r="4" outlineLevel="1" ht="15.75" customHeight="1" s="252">
      <c r="A4" s="160" t="inlineStr">
        <is>
          <t>SOL</t>
        </is>
      </c>
      <c r="B4" s="161">
        <f>COUNTA(39:39)/2-COUNTA(38:38)</f>
        <v/>
      </c>
      <c r="C4" s="166" t="inlineStr">
        <is>
          <t>Year</t>
        </is>
      </c>
      <c r="D4" s="167" t="n">
        <v>46023</v>
      </c>
      <c r="E4" s="167">
        <f>E2</f>
        <v/>
      </c>
      <c r="G4" s="160" t="inlineStr">
        <is>
          <t>SOL</t>
        </is>
      </c>
      <c r="H4" s="161">
        <f t="array" ref="H4">COUNTIF(INDEX(INDIRECT("'SOL Yield Fund'!D9:IZ"&amp;(MATCH("Total AUM", 'SOL Yield Fund'!A:A, 0)-1)), 0, MATCH(Report!E2, 'SOL Yield Fund'!D8:IZ8, 0)), "&gt;0")-1</f>
        <v/>
      </c>
      <c r="I4" s="164" t="n"/>
      <c r="L4" s="164" t="n"/>
      <c r="M4" s="160" t="n"/>
      <c r="N4" s="164" t="n"/>
      <c r="O4" s="164" t="n"/>
      <c r="P4" s="164" t="n"/>
      <c r="Q4" s="164" t="n"/>
      <c r="R4" s="164" t="n"/>
      <c r="S4" s="160" t="n"/>
      <c r="Y4" s="160" t="n"/>
      <c r="AE4" s="160" t="n"/>
      <c r="AK4" s="160" t="n"/>
      <c r="AQ4" s="160" t="n"/>
      <c r="AW4" s="160" t="n"/>
      <c r="BC4" s="160" t="n"/>
      <c r="BD4" s="164" t="n"/>
      <c r="BE4" s="164" t="n"/>
      <c r="BF4" s="164" t="n"/>
      <c r="BG4" s="164" t="n"/>
      <c r="BI4" s="165" t="n"/>
      <c r="BO4" s="160" t="n"/>
      <c r="BU4" s="15" t="n"/>
      <c r="CA4" s="15" t="n"/>
      <c r="CG4" s="15" t="n"/>
      <c r="CM4" s="15" t="n"/>
      <c r="CS4" s="15" t="n"/>
      <c r="CY4" s="15" t="n"/>
      <c r="DE4" s="15" t="n"/>
      <c r="DK4" s="15" t="n"/>
      <c r="DQ4" s="15" t="n"/>
      <c r="DW4" s="15" t="n"/>
      <c r="EC4" s="15" t="n"/>
      <c r="EI4" s="15" t="n"/>
      <c r="EO4" s="15" t="n"/>
      <c r="EU4" s="15" t="n"/>
      <c r="FA4" s="15" t="n"/>
      <c r="FG4" s="15" t="n"/>
      <c r="FM4" s="15" t="n"/>
      <c r="FS4" s="15" t="n"/>
      <c r="FY4" s="15" t="n"/>
      <c r="GE4" s="15" t="n"/>
      <c r="GK4" s="15" t="n"/>
      <c r="GQ4" s="15" t="n"/>
      <c r="GW4" s="15" t="n"/>
      <c r="HC4" s="15" t="n"/>
      <c r="HI4" s="15" t="n"/>
      <c r="HO4" s="15" t="n"/>
      <c r="HU4" s="15" t="n"/>
      <c r="IA4" s="15" t="n"/>
      <c r="IG4" s="15" t="n"/>
      <c r="IM4" s="15" t="n"/>
      <c r="IS4" s="15" t="n"/>
      <c r="IY4" s="15" t="n"/>
    </row>
    <row r="5" outlineLevel="1" ht="15.75" customHeight="1" s="252">
      <c r="A5" s="160" t="inlineStr">
        <is>
          <t>XRP</t>
        </is>
      </c>
      <c r="B5" s="161">
        <f>COUNTA(48:48)/2-COUNTA(47:47)</f>
        <v/>
      </c>
      <c r="G5" s="160" t="inlineStr">
        <is>
          <t>XRP</t>
        </is>
      </c>
      <c r="H5" s="161">
        <f t="array" ref="H5">COUNTIF(INDEX(INDIRECT("'XRP Yield Fund'!D9:IJ"&amp;(MATCH("Total AUM", 'XRP Yield Fund'!A:A, 0)-1)), 0, MATCH(Report!E2, 'XRP Yield Fund'!D8:IJ8, 0)), "&gt;0")-1</f>
        <v/>
      </c>
      <c r="I5" s="164" t="n"/>
      <c r="J5" s="164" t="n"/>
      <c r="K5" s="164" t="n"/>
      <c r="L5" s="164" t="n"/>
      <c r="M5" s="160" t="n"/>
      <c r="N5" s="164" t="n"/>
      <c r="O5" s="164" t="n"/>
      <c r="P5" s="164" t="n"/>
      <c r="Q5" s="164" t="n"/>
      <c r="R5" s="164" t="n"/>
      <c r="S5" s="160" t="n"/>
      <c r="Y5" s="160" t="n"/>
      <c r="AE5" s="160" t="n"/>
      <c r="AK5" s="160" t="n"/>
      <c r="AQ5" s="160" t="n"/>
      <c r="AW5" s="160" t="n"/>
      <c r="BC5" s="160" t="n"/>
      <c r="BD5" s="164" t="n"/>
      <c r="BE5" s="164" t="n"/>
      <c r="BF5" s="164" t="n"/>
      <c r="BG5" s="164" t="n"/>
      <c r="BI5" s="165" t="n"/>
      <c r="BO5" s="160" t="n"/>
      <c r="BU5" s="15" t="n"/>
      <c r="CA5" s="15" t="n"/>
      <c r="CG5" s="15" t="n"/>
      <c r="CM5" s="15" t="n"/>
      <c r="CS5" s="15" t="n"/>
      <c r="CY5" s="15" t="n"/>
      <c r="DE5" s="15" t="n"/>
      <c r="DK5" s="15" t="n"/>
      <c r="DQ5" s="15" t="n"/>
      <c r="DW5" s="15" t="n"/>
      <c r="EC5" s="15" t="n"/>
      <c r="EI5" s="15" t="n"/>
      <c r="EO5" s="15" t="n"/>
      <c r="EU5" s="15" t="n"/>
      <c r="FA5" s="15" t="n"/>
      <c r="FG5" s="15" t="n"/>
      <c r="FM5" s="15" t="n"/>
      <c r="FS5" s="15" t="n"/>
      <c r="FY5" s="15" t="n"/>
      <c r="GE5" s="15" t="n"/>
      <c r="GK5" s="15" t="n"/>
      <c r="GQ5" s="15" t="n"/>
      <c r="GW5" s="15" t="n"/>
      <c r="HC5" s="15" t="n"/>
      <c r="HI5" s="15" t="n"/>
      <c r="HO5" s="15" t="n"/>
      <c r="HU5" s="15" t="n"/>
      <c r="IA5" s="15" t="n"/>
      <c r="IG5" s="15" t="n"/>
      <c r="IM5" s="15" t="n"/>
      <c r="IS5" s="15" t="n"/>
      <c r="IY5" s="15" t="n"/>
    </row>
    <row r="6" outlineLevel="1" ht="15.75" customHeight="1" s="252">
      <c r="A6" s="160" t="inlineStr">
        <is>
          <t>Total investor</t>
        </is>
      </c>
      <c r="B6" s="168">
        <f>COUNTA(10:10)-COUNTA(9:9)</f>
        <v/>
      </c>
      <c r="C6" s="164" t="n"/>
      <c r="F6" s="164" t="n"/>
      <c r="G6" s="160" t="inlineStr">
        <is>
          <t>Total Reports</t>
        </is>
      </c>
      <c r="H6" s="161">
        <f>SUM(H1:H5)</f>
        <v/>
      </c>
      <c r="I6" s="164" t="n"/>
      <c r="J6" s="164" t="n"/>
      <c r="K6" s="164" t="n"/>
      <c r="L6" s="164" t="n"/>
      <c r="M6" s="160" t="n"/>
      <c r="N6" s="164" t="n"/>
      <c r="O6" s="164" t="n"/>
      <c r="P6" s="164" t="n"/>
      <c r="Q6" s="164" t="n"/>
      <c r="R6" s="164" t="n"/>
      <c r="S6" s="160" t="n"/>
      <c r="Y6" s="160" t="n"/>
      <c r="AE6" s="160" t="n"/>
      <c r="AK6" s="160" t="n"/>
      <c r="AQ6" s="160" t="n"/>
      <c r="AW6" s="160" t="n"/>
      <c r="BC6" s="160" t="n"/>
      <c r="BD6" s="164" t="n"/>
      <c r="BE6" s="164" t="n"/>
      <c r="BF6" s="164" t="n"/>
      <c r="BG6" s="164" t="n"/>
      <c r="BI6" s="165" t="n"/>
      <c r="BO6" s="160" t="n"/>
      <c r="BU6" s="15" t="n"/>
      <c r="CA6" s="15" t="n"/>
      <c r="CG6" s="15" t="n"/>
      <c r="CM6" s="15" t="n"/>
      <c r="CS6" s="15" t="n"/>
      <c r="CY6" s="15" t="n"/>
      <c r="DE6" s="15" t="n"/>
      <c r="DK6" s="15" t="n"/>
      <c r="DQ6" s="15" t="n"/>
      <c r="DW6" s="15" t="n"/>
      <c r="EC6" s="15" t="n"/>
      <c r="EI6" s="15" t="n"/>
      <c r="EO6" s="15" t="n"/>
      <c r="EU6" s="15" t="n"/>
      <c r="FA6" s="15" t="n"/>
      <c r="FG6" s="15" t="n"/>
      <c r="FM6" s="15" t="n"/>
      <c r="FS6" s="15" t="n"/>
      <c r="FY6" s="15" t="n"/>
      <c r="GE6" s="15" t="n"/>
      <c r="GK6" s="15" t="n"/>
      <c r="GQ6" s="15" t="n"/>
      <c r="GW6" s="15" t="n"/>
      <c r="HC6" s="15" t="n"/>
      <c r="HO6" s="15" t="n"/>
      <c r="HU6" s="15" t="n"/>
      <c r="IA6" s="15" t="n"/>
      <c r="IG6" s="15" t="n"/>
      <c r="IM6" s="15" t="n"/>
      <c r="IS6" s="15" t="n"/>
      <c r="IY6" s="15" t="n"/>
    </row>
    <row r="7" ht="15.75" customHeight="1" s="252">
      <c r="A7" s="164" t="inlineStr">
        <is>
          <t>LUIS JOSE MOLLA TRUSTEE OF THE LUIS JOSE MOLLA REVOCABLE TRUST UAD 2/7/17 521 E DILIDO DR</t>
        </is>
      </c>
      <c r="B7" s="164" t="n"/>
      <c r="C7" s="164" t="n"/>
      <c r="D7" s="164" t="n"/>
      <c r="E7" s="164" t="n"/>
      <c r="F7" s="164" t="n"/>
      <c r="G7" s="160" t="inlineStr">
        <is>
          <t>KYLE GULAMERIAN – 40 ST. DAVIDS SQUARE</t>
        </is>
      </c>
      <c r="H7" s="164" t="n"/>
      <c r="I7" s="164" t="n"/>
      <c r="J7" s="164" t="n"/>
      <c r="K7" s="164" t="n"/>
      <c r="L7" s="164" t="n"/>
      <c r="M7" s="160" t="inlineStr">
        <is>
          <t>Matthias Reiser - Kard. -Dopfner-Str.</t>
        </is>
      </c>
      <c r="N7" s="164" t="n"/>
      <c r="O7" s="164" t="n"/>
      <c r="P7" s="160" t="n"/>
      <c r="Q7" s="164" t="n"/>
      <c r="R7" s="164" t="n"/>
      <c r="S7" s="160" t="inlineStr">
        <is>
          <t>Thomas Puech - 21 Brook Mews North</t>
        </is>
      </c>
      <c r="Y7" s="160" t="inlineStr">
        <is>
          <t>Danielle Richetta - Parnassusweg 7-2</t>
        </is>
      </c>
      <c r="AE7" s="160" t="inlineStr">
        <is>
          <t>Nathanaël Cohen - 82 Amberley Road</t>
        </is>
      </c>
      <c r="AK7" s="160" t="inlineStr">
        <is>
          <t>Vivie-Ann Bakos - 2121 Biscayne Boulevard</t>
        </is>
      </c>
      <c r="AQ7" s="160" t="inlineStr">
        <is>
          <t>Victoria Pariente-Cohen</t>
        </is>
      </c>
      <c r="AW7" s="160" t="inlineStr">
        <is>
          <t>Flat 4, Westfield - 15 Kidderpore Avenue</t>
        </is>
      </c>
      <c r="BC7" s="160" t="inlineStr">
        <is>
          <t>Nathanael Cohen, Director - INDIGO DIGITAL ASSET FUND LP</t>
        </is>
      </c>
      <c r="BD7" s="164" t="n"/>
      <c r="BE7" s="164" t="n"/>
      <c r="BF7" s="164" t="n"/>
      <c r="BG7" s="164" t="n"/>
      <c r="BI7" s="165" t="inlineStr">
        <is>
          <t>HAMZA &amp; HICHAM &amp; MARYIAM &amp; MOHAMED KABBAJ &amp; FATIMA SAKI</t>
        </is>
      </c>
      <c r="BO7" s="160" t="inlineStr">
        <is>
          <t>Bo De kriek</t>
        </is>
      </c>
      <c r="BU7" s="15" t="inlineStr">
        <is>
          <t>Pierre Bezençon</t>
        </is>
      </c>
      <c r="CA7" s="15" t="inlineStr">
        <is>
          <t>Matthew Beatty</t>
        </is>
      </c>
      <c r="CG7" s="15" t="inlineStr">
        <is>
          <t>Julien Grunebaum</t>
        </is>
      </c>
      <c r="CM7" s="15" t="inlineStr">
        <is>
          <t>Daniele Francilia</t>
        </is>
      </c>
      <c r="CS7" s="15" t="n"/>
      <c r="CY7" s="15" t="n"/>
      <c r="DE7" s="15" t="n"/>
      <c r="DK7" s="15" t="n"/>
      <c r="DQ7" s="15" t="n"/>
      <c r="DW7" s="15" t="n"/>
      <c r="EC7" s="15" t="n"/>
      <c r="EI7" s="15" t="n"/>
      <c r="EO7" s="15" t="n"/>
      <c r="EU7" s="15" t="n"/>
      <c r="FA7" s="15" t="n"/>
      <c r="FG7" s="15" t="n"/>
      <c r="FH7" s="11" t="n"/>
      <c r="FM7" s="15" t="n"/>
      <c r="FS7" s="15" t="n"/>
      <c r="FY7" s="15" t="n"/>
      <c r="GE7" s="15" t="n"/>
      <c r="GK7" s="15" t="n"/>
      <c r="GQ7" s="15" t="n"/>
      <c r="GW7" s="15" t="n"/>
      <c r="HC7" s="15" t="n"/>
      <c r="HI7" s="15" t="n"/>
      <c r="HO7" s="15" t="n"/>
      <c r="HU7" s="15" t="n"/>
      <c r="IA7" s="15" t="n"/>
      <c r="IG7" s="15" t="n"/>
      <c r="IM7" s="15" t="n"/>
      <c r="IS7" s="15" t="n"/>
      <c r="IY7" s="15" t="n"/>
    </row>
    <row r="8" ht="15.75" customHeight="1" s="252">
      <c r="A8" s="164" t="inlineStr">
        <is>
          <t>MIAMI BEACH, FL 33139</t>
        </is>
      </c>
      <c r="B8" s="164" t="n"/>
      <c r="C8" s="164" t="n"/>
      <c r="D8" s="164" t="n"/>
      <c r="E8" s="164" t="n"/>
      <c r="F8" s="164" t="n"/>
      <c r="G8" s="160" t="inlineStr">
        <is>
          <t>LONDON, E14 3WA – UNITED KINGDOM</t>
        </is>
      </c>
      <c r="H8" s="164" t="n"/>
      <c r="I8" s="164" t="n"/>
      <c r="J8" s="164" t="n"/>
      <c r="K8" s="164" t="n"/>
      <c r="L8" s="164" t="n"/>
      <c r="M8" s="160" t="inlineStr">
        <is>
          <t>80333 Munchen - Germany</t>
        </is>
      </c>
      <c r="N8" s="164" t="n"/>
      <c r="O8" s="164" t="n"/>
      <c r="P8" s="164" t="n"/>
      <c r="Q8" s="164" t="n"/>
      <c r="R8" s="164" t="n"/>
      <c r="S8" s="160" t="inlineStr">
        <is>
          <t>W2 3BW London - UK</t>
        </is>
      </c>
      <c r="Y8" s="160" t="inlineStr">
        <is>
          <t>1077 DA Amsterdam - Netherlands</t>
        </is>
      </c>
      <c r="AE8" s="160" t="inlineStr">
        <is>
          <t>W9 2JY London - UK</t>
        </is>
      </c>
      <c r="AK8" s="160" t="inlineStr">
        <is>
          <t>33137 Miami, FL - USA</t>
        </is>
      </c>
      <c r="AQ8" s="160" t="inlineStr">
        <is>
          <t>129 Bd Diderot, 75012, Paris, France</t>
        </is>
      </c>
      <c r="AW8" s="160" t="inlineStr">
        <is>
          <t>NW3 7SF London - UK</t>
        </is>
      </c>
      <c r="BC8" s="160" t="inlineStr">
        <is>
          <t>2121 BISCAYNE BLVD #1621 - MIAMI, FL 33137 - USA</t>
        </is>
      </c>
      <c r="BD8" s="164" t="n"/>
      <c r="BE8" s="164" t="n"/>
      <c r="BF8" s="164" t="n"/>
      <c r="BG8" s="164" t="n"/>
      <c r="BI8" s="165" t="inlineStr">
        <is>
          <t>392 MARSA DUBAI - FLAT 4102 - 71893 Dubai, UAE</t>
        </is>
      </c>
      <c r="BO8" s="160" t="inlineStr">
        <is>
          <t>Czaar peterstraat 78, Amsterdam, Noord holland, 1018PR</t>
        </is>
      </c>
      <c r="BU8" s="15" t="inlineStr">
        <is>
          <t>Switzerland, Geneva, Geneva, Switzerland</t>
        </is>
      </c>
      <c r="CA8" s="15" t="inlineStr">
        <is>
          <t>Cape Town, South Africa</t>
        </is>
      </c>
      <c r="CG8" s="15" t="inlineStr">
        <is>
          <t>Hong Kong, Hong Kong</t>
        </is>
      </c>
      <c r="CM8" s="15" t="inlineStr">
        <is>
          <t>Dubai</t>
        </is>
      </c>
      <c r="CS8" s="15" t="n"/>
      <c r="CY8" s="15" t="n"/>
      <c r="DE8" s="15" t="n"/>
      <c r="DK8" s="15" t="n"/>
      <c r="DQ8" s="15" t="n"/>
      <c r="DW8" s="15" t="n"/>
      <c r="EC8" s="15" t="n"/>
      <c r="EI8" s="15" t="n"/>
      <c r="EO8" s="15" t="n"/>
      <c r="EU8" s="15" t="n"/>
      <c r="FA8" s="15" t="n"/>
      <c r="FG8" s="15" t="n"/>
      <c r="FM8" s="15" t="n"/>
      <c r="FS8" s="15" t="n"/>
      <c r="FY8" s="15" t="n"/>
      <c r="GE8" s="15" t="n"/>
      <c r="GK8" s="15" t="n"/>
      <c r="GQ8" s="15" t="n"/>
      <c r="GW8" s="15" t="n"/>
      <c r="HC8" s="15" t="n"/>
      <c r="HI8" s="15" t="n"/>
      <c r="HO8" s="15" t="n"/>
      <c r="HU8" s="15" t="n"/>
      <c r="IA8" s="15" t="n"/>
      <c r="IG8" s="15" t="n"/>
      <c r="IM8" s="15" t="n"/>
      <c r="IS8" s="15" t="n"/>
      <c r="IY8" s="15" t="n"/>
    </row>
    <row r="9" ht="15.75" customHeight="1" s="252">
      <c r="G9" s="169" t="inlineStr">
        <is>
          <t>Out</t>
        </is>
      </c>
      <c r="M9" s="169" t="inlineStr">
        <is>
          <t>Out</t>
        </is>
      </c>
      <c r="BC9" s="169" t="inlineStr">
        <is>
          <t>Out</t>
        </is>
      </c>
      <c r="CM9" s="169" t="inlineStr">
        <is>
          <t>Out</t>
        </is>
      </c>
      <c r="EI9" s="169" t="inlineStr">
        <is>
          <t>Out</t>
        </is>
      </c>
      <c r="EU9" s="169" t="inlineStr">
        <is>
          <t>Out</t>
        </is>
      </c>
      <c r="HC9" s="169" t="inlineStr">
        <is>
          <t>Out</t>
        </is>
      </c>
    </row>
    <row r="10" ht="15.75" customHeight="1" s="252">
      <c r="A10" s="170" t="inlineStr">
        <is>
          <t>Jose MOLLA</t>
        </is>
      </c>
      <c r="G10" s="170" t="inlineStr">
        <is>
          <t>Kyle Gulamerian</t>
        </is>
      </c>
      <c r="M10" s="170" t="inlineStr">
        <is>
          <t>Matthias Reiser</t>
        </is>
      </c>
      <c r="S10" s="170" t="inlineStr">
        <is>
          <t>Thomas Puech</t>
        </is>
      </c>
      <c r="Y10" s="170" t="inlineStr">
        <is>
          <t>Danielle Richetta</t>
        </is>
      </c>
      <c r="AD10" s="171" t="n"/>
      <c r="AE10" s="170" t="inlineStr">
        <is>
          <t>Nathanaël Cohen</t>
        </is>
      </c>
      <c r="AJ10" s="171" t="n"/>
      <c r="AK10" s="170" t="inlineStr">
        <is>
          <t>Blondish</t>
        </is>
      </c>
      <c r="AP10" s="171" t="n"/>
      <c r="AQ10" s="170" t="inlineStr">
        <is>
          <t>Victoria Pariente-Cohen</t>
        </is>
      </c>
      <c r="AV10" s="171" t="n"/>
      <c r="AW10" s="170" t="inlineStr">
        <is>
          <t>Babak Eftekhari</t>
        </is>
      </c>
      <c r="BB10" s="171" t="n"/>
      <c r="BC10" s="170" t="inlineStr">
        <is>
          <t>INDIGO DIGITAL ASSET FUND LP</t>
        </is>
      </c>
      <c r="BH10" s="171" t="n"/>
      <c r="BI10" s="170" t="inlineStr">
        <is>
          <t>Kabbaj</t>
        </is>
      </c>
      <c r="BN10" s="171" t="n"/>
      <c r="BO10" s="170" t="inlineStr">
        <is>
          <t>Bo De kriek</t>
        </is>
      </c>
      <c r="BT10" s="171" t="n"/>
      <c r="BU10" s="170" t="inlineStr">
        <is>
          <t>Pierre Bezençon</t>
        </is>
      </c>
      <c r="BZ10" s="171" t="n"/>
      <c r="CA10" s="170" t="inlineStr">
        <is>
          <t>Matthew Beatty</t>
        </is>
      </c>
      <c r="CF10" s="171" t="n"/>
      <c r="CG10" s="170" t="inlineStr">
        <is>
          <t>Julien Grunebaum</t>
        </is>
      </c>
      <c r="CL10" s="171" t="n"/>
      <c r="CM10" s="170" t="inlineStr">
        <is>
          <t>Daniele Francilia</t>
        </is>
      </c>
      <c r="CR10" s="171" t="n"/>
      <c r="CS10" s="170" t="inlineStr">
        <is>
          <t>Oliver Loisel</t>
        </is>
      </c>
      <c r="CX10" s="171" t="n"/>
      <c r="CY10" s="170" t="inlineStr">
        <is>
          <t>Dario Deiana</t>
        </is>
      </c>
      <c r="DD10" s="171" t="n"/>
      <c r="DE10" s="170" t="inlineStr">
        <is>
          <t>alain bensimon</t>
        </is>
      </c>
      <c r="DJ10" s="171" t="n"/>
      <c r="DK10" s="170" t="inlineStr">
        <is>
          <t>anne cecile noique</t>
        </is>
      </c>
      <c r="DP10" s="171" t="n"/>
      <c r="DQ10" s="170" t="inlineStr">
        <is>
          <t>terance chen</t>
        </is>
      </c>
      <c r="DV10" s="171" t="n"/>
      <c r="DW10" s="170" t="inlineStr">
        <is>
          <t>Advantage Blockchain</t>
        </is>
      </c>
      <c r="EB10" s="171" t="n"/>
      <c r="EC10" s="170" t="inlineStr">
        <is>
          <t>Alec Beckman</t>
        </is>
      </c>
      <c r="EH10" s="171" t="n"/>
      <c r="EI10" s="170" t="inlineStr">
        <is>
          <t>INDIGO Ventures</t>
        </is>
      </c>
      <c r="EN10" s="171" t="n"/>
      <c r="EO10" s="170" t="inlineStr">
        <is>
          <t>Lars Ahlgreen</t>
        </is>
      </c>
      <c r="ET10" s="171" t="n"/>
      <c r="EU10" s="170" t="inlineStr">
        <is>
          <t>Paul Johnson</t>
        </is>
      </c>
      <c r="EZ10" s="171" t="n"/>
      <c r="FA10" s="170" t="inlineStr">
        <is>
          <t>Alex Jacobs</t>
        </is>
      </c>
      <c r="FF10" s="171" t="n"/>
      <c r="FG10" s="170" t="inlineStr">
        <is>
          <t>Tomer Zur</t>
        </is>
      </c>
      <c r="FL10" s="171" t="n"/>
      <c r="FM10" s="170" t="inlineStr">
        <is>
          <t>HALLEY86</t>
        </is>
      </c>
      <c r="FR10" s="171" t="n"/>
      <c r="FS10" s="170" t="inlineStr">
        <is>
          <t>Sacha Oshry</t>
        </is>
      </c>
      <c r="FX10" s="171" t="n"/>
      <c r="FY10" s="170" t="inlineStr">
        <is>
          <t>Monica Levy Chicheportiche</t>
        </is>
      </c>
      <c r="GD10" s="171" t="n"/>
      <c r="GE10" s="170" t="inlineStr">
        <is>
          <t>Nath &amp; Thomas</t>
        </is>
      </c>
      <c r="GJ10" s="171" t="n"/>
      <c r="GK10" s="170" t="inlineStr">
        <is>
          <t>Sam Johnson</t>
        </is>
      </c>
      <c r="GP10" s="171" t="n"/>
      <c r="GQ10" s="170" t="inlineStr">
        <is>
          <t>Ryan Van Der Wall</t>
        </is>
      </c>
      <c r="GV10" s="171" t="n"/>
      <c r="GW10" s="170" t="inlineStr">
        <is>
          <t>Valeria Cruz</t>
        </is>
      </c>
      <c r="HB10" s="171" t="n"/>
      <c r="HC10" s="170" t="inlineStr">
        <is>
          <t>Vivie &amp; Liana</t>
        </is>
      </c>
      <c r="HH10" s="171" t="n"/>
      <c r="HI10" s="170" t="inlineStr">
        <is>
          <t>Ventures Life Style</t>
        </is>
      </c>
      <c r="HN10" s="171" t="n"/>
      <c r="HO10" s="170" t="inlineStr">
        <is>
          <t>Joel Barbeau</t>
        </is>
      </c>
      <c r="HT10" s="171" t="n"/>
      <c r="HU10" s="170" t="inlineStr">
        <is>
          <t>Brandon Hood</t>
        </is>
      </c>
      <c r="HZ10" s="171" t="n"/>
      <c r="IA10" s="170" t="inlineStr">
        <is>
          <t>NSVO Holdings</t>
        </is>
      </c>
      <c r="IF10" s="171" t="n"/>
      <c r="IG10" s="170" t="inlineStr">
        <is>
          <t>ALOK PAVAN BATRA</t>
        </is>
      </c>
      <c r="IL10" s="171" t="n"/>
      <c r="IM10" s="170" t="inlineStr">
        <is>
          <t>Tomer Mazar</t>
        </is>
      </c>
      <c r="IR10" s="171" t="n"/>
      <c r="IS10" s="170" t="inlineStr">
        <is>
          <t>No Limit Payments</t>
        </is>
      </c>
      <c r="IX10" s="171" t="n"/>
      <c r="IY10" s="170" t="n"/>
    </row>
    <row r="11" ht="15.75" customHeight="1" s="252">
      <c r="B11" s="172" t="n"/>
      <c r="G11" s="169" t="inlineStr">
        <is>
          <t>Out</t>
        </is>
      </c>
      <c r="M11" s="169" t="inlineStr">
        <is>
          <t>Out</t>
        </is>
      </c>
      <c r="EU11" s="169" t="inlineStr">
        <is>
          <t>Out</t>
        </is>
      </c>
      <c r="GK11" s="169" t="inlineStr">
        <is>
          <t>Out</t>
        </is>
      </c>
      <c r="HC11" s="169" t="inlineStr">
        <is>
          <t>Out</t>
        </is>
      </c>
    </row>
    <row r="12" ht="15.75" customHeight="1" s="252">
      <c r="A12" s="173" t="inlineStr">
        <is>
          <t xml:space="preserve">CAPITAL ACCOUNT SUMMARY FROM </t>
        </is>
      </c>
      <c r="B12" s="256" t="n"/>
      <c r="C12" s="256" t="n"/>
      <c r="D12" s="256" t="n"/>
      <c r="E12" s="175" t="n">
        <v>45505</v>
      </c>
      <c r="G12" s="173" t="inlineStr">
        <is>
          <t xml:space="preserve">CAPITAL ACCOUNT SUMMARY FROM </t>
        </is>
      </c>
      <c r="H12" s="256" t="n"/>
      <c r="I12" s="256" t="n"/>
      <c r="J12" s="256" t="n"/>
      <c r="K12" s="175" t="n">
        <v>46041</v>
      </c>
      <c r="M12" s="173" t="inlineStr">
        <is>
          <t>CAPITAL ACCOUNT SUMMARY FROM</t>
        </is>
      </c>
      <c r="N12" s="256" t="n"/>
      <c r="O12" s="256" t="n"/>
      <c r="P12" s="256" t="n"/>
      <c r="Q12" s="176" t="n">
        <v>45566</v>
      </c>
      <c r="S12" s="173" t="inlineStr">
        <is>
          <t>CAPITAL ACCOUNT SUMMARY FROM</t>
        </is>
      </c>
      <c r="T12" s="256" t="n"/>
      <c r="U12" s="256" t="n"/>
      <c r="V12" s="256" t="n"/>
      <c r="W12" s="176" t="n">
        <v>45849</v>
      </c>
      <c r="Y12" s="173" t="inlineStr">
        <is>
          <t>CAPITAL ACCOUNT SUMMARY FROM</t>
        </is>
      </c>
      <c r="Z12" s="256" t="n"/>
      <c r="AA12" s="256" t="n"/>
      <c r="AB12" s="256" t="n"/>
      <c r="AC12" s="176" t="n">
        <v>45763</v>
      </c>
      <c r="AD12" s="177" t="n"/>
      <c r="AE12" s="173" t="inlineStr">
        <is>
          <t>CAPITAL ACCOUNT SUMMARY FROM</t>
        </is>
      </c>
      <c r="AF12" s="256" t="n"/>
      <c r="AG12" s="256" t="n"/>
      <c r="AH12" s="256" t="n"/>
      <c r="AI12" s="176" t="n">
        <v>45849</v>
      </c>
      <c r="AJ12" s="177" t="n"/>
      <c r="AK12" s="173" t="inlineStr">
        <is>
          <t>CAPITAL ACCOUNT SUMMARY FROM</t>
        </is>
      </c>
      <c r="AL12" s="256" t="n"/>
      <c r="AM12" s="256" t="n"/>
      <c r="AN12" s="256" t="n"/>
      <c r="AO12" s="176" t="n">
        <v>45849</v>
      </c>
      <c r="AP12" s="177" t="n"/>
      <c r="AQ12" s="173" t="inlineStr">
        <is>
          <t>CAPITAL ACCOUNT SUMMARY FROM</t>
        </is>
      </c>
      <c r="AR12" s="256" t="n"/>
      <c r="AS12" s="256" t="n"/>
      <c r="AT12" s="256" t="n"/>
      <c r="AU12" s="176" t="n">
        <v>45849</v>
      </c>
      <c r="AV12" s="177" t="n"/>
      <c r="AW12" s="257" t="n"/>
      <c r="AX12" s="256" t="n"/>
      <c r="AY12" s="256" t="n"/>
      <c r="AZ12" s="256" t="n"/>
      <c r="BA12" s="258" t="n"/>
      <c r="BB12" s="177" t="n"/>
      <c r="BC12" s="257" t="n"/>
      <c r="BD12" s="256" t="n"/>
      <c r="BE12" s="256" t="n"/>
      <c r="BF12" s="256" t="n"/>
      <c r="BG12" s="258" t="n"/>
      <c r="BH12" s="177" t="n"/>
      <c r="BI12" s="173" t="inlineStr">
        <is>
          <t>CAPITAL ACCOUNT SUMMARY FROM</t>
        </is>
      </c>
      <c r="BJ12" s="256" t="n"/>
      <c r="BK12" s="256" t="n"/>
      <c r="BL12" s="256" t="n"/>
      <c r="BM12" s="176" t="n">
        <v>45819</v>
      </c>
      <c r="BN12" s="177" t="n"/>
      <c r="BO12" s="257" t="n"/>
      <c r="BP12" s="256" t="n"/>
      <c r="BQ12" s="256" t="n"/>
      <c r="BR12" s="256" t="n"/>
      <c r="BS12" s="258" t="n"/>
      <c r="BT12" s="177" t="n"/>
      <c r="BU12" s="257" t="n"/>
      <c r="BV12" s="256" t="n"/>
      <c r="BW12" s="256" t="n"/>
      <c r="BX12" s="256" t="n"/>
      <c r="BY12" s="258" t="n"/>
      <c r="BZ12" s="177" t="n"/>
      <c r="CA12" s="257" t="n"/>
      <c r="CB12" s="256" t="n"/>
      <c r="CC12" s="256" t="n"/>
      <c r="CD12" s="256" t="n"/>
      <c r="CE12" s="258" t="n"/>
      <c r="CF12" s="177" t="n"/>
      <c r="CG12" s="257" t="n"/>
      <c r="CH12" s="256" t="n"/>
      <c r="CI12" s="256" t="n"/>
      <c r="CJ12" s="256" t="n"/>
      <c r="CK12" s="258" t="n"/>
      <c r="CL12" s="177" t="n"/>
      <c r="CM12" s="257" t="n"/>
      <c r="CN12" s="256" t="n"/>
      <c r="CO12" s="256" t="n"/>
      <c r="CP12" s="256" t="n"/>
      <c r="CQ12" s="258" t="n"/>
      <c r="CR12" s="177" t="n"/>
      <c r="CS12" s="173" t="inlineStr">
        <is>
          <t>CAPITAL ACCOUNT SUMMARY FROM</t>
        </is>
      </c>
      <c r="CT12" s="256" t="n"/>
      <c r="CU12" s="256" t="n"/>
      <c r="CV12" s="256" t="n"/>
      <c r="CW12" s="176" t="n">
        <v>45862</v>
      </c>
      <c r="CX12" s="177" t="n"/>
      <c r="CY12" s="257" t="n"/>
      <c r="CZ12" s="256" t="n"/>
      <c r="DA12" s="256" t="n"/>
      <c r="DB12" s="256" t="n"/>
      <c r="DC12" s="258" t="n"/>
      <c r="DD12" s="177" t="n"/>
      <c r="DE12" s="257" t="n"/>
      <c r="DF12" s="256" t="n"/>
      <c r="DG12" s="256" t="n"/>
      <c r="DH12" s="256" t="n"/>
      <c r="DI12" s="258" t="n"/>
      <c r="DJ12" s="177" t="n"/>
      <c r="DK12" s="257" t="n"/>
      <c r="DL12" s="256" t="n"/>
      <c r="DM12" s="256" t="n"/>
      <c r="DN12" s="256" t="n"/>
      <c r="DO12" s="258" t="n"/>
      <c r="DP12" s="177" t="n"/>
      <c r="DQ12" s="257" t="n"/>
      <c r="DR12" s="256" t="n"/>
      <c r="DS12" s="256" t="n"/>
      <c r="DT12" s="256" t="n"/>
      <c r="DU12" s="258" t="n"/>
      <c r="DV12" s="177" t="n"/>
      <c r="DW12" s="257" t="n"/>
      <c r="DX12" s="256" t="n"/>
      <c r="DY12" s="256" t="n"/>
      <c r="DZ12" s="256" t="n"/>
      <c r="EA12" s="258" t="n"/>
      <c r="EB12" s="177" t="n"/>
      <c r="EC12" s="257" t="n"/>
      <c r="ED12" s="256" t="n"/>
      <c r="EE12" s="256" t="n"/>
      <c r="EF12" s="256" t="n"/>
      <c r="EG12" s="258" t="n"/>
      <c r="EH12" s="177" t="n"/>
      <c r="EI12" s="257" t="n"/>
      <c r="EJ12" s="256" t="n"/>
      <c r="EK12" s="256" t="n"/>
      <c r="EL12" s="256" t="n"/>
      <c r="EM12" s="258" t="n"/>
      <c r="EN12" s="177" t="n"/>
      <c r="EO12" s="257" t="n"/>
      <c r="EP12" s="256" t="n"/>
      <c r="EQ12" s="256" t="n"/>
      <c r="ER12" s="256" t="n"/>
      <c r="ES12" s="258" t="n"/>
      <c r="ET12" s="177" t="n"/>
      <c r="EU12" s="173" t="inlineStr">
        <is>
          <t>CAPITAL ACCOUNT SUMMARY FROM</t>
        </is>
      </c>
      <c r="EV12" s="256" t="n"/>
      <c r="EW12" s="256" t="n"/>
      <c r="EX12" s="256" t="n"/>
      <c r="EY12" s="176" t="n">
        <v>45933</v>
      </c>
      <c r="EZ12" s="177" t="n"/>
      <c r="FA12" s="173" t="inlineStr">
        <is>
          <t>CAPITAL ACCOUNT SUMMARY FROM</t>
        </is>
      </c>
      <c r="FB12" s="256" t="n"/>
      <c r="FC12" s="256" t="n"/>
      <c r="FD12" s="256" t="n"/>
      <c r="FE12" s="176" t="n">
        <v>45953</v>
      </c>
      <c r="FF12" s="177" t="n"/>
      <c r="FG12" s="257" t="n"/>
      <c r="FH12" s="256" t="n"/>
      <c r="FI12" s="256" t="n"/>
      <c r="FJ12" s="256" t="n"/>
      <c r="FK12" s="258" t="n"/>
      <c r="FL12" s="177" t="n"/>
      <c r="FM12" s="257" t="n"/>
      <c r="FN12" s="256" t="n"/>
      <c r="FO12" s="256" t="n"/>
      <c r="FP12" s="256" t="n"/>
      <c r="FQ12" s="258" t="n"/>
      <c r="FR12" s="177" t="n"/>
      <c r="FS12" s="257" t="n"/>
      <c r="FT12" s="256" t="n"/>
      <c r="FU12" s="256" t="n"/>
      <c r="FV12" s="256" t="n"/>
      <c r="FW12" s="258" t="n"/>
      <c r="FX12" s="177" t="n"/>
      <c r="FY12" s="257" t="n"/>
      <c r="FZ12" s="256" t="n"/>
      <c r="GA12" s="256" t="n"/>
      <c r="GB12" s="256" t="n"/>
      <c r="GC12" s="258" t="n"/>
      <c r="GD12" s="177" t="n"/>
      <c r="GE12" s="173" t="inlineStr">
        <is>
          <t>CAPITAL ACCOUNT SUMMARY FROM</t>
        </is>
      </c>
      <c r="GF12" s="256" t="n"/>
      <c r="GG12" s="256" t="n"/>
      <c r="GH12" s="256" t="n"/>
      <c r="GI12" s="179" t="n">
        <v>45988</v>
      </c>
      <c r="GJ12" s="177" t="n"/>
      <c r="GK12" s="173" t="inlineStr">
        <is>
          <t>CAPITAL ACCOUNT SUMMARY FROM</t>
        </is>
      </c>
      <c r="GL12" s="256" t="n"/>
      <c r="GM12" s="256" t="n"/>
      <c r="GN12" s="256" t="n"/>
      <c r="GO12" s="176" t="n">
        <v>45978</v>
      </c>
      <c r="GP12" s="177" t="n"/>
      <c r="GQ12" s="173" t="inlineStr">
        <is>
          <t>CAPITAL ACCOUNT SUMMARY FROM</t>
        </is>
      </c>
      <c r="GR12" s="256" t="n"/>
      <c r="GS12" s="256" t="n"/>
      <c r="GT12" s="256" t="n"/>
      <c r="GU12" s="176" t="n">
        <v>45988</v>
      </c>
      <c r="GV12" s="177" t="n"/>
      <c r="GW12" s="257" t="n"/>
      <c r="GX12" s="256" t="n"/>
      <c r="GY12" s="256" t="n"/>
      <c r="GZ12" s="256" t="n"/>
      <c r="HA12" s="258" t="n"/>
      <c r="HB12" s="177" t="n"/>
      <c r="HC12" s="173" t="inlineStr">
        <is>
          <t>CAPITAL ACCOUNT SUMMARY FROM</t>
        </is>
      </c>
      <c r="HD12" s="256" t="n"/>
      <c r="HE12" s="256" t="n"/>
      <c r="HF12" s="256" t="n"/>
      <c r="HG12" s="176" t="n">
        <v>45988</v>
      </c>
      <c r="HH12" s="177" t="n"/>
      <c r="HI12" s="257" t="n"/>
      <c r="HJ12" s="256" t="n"/>
      <c r="HK12" s="256" t="n"/>
      <c r="HL12" s="256" t="n"/>
      <c r="HM12" s="258" t="n"/>
      <c r="HN12" s="177" t="n"/>
      <c r="HO12" s="257" t="n"/>
      <c r="HP12" s="256" t="n"/>
      <c r="HQ12" s="256" t="n"/>
      <c r="HR12" s="256" t="n"/>
      <c r="HS12" s="258" t="n"/>
      <c r="HT12" s="177" t="n"/>
      <c r="HU12" s="257" t="n"/>
      <c r="HV12" s="256" t="n"/>
      <c r="HW12" s="256" t="n"/>
      <c r="HX12" s="256" t="n"/>
      <c r="HY12" s="258" t="n"/>
      <c r="HZ12" s="177" t="n"/>
      <c r="IA12" s="173" t="inlineStr">
        <is>
          <t>CAPITAL ACCOUNT SUMMARY FROM</t>
        </is>
      </c>
      <c r="IB12" s="256" t="n"/>
      <c r="IC12" s="256" t="n"/>
      <c r="ID12" s="256" t="n"/>
      <c r="IE12" s="176" t="n">
        <v>46035</v>
      </c>
      <c r="IF12" s="177" t="n"/>
      <c r="IG12" s="173" t="inlineStr">
        <is>
          <t>CAPITAL ACCOUNT SUMMARY FROM</t>
        </is>
      </c>
      <c r="IH12" s="256" t="n"/>
      <c r="II12" s="256" t="n"/>
      <c r="IJ12" s="256" t="n"/>
      <c r="IK12" s="176" t="n">
        <v>46065</v>
      </c>
      <c r="IL12" s="177" t="n"/>
      <c r="IM12" s="257" t="n"/>
      <c r="IN12" s="256" t="n"/>
      <c r="IO12" s="256" t="n"/>
      <c r="IP12" s="256" t="n"/>
      <c r="IQ12" s="258" t="n"/>
      <c r="IR12" s="177" t="n"/>
      <c r="IS12" s="257" t="n"/>
      <c r="IT12" s="256" t="n"/>
      <c r="IU12" s="256" t="n"/>
      <c r="IV12" s="256" t="n"/>
      <c r="IW12" s="258" t="n"/>
      <c r="IX12" s="177" t="n"/>
      <c r="IY12" s="257" t="n"/>
      <c r="IZ12" s="256" t="n"/>
      <c r="JA12" s="256" t="n"/>
      <c r="JB12" s="256" t="n"/>
      <c r="JC12" s="258" t="n"/>
    </row>
    <row r="13" ht="15.75" customHeight="1" s="252">
      <c r="A13" s="180" t="n"/>
      <c r="B13" s="181" t="inlineStr">
        <is>
          <t>MTD (BTC)</t>
        </is>
      </c>
      <c r="C13" s="181" t="inlineStr">
        <is>
          <t>QTD (BTC)</t>
        </is>
      </c>
      <c r="D13" s="181" t="inlineStr">
        <is>
          <t>YTD (BTC)</t>
        </is>
      </c>
      <c r="E13" s="182" t="inlineStr">
        <is>
          <t>ITD (BTC)</t>
        </is>
      </c>
      <c r="G13" s="180" t="n"/>
      <c r="H13" s="181" t="inlineStr">
        <is>
          <t>MTD (BTC)</t>
        </is>
      </c>
      <c r="I13" s="181" t="inlineStr">
        <is>
          <t>QTD (BTC)</t>
        </is>
      </c>
      <c r="J13" s="181" t="inlineStr">
        <is>
          <t>YTD (BTC)</t>
        </is>
      </c>
      <c r="K13" s="182" t="inlineStr">
        <is>
          <t>ITD (BTC)</t>
        </is>
      </c>
      <c r="M13" s="180" t="n"/>
      <c r="N13" s="181" t="inlineStr">
        <is>
          <t>MTD (BTC)</t>
        </is>
      </c>
      <c r="O13" s="181" t="inlineStr">
        <is>
          <t>QTD (BTC)</t>
        </is>
      </c>
      <c r="P13" s="181" t="inlineStr">
        <is>
          <t>YTD (BTC)</t>
        </is>
      </c>
      <c r="Q13" s="182" t="inlineStr">
        <is>
          <t>ITD (BTC)</t>
        </is>
      </c>
      <c r="S13" s="180" t="n"/>
      <c r="T13" s="181" t="inlineStr">
        <is>
          <t>MTD (BTC)</t>
        </is>
      </c>
      <c r="U13" s="181" t="inlineStr">
        <is>
          <t>QTD (BTC)</t>
        </is>
      </c>
      <c r="V13" s="181" t="inlineStr">
        <is>
          <t>YTD (BTC)</t>
        </is>
      </c>
      <c r="W13" s="182" t="inlineStr">
        <is>
          <t>ITD (BTC)</t>
        </is>
      </c>
      <c r="Y13" s="180" t="n"/>
      <c r="Z13" s="181" t="inlineStr">
        <is>
          <t>MTD (BTC)</t>
        </is>
      </c>
      <c r="AA13" s="181" t="inlineStr">
        <is>
          <t>QTD (BTC)</t>
        </is>
      </c>
      <c r="AB13" s="181" t="inlineStr">
        <is>
          <t>YTD (BTC)</t>
        </is>
      </c>
      <c r="AC13" s="182" t="inlineStr">
        <is>
          <t>ITD (BTC)</t>
        </is>
      </c>
      <c r="AD13" s="84" t="n"/>
      <c r="AE13" s="180" t="n"/>
      <c r="AF13" s="181" t="inlineStr">
        <is>
          <t>MTD (BTC)</t>
        </is>
      </c>
      <c r="AG13" s="181" t="inlineStr">
        <is>
          <t>QTD (BTC)</t>
        </is>
      </c>
      <c r="AH13" s="181" t="inlineStr">
        <is>
          <t>YTD (BTC)</t>
        </is>
      </c>
      <c r="AI13" s="182" t="inlineStr">
        <is>
          <t>ITD (BTC)</t>
        </is>
      </c>
      <c r="AJ13" s="84" t="n"/>
      <c r="AK13" s="180" t="n"/>
      <c r="AL13" s="181" t="inlineStr">
        <is>
          <t>MTD (BTC)</t>
        </is>
      </c>
      <c r="AM13" s="181" t="inlineStr">
        <is>
          <t>QTD (BTC)</t>
        </is>
      </c>
      <c r="AN13" s="181" t="inlineStr">
        <is>
          <t>YTD (BTC)</t>
        </is>
      </c>
      <c r="AO13" s="182" t="inlineStr">
        <is>
          <t>ITD (BTC)</t>
        </is>
      </c>
      <c r="AP13" s="84" t="n"/>
      <c r="AQ13" s="180" t="n"/>
      <c r="AR13" s="181" t="inlineStr">
        <is>
          <t>MTD (BTC)</t>
        </is>
      </c>
      <c r="AS13" s="181" t="inlineStr">
        <is>
          <t>QTD (BTC)</t>
        </is>
      </c>
      <c r="AT13" s="181" t="inlineStr">
        <is>
          <t>YTD (BTC)</t>
        </is>
      </c>
      <c r="AU13" s="182" t="inlineStr">
        <is>
          <t>ITD (BTC)</t>
        </is>
      </c>
      <c r="AV13" s="84" t="n"/>
      <c r="AW13" s="180" t="n"/>
      <c r="AX13" s="181" t="n"/>
      <c r="AY13" s="181" t="n"/>
      <c r="AZ13" s="181" t="n"/>
      <c r="BA13" s="182" t="n"/>
      <c r="BB13" s="84" t="n"/>
      <c r="BC13" s="180" t="n"/>
      <c r="BD13" s="181" t="n"/>
      <c r="BE13" s="181" t="n"/>
      <c r="BF13" s="181" t="n"/>
      <c r="BG13" s="182" t="n"/>
      <c r="BH13" s="84" t="n"/>
      <c r="BI13" s="180" t="n"/>
      <c r="BJ13" s="181" t="inlineStr">
        <is>
          <t>MTD (BTC)</t>
        </is>
      </c>
      <c r="BK13" s="181" t="inlineStr">
        <is>
          <t>QTD (BTC)</t>
        </is>
      </c>
      <c r="BL13" s="181" t="inlineStr">
        <is>
          <t>YTD (BTC)</t>
        </is>
      </c>
      <c r="BM13" s="182" t="inlineStr">
        <is>
          <t>ITD (BTC)</t>
        </is>
      </c>
      <c r="BN13" s="84" t="n"/>
      <c r="BO13" s="180" t="n"/>
      <c r="BP13" s="181" t="n"/>
      <c r="BQ13" s="181" t="n"/>
      <c r="BR13" s="181" t="n"/>
      <c r="BS13" s="182" t="n"/>
      <c r="BT13" s="84" t="n"/>
      <c r="BU13" s="180" t="n"/>
      <c r="BV13" s="181" t="n"/>
      <c r="BW13" s="181" t="n"/>
      <c r="BX13" s="181" t="n"/>
      <c r="BY13" s="182" t="n"/>
      <c r="BZ13" s="84" t="n"/>
      <c r="CA13" s="180" t="n"/>
      <c r="CB13" s="181" t="n"/>
      <c r="CC13" s="181" t="n"/>
      <c r="CD13" s="181" t="n"/>
      <c r="CE13" s="182" t="n"/>
      <c r="CF13" s="84" t="n"/>
      <c r="CG13" s="180" t="n"/>
      <c r="CH13" s="181" t="n"/>
      <c r="CI13" s="181" t="n"/>
      <c r="CJ13" s="181" t="n"/>
      <c r="CK13" s="182" t="n"/>
      <c r="CL13" s="84" t="n"/>
      <c r="CM13" s="180" t="n"/>
      <c r="CN13" s="181" t="n"/>
      <c r="CO13" s="181" t="n"/>
      <c r="CP13" s="181" t="n"/>
      <c r="CQ13" s="182" t="n"/>
      <c r="CR13" s="84" t="n"/>
      <c r="CS13" s="180" t="n"/>
      <c r="CT13" s="181" t="inlineStr">
        <is>
          <t>MTD (BTC)</t>
        </is>
      </c>
      <c r="CU13" s="181" t="inlineStr">
        <is>
          <t>QTD (BTC)</t>
        </is>
      </c>
      <c r="CV13" s="181" t="inlineStr">
        <is>
          <t>YTD (BTC)</t>
        </is>
      </c>
      <c r="CW13" s="182" t="inlineStr">
        <is>
          <t>ITD (BTC)</t>
        </is>
      </c>
      <c r="CX13" s="84" t="n"/>
      <c r="CY13" s="180" t="n"/>
      <c r="CZ13" s="181" t="n"/>
      <c r="DA13" s="181" t="n"/>
      <c r="DB13" s="181" t="n"/>
      <c r="DC13" s="182" t="n"/>
      <c r="DD13" s="84" t="n"/>
      <c r="DE13" s="180" t="n"/>
      <c r="DF13" s="181" t="n"/>
      <c r="DG13" s="181" t="n"/>
      <c r="DH13" s="181" t="n"/>
      <c r="DI13" s="182" t="n"/>
      <c r="DJ13" s="84" t="n"/>
      <c r="DK13" s="180" t="n"/>
      <c r="DL13" s="181" t="n"/>
      <c r="DM13" s="181" t="n"/>
      <c r="DN13" s="181" t="n"/>
      <c r="DO13" s="182" t="n"/>
      <c r="DP13" s="84" t="n"/>
      <c r="DQ13" s="180" t="n"/>
      <c r="DR13" s="181" t="n"/>
      <c r="DS13" s="181" t="n"/>
      <c r="DT13" s="181" t="n"/>
      <c r="DU13" s="182" t="n"/>
      <c r="DV13" s="84" t="n"/>
      <c r="DW13" s="180" t="n"/>
      <c r="DX13" s="181" t="n"/>
      <c r="DY13" s="181" t="n"/>
      <c r="DZ13" s="181" t="n"/>
      <c r="EA13" s="182" t="n"/>
      <c r="EB13" s="84" t="n"/>
      <c r="EC13" s="180" t="n"/>
      <c r="ED13" s="181" t="n"/>
      <c r="EE13" s="181" t="n"/>
      <c r="EF13" s="181" t="n"/>
      <c r="EG13" s="182" t="n"/>
      <c r="EH13" s="84" t="n"/>
      <c r="EI13" s="180" t="n"/>
      <c r="EJ13" s="181" t="n"/>
      <c r="EK13" s="181" t="n"/>
      <c r="EL13" s="181" t="n"/>
      <c r="EM13" s="182" t="n"/>
      <c r="EN13" s="84" t="n"/>
      <c r="EO13" s="180" t="n"/>
      <c r="EP13" s="181" t="n"/>
      <c r="EQ13" s="181" t="n"/>
      <c r="ER13" s="181" t="n"/>
      <c r="ES13" s="182" t="n"/>
      <c r="ET13" s="84" t="n"/>
      <c r="EU13" s="180" t="n"/>
      <c r="EV13" s="181" t="inlineStr">
        <is>
          <t>MTD (BTC)</t>
        </is>
      </c>
      <c r="EW13" s="181" t="inlineStr">
        <is>
          <t>QTD (BTC)</t>
        </is>
      </c>
      <c r="EX13" s="181" t="inlineStr">
        <is>
          <t>YTD (BTC)</t>
        </is>
      </c>
      <c r="EY13" s="182" t="inlineStr">
        <is>
          <t>ITD (BTC)</t>
        </is>
      </c>
      <c r="EZ13" s="84" t="n"/>
      <c r="FA13" s="180" t="n"/>
      <c r="FB13" s="181" t="inlineStr">
        <is>
          <t>MTD (BTC)</t>
        </is>
      </c>
      <c r="FC13" s="181" t="inlineStr">
        <is>
          <t>QTD (BTC)</t>
        </is>
      </c>
      <c r="FD13" s="181" t="inlineStr">
        <is>
          <t>YTD (BTC)</t>
        </is>
      </c>
      <c r="FE13" s="182" t="inlineStr">
        <is>
          <t>ITD (BTC)</t>
        </is>
      </c>
      <c r="FF13" s="84" t="n"/>
      <c r="FG13" s="180" t="n"/>
      <c r="FH13" s="181" t="n"/>
      <c r="FI13" s="181" t="n"/>
      <c r="FJ13" s="181" t="n"/>
      <c r="FK13" s="182" t="n"/>
      <c r="FL13" s="84" t="n"/>
      <c r="FM13" s="180" t="n"/>
      <c r="FN13" s="181" t="n"/>
      <c r="FO13" s="181" t="n"/>
      <c r="FP13" s="181" t="n"/>
      <c r="FQ13" s="182" t="n"/>
      <c r="FR13" s="84" t="n"/>
      <c r="FS13" s="180" t="n"/>
      <c r="FT13" s="181" t="n"/>
      <c r="FU13" s="181" t="n"/>
      <c r="FV13" s="181" t="n"/>
      <c r="FW13" s="182" t="n"/>
      <c r="FX13" s="84" t="n"/>
      <c r="FY13" s="180" t="n"/>
      <c r="FZ13" s="181" t="n"/>
      <c r="GA13" s="181" t="n"/>
      <c r="GB13" s="181" t="n"/>
      <c r="GC13" s="182" t="n"/>
      <c r="GD13" s="84" t="n"/>
      <c r="GE13" s="180" t="n"/>
      <c r="GF13" s="181" t="inlineStr">
        <is>
          <t>MTD (BTC)</t>
        </is>
      </c>
      <c r="GG13" s="181" t="inlineStr">
        <is>
          <t>QTD (BTC)</t>
        </is>
      </c>
      <c r="GH13" s="181" t="inlineStr">
        <is>
          <t>YTD (BTC)</t>
        </is>
      </c>
      <c r="GI13" s="182" t="inlineStr">
        <is>
          <t>ITD (BTC)</t>
        </is>
      </c>
      <c r="GJ13" s="84" t="n"/>
      <c r="GK13" s="180" t="n"/>
      <c r="GL13" s="181" t="inlineStr">
        <is>
          <t>MTD (BTC)</t>
        </is>
      </c>
      <c r="GM13" s="181" t="inlineStr">
        <is>
          <t>QTD (BTC)</t>
        </is>
      </c>
      <c r="GN13" s="181" t="inlineStr">
        <is>
          <t>YTD (BTC)</t>
        </is>
      </c>
      <c r="GO13" s="182" t="inlineStr">
        <is>
          <t>ITD (BTC)</t>
        </is>
      </c>
      <c r="GP13" s="84" t="n"/>
      <c r="GQ13" s="180" t="n"/>
      <c r="GR13" s="181" t="inlineStr">
        <is>
          <t>MTD (BTC)</t>
        </is>
      </c>
      <c r="GS13" s="181" t="inlineStr">
        <is>
          <t>QTD (BTC)</t>
        </is>
      </c>
      <c r="GT13" s="181" t="inlineStr">
        <is>
          <t>YTD (BTC)</t>
        </is>
      </c>
      <c r="GU13" s="182" t="inlineStr">
        <is>
          <t>ITD (BTC)</t>
        </is>
      </c>
      <c r="GV13" s="84" t="n"/>
      <c r="GW13" s="180" t="n"/>
      <c r="GX13" s="181" t="n"/>
      <c r="GY13" s="181" t="n"/>
      <c r="GZ13" s="181" t="n"/>
      <c r="HA13" s="182" t="n"/>
      <c r="HB13" s="84" t="n"/>
      <c r="HC13" s="180" t="n"/>
      <c r="HD13" s="181" t="inlineStr">
        <is>
          <t>MTD (BTC)</t>
        </is>
      </c>
      <c r="HE13" s="181" t="inlineStr">
        <is>
          <t>QTD (BTC)</t>
        </is>
      </c>
      <c r="HF13" s="181" t="inlineStr">
        <is>
          <t>YTD (BTC)</t>
        </is>
      </c>
      <c r="HG13" s="182" t="inlineStr">
        <is>
          <t>ITD (BTC)</t>
        </is>
      </c>
      <c r="HH13" s="84" t="n"/>
      <c r="HI13" s="180" t="n"/>
      <c r="HJ13" s="181" t="n"/>
      <c r="HK13" s="181" t="n"/>
      <c r="HL13" s="181" t="n"/>
      <c r="HM13" s="182" t="n"/>
      <c r="HN13" s="84" t="n"/>
      <c r="HO13" s="180" t="n"/>
      <c r="HP13" s="181" t="n"/>
      <c r="HQ13" s="181" t="n"/>
      <c r="HR13" s="181" t="n"/>
      <c r="HS13" s="182" t="n"/>
      <c r="HT13" s="84" t="n"/>
      <c r="HU13" s="180" t="n"/>
      <c r="HV13" s="181" t="n"/>
      <c r="HW13" s="181" t="n"/>
      <c r="HX13" s="181" t="n"/>
      <c r="HY13" s="182" t="n"/>
      <c r="HZ13" s="84" t="n"/>
      <c r="IA13" s="180" t="n"/>
      <c r="IB13" s="181" t="inlineStr">
        <is>
          <t>MTD (BTC)</t>
        </is>
      </c>
      <c r="IC13" s="181" t="inlineStr">
        <is>
          <t>QTD (BTC)</t>
        </is>
      </c>
      <c r="ID13" s="181" t="inlineStr">
        <is>
          <t>YTD (BTC)</t>
        </is>
      </c>
      <c r="IE13" s="182" t="inlineStr">
        <is>
          <t>ITD (BTC)</t>
        </is>
      </c>
      <c r="IF13" s="84" t="n"/>
      <c r="IG13" s="180" t="n"/>
      <c r="IH13" s="181" t="inlineStr">
        <is>
          <t>MTD (BTC)</t>
        </is>
      </c>
      <c r="II13" s="181" t="inlineStr">
        <is>
          <t>QTD (BTC)</t>
        </is>
      </c>
      <c r="IJ13" s="181" t="inlineStr">
        <is>
          <t>YTD (BTC)</t>
        </is>
      </c>
      <c r="IK13" s="182" t="inlineStr">
        <is>
          <t>ITD (BTC)</t>
        </is>
      </c>
      <c r="IL13" s="84" t="n"/>
      <c r="IM13" s="180" t="n"/>
      <c r="IN13" s="181" t="n"/>
      <c r="IO13" s="181" t="n"/>
      <c r="IP13" s="181" t="n"/>
      <c r="IQ13" s="182" t="n"/>
      <c r="IR13" s="84" t="n"/>
      <c r="IS13" s="180" t="n"/>
      <c r="IT13" s="181" t="n"/>
      <c r="IU13" s="181" t="n"/>
      <c r="IV13" s="181" t="n"/>
      <c r="IW13" s="182" t="n"/>
      <c r="IX13" s="84" t="n"/>
      <c r="IY13" s="180" t="n"/>
      <c r="IZ13" s="181" t="n"/>
      <c r="JA13" s="181" t="n"/>
      <c r="JB13" s="181" t="n"/>
      <c r="JC13" s="182" t="n"/>
    </row>
    <row r="14" ht="15.75" customHeight="1" s="252">
      <c r="A14" s="183" t="inlineStr">
        <is>
          <t>Beginning Balance</t>
        </is>
      </c>
      <c r="B14" s="184">
        <f t="array" ref="B14">index('BTC Yield Fund'!$A$8:$EL$1008,MATCH(A$10,'BTC Yield Fund'!$A$8:$A$1008,0),MATCH(IF(E12&gt;$D$2,E12,$D$2),'BTC Yield Fund'!$A$8:$EL$8,0))</f>
        <v/>
      </c>
      <c r="C14" s="184">
        <f t="array" ref="C14">index('BTC Yield Fund'!$A$8:$EL$1008,MATCH(A$10,'BTC Yield Fund'!$A$8:$A$1008,0),MATCH(IF(E12&gt;$D$3,E12,$D$3),'BTC Yield Fund'!$A$8:$EL$8,0))</f>
        <v/>
      </c>
      <c r="D14" s="184">
        <f t="array" ref="D14">index('BTC Yield Fund'!$A$8:$EL$1008,MATCH(A$10,'BTC Yield Fund'!$A$8:$A$1008,0),MATCH(IF(E12&gt;$D$4,E12,$D$4),'BTC Yield Fund'!$A$8:$EL$8,0))</f>
        <v/>
      </c>
      <c r="E14" s="185">
        <f t="array" ref="E14">index('BTC Yield Fund'!$A$8:$EL$1008,MATCH(A$10,'BTC Yield Fund'!$A$8:$A$1008,0),MATCH(E12,'BTC Yield Fund'!$A$8:$EL$8,0))</f>
        <v/>
      </c>
      <c r="G14" s="183" t="inlineStr">
        <is>
          <t>Beginning Balance</t>
        </is>
      </c>
      <c r="H14" s="184">
        <f t="array" ref="H14">index('BTC Yield Fund'!$A$8:$EL$1008,MATCH(G$10,'BTC Yield Fund'!$A$8:$A$1008,0),MATCH(IF(K12&gt;$D$2,K12,$D$2),'BTC Yield Fund'!$A$8:$EL$8,0))</f>
        <v/>
      </c>
      <c r="I14" s="184">
        <f t="array" ref="I14">index('BTC Yield Fund'!$A$8:$EL$1008,MATCH(G$10,'BTC Yield Fund'!$A$8:$A$1008,0),MATCH(IF(K12&gt;$D$3,K12,$D$3),'BTC Yield Fund'!$A$8:$EL$8,0))</f>
        <v/>
      </c>
      <c r="J14" s="184">
        <f t="array" ref="J14">index('BTC Yield Fund'!$A$8:$EL$1008,MATCH(G$10,'BTC Yield Fund'!$A$8:$A$1008,0),MATCH(IF(K12&gt;$D$4,K12,$D$4),'BTC Yield Fund'!$A$8:$EL$8,0))</f>
        <v/>
      </c>
      <c r="K14" s="185">
        <f t="array" ref="K14">index('BTC Yield Fund'!$A$8:$EL$1008,MATCH(G$10,'BTC Yield Fund'!$A$8:$A$1008,0),MATCH(K12,'BTC Yield Fund'!$A$8:$EL$8,0))</f>
        <v/>
      </c>
      <c r="M14" s="183" t="inlineStr">
        <is>
          <t>Beginning Balance</t>
        </is>
      </c>
      <c r="N14" s="184">
        <f t="array" ref="N14">index('BTC Yield Fund'!$A$8:$EL$1008,MATCH(M$10,'BTC Yield Fund'!$A$8:$A$1008,0),MATCH(IF(Q12&gt;$D$2,Q12,$D$2),'BTC Yield Fund'!$A$8:$EL$8,0))</f>
        <v/>
      </c>
      <c r="O14" s="184">
        <f t="array" ref="O14">index('BTC Yield Fund'!$A$8:$EL$1008,MATCH(M$10,'BTC Yield Fund'!$A$8:$A$1008,0),MATCH(IF(Q12&gt;$D$3,Q12,$D$3),'BTC Yield Fund'!$A$8:$EL$8,0))</f>
        <v/>
      </c>
      <c r="P14" s="184">
        <f t="array" ref="P14">index('BTC Yield Fund'!$A$8:$EL$1008,MATCH(M$10,'BTC Yield Fund'!$A$8:$A$1008,0),MATCH(IF(Q12&gt;$D$4,Q12,$D$4),'BTC Yield Fund'!$A$8:$EL$8,0))</f>
        <v/>
      </c>
      <c r="Q14" s="185">
        <f t="array" ref="Q14">index('BTC Yield Fund'!$A$8:$EL$1008,MATCH(M$10,'BTC Yield Fund'!$A$8:$A$1008,0),MATCH(Q12,'BTC Yield Fund'!$A$8:$EL$8,0))</f>
        <v/>
      </c>
      <c r="S14" s="183" t="inlineStr">
        <is>
          <t>Beginning Balance</t>
        </is>
      </c>
      <c r="T14" s="184">
        <f t="array" ref="T14">index('BTC Yield Fund'!$A$8:$EL$1008,MATCH(S$10,'BTC Yield Fund'!$A$8:$A$1008,0),MATCH(IF(W12&gt;$D$2,W12,$D$2),'BTC Yield Fund'!$A$8:$EL$8,0))</f>
        <v/>
      </c>
      <c r="U14" s="184">
        <f t="array" ref="U14">index('BTC Yield Fund'!$A$8:$EL$1008,MATCH(S$10,'BTC Yield Fund'!$A$8:$A$1008,0),MATCH(IF(W12&gt;$D$3,W12,$D$3),'BTC Yield Fund'!$A$8:$EL$8,0))</f>
        <v/>
      </c>
      <c r="V14" s="184">
        <f t="array" ref="V14">index('BTC Yield Fund'!$A$8:$EL$1008,MATCH(S$10,'BTC Yield Fund'!$A$8:$A$1008,0),MATCH(IF(W12&gt;$D$4,W12,$D$4),'BTC Yield Fund'!$A$8:$EL$8,0))</f>
        <v/>
      </c>
      <c r="W14" s="185">
        <f t="array" ref="W14">index('BTC Yield Fund'!$A$8:$EL$1008,MATCH(S$10,'BTC Yield Fund'!$A$8:$A$1008,0),MATCH(W12,'BTC Yield Fund'!$A$8:$EL$8,0))</f>
        <v/>
      </c>
      <c r="Y14" s="183" t="inlineStr">
        <is>
          <t>Beginning Balance</t>
        </is>
      </c>
      <c r="Z14" s="184">
        <f t="array" ref="Z14">index('BTC Yield Fund'!$A$8:$EL$1008,MATCH(Y$10,'BTC Yield Fund'!$A$8:$A$1008,0),MATCH(IF(AC12&gt;$D$2,AC12,$D$2),'BTC Yield Fund'!$A$8:$EL$8,0))</f>
        <v/>
      </c>
      <c r="AA14" s="184">
        <f t="array" ref="AA14">index('BTC Yield Fund'!$A$8:$EL$1008,MATCH(Y$10,'BTC Yield Fund'!$A$8:$A$1008,0),MATCH(IF(AC12&gt;$D$3,AC12,$D$3),'BTC Yield Fund'!$A$8:$EL$8,0))</f>
        <v/>
      </c>
      <c r="AB14" s="184">
        <f t="array" ref="AB14">index('BTC Yield Fund'!$A$8:$EL$1008,MATCH(Y$10,'BTC Yield Fund'!$A$8:$A$1008,0),MATCH(IF(AC12&gt;$D$4,AC12,$D$4),'BTC Yield Fund'!$A$8:$EL$8,0))</f>
        <v/>
      </c>
      <c r="AC14" s="185">
        <f t="array" ref="AC14">index('BTC Yield Fund'!$A$8:$EL$1008,MATCH(Y$10,'BTC Yield Fund'!$A$8:$A$1008,0),MATCH(AC12,'BTC Yield Fund'!$A$8:$EL$8,0))</f>
        <v/>
      </c>
      <c r="AD14" s="86" t="n"/>
      <c r="AE14" s="183" t="inlineStr">
        <is>
          <t>Beginning Balance</t>
        </is>
      </c>
      <c r="AF14" s="184">
        <f t="array" ref="AF14">index('BTC Yield Fund'!$A$8:$EL$1008,MATCH(AE$10,'BTC Yield Fund'!$A$8:$A$1008,0),MATCH(IF(AI12&gt;$D$2,AI12,$D$2),'BTC Yield Fund'!$A$8:$EL$8,0))</f>
        <v/>
      </c>
      <c r="AG14" s="184">
        <f t="array" ref="AG14">index('BTC Yield Fund'!$A$8:$EL$1008,MATCH(AE$10,'BTC Yield Fund'!$A$8:$A$1008,0),MATCH(IF(AI12&gt;$D$3,AI12,$D$3),'BTC Yield Fund'!$A$8:$EL$8,0))</f>
        <v/>
      </c>
      <c r="AH14" s="184">
        <f t="array" ref="AH14">index('BTC Yield Fund'!$A$8:$EL$1008,MATCH(AE$10,'BTC Yield Fund'!$A$8:$A$1008,0),MATCH(IF(AI12&gt;$D$4,AI12,$D$4),'BTC Yield Fund'!$A$8:$EL$8,0))</f>
        <v/>
      </c>
      <c r="AI14" s="185">
        <f t="array" ref="AI14">index('BTC Yield Fund'!$A$8:$EL$1008,MATCH(AE$10,'BTC Yield Fund'!$A$8:$A$1008,0),MATCH(AI12,'BTC Yield Fund'!$A$8:$EL$8,0))</f>
        <v/>
      </c>
      <c r="AJ14" s="86" t="n"/>
      <c r="AK14" s="183" t="inlineStr">
        <is>
          <t>Beginning Balance</t>
        </is>
      </c>
      <c r="AL14" s="184">
        <f t="array" ref="AL14">index('BTC Yield Fund'!$A$8:$EL$1008,MATCH(AK$10,'BTC Yield Fund'!$A$8:$A$1008,0),MATCH(IF(AO12&gt;$D$2,AO12,$D$2),'BTC Yield Fund'!$A$8:$EL$8,0))</f>
        <v/>
      </c>
      <c r="AM14" s="184">
        <f t="array" ref="AM14">index('BTC Yield Fund'!$A$8:$EL$1008,MATCH(AK$10,'BTC Yield Fund'!$A$8:$A$1008,0),MATCH(IF(AO12&gt;$D$3,AO12,$D$3),'BTC Yield Fund'!$A$8:$EL$8,0))</f>
        <v/>
      </c>
      <c r="AN14" s="184">
        <f t="array" ref="AN14">index('BTC Yield Fund'!$A$8:$EL$1008,MATCH(AK$10,'BTC Yield Fund'!$A$8:$A$1008,0),MATCH(IF(AO12&gt;$D$4,AO12,$D$4),'BTC Yield Fund'!$A$8:$EL$8,0))</f>
        <v/>
      </c>
      <c r="AO14" s="185">
        <f t="array" ref="AO14">index('BTC Yield Fund'!$A$8:$EL$1008,MATCH(AK$10,'BTC Yield Fund'!$A$8:$A$1008,0),MATCH(AO12,'BTC Yield Fund'!$A$8:$EL$8,0))</f>
        <v/>
      </c>
      <c r="AP14" s="86" t="n"/>
      <c r="AQ14" s="183" t="inlineStr">
        <is>
          <t>Beginning Balance</t>
        </is>
      </c>
      <c r="AR14" s="184">
        <f t="array" ref="AR14">index('BTC Yield Fund'!$A$8:$EL$1008,MATCH(AQ$10,'BTC Yield Fund'!$A$8:$A$1008,0),MATCH(IF(AU12&gt;$D$2,AU12,$D$2),'BTC Yield Fund'!$A$8:$EL$8,0))</f>
        <v/>
      </c>
      <c r="AS14" s="184">
        <f t="array" ref="AS14">index('BTC Yield Fund'!$A$8:$EL$1008,MATCH(AQ$10,'BTC Yield Fund'!$A$8:$A$1008,0),MATCH(IF(AU12&gt;$D$3,AU12,$D$3),'BTC Yield Fund'!$A$8:$EL$8,0))</f>
        <v/>
      </c>
      <c r="AT14" s="184">
        <f t="array" ref="AT14">index('BTC Yield Fund'!$A$8:$EL$1008,MATCH(AQ$10,'BTC Yield Fund'!$A$8:$A$1008,0),MATCH(IF(AU12&gt;$D$4,AU12,$D$4),'BTC Yield Fund'!$A$8:$EL$8,0))</f>
        <v/>
      </c>
      <c r="AU14" s="185">
        <f t="array" ref="AU14">index('BTC Yield Fund'!$A$8:$EL$1008,MATCH(AQ$10,'BTC Yield Fund'!$A$8:$A$1008,0),MATCH(AU12,'BTC Yield Fund'!$A$8:$EL$8,0))</f>
        <v/>
      </c>
      <c r="AV14" s="86" t="n"/>
      <c r="AW14" s="183" t="n"/>
      <c r="AX14" s="184" t="n"/>
      <c r="AY14" s="184" t="n"/>
      <c r="AZ14" s="184" t="n"/>
      <c r="BA14" s="185" t="n"/>
      <c r="BB14" s="86" t="n"/>
      <c r="BC14" s="183" t="n"/>
      <c r="BD14" s="184" t="n"/>
      <c r="BE14" s="184" t="n"/>
      <c r="BF14" s="184" t="n"/>
      <c r="BG14" s="185" t="n"/>
      <c r="BH14" s="86" t="n"/>
      <c r="BI14" s="183" t="inlineStr">
        <is>
          <t>Beginning Balance</t>
        </is>
      </c>
      <c r="BJ14" s="184">
        <f t="array" ref="BJ14">index('BTC Yield Fund'!$A$8:$EL$1008,MATCH(BI$10,'BTC Yield Fund'!$A$8:$A$1008,0),MATCH(IF(BM12&gt;$D$2,BM12,$D$2),'BTC Yield Fund'!$A$8:$EL$8,0))</f>
        <v/>
      </c>
      <c r="BK14" s="184">
        <f t="array" ref="BK14">index('BTC Yield Fund'!$A$8:$EL$1008,MATCH(BI$10,'BTC Yield Fund'!$A$8:$A$1008,0),MATCH(IF(BM12&gt;$D$3,BM12,$D$3),'BTC Yield Fund'!$A$8:$EL$8,0))</f>
        <v/>
      </c>
      <c r="BL14" s="184">
        <f t="array" ref="BL14">index('BTC Yield Fund'!$A$8:$EL$1008,MATCH(BI$10,'BTC Yield Fund'!$A$8:$A$1008,0),MATCH(IF(BM12&gt;$D$4,BM12,$D$4),'BTC Yield Fund'!$A$8:$EL$8,0))</f>
        <v/>
      </c>
      <c r="BM14" s="185">
        <f t="array" ref="BM14">index('BTC Yield Fund'!$A$8:$EL$1008,MATCH(BI$10,'BTC Yield Fund'!$A$8:$A$1008,0),MATCH(BM12,'BTC Yield Fund'!$A$8:$EL$8,0))</f>
        <v/>
      </c>
      <c r="BN14" s="86" t="n"/>
      <c r="BO14" s="183" t="n"/>
      <c r="BP14" s="184" t="n"/>
      <c r="BQ14" s="184" t="n"/>
      <c r="BR14" s="184" t="n"/>
      <c r="BS14" s="185" t="n"/>
      <c r="BT14" s="86" t="n"/>
      <c r="BU14" s="183" t="n"/>
      <c r="BV14" s="184" t="n"/>
      <c r="BW14" s="184" t="n"/>
      <c r="BX14" s="184" t="n"/>
      <c r="BY14" s="185" t="n"/>
      <c r="BZ14" s="86" t="n"/>
      <c r="CA14" s="183" t="n"/>
      <c r="CB14" s="184" t="n"/>
      <c r="CC14" s="184" t="n"/>
      <c r="CD14" s="184" t="n"/>
      <c r="CE14" s="185" t="n"/>
      <c r="CF14" s="86" t="n"/>
      <c r="CG14" s="183" t="n"/>
      <c r="CH14" s="184" t="n"/>
      <c r="CI14" s="184" t="n"/>
      <c r="CJ14" s="184" t="n"/>
      <c r="CK14" s="185" t="n"/>
      <c r="CL14" s="86" t="n"/>
      <c r="CM14" s="183" t="n"/>
      <c r="CN14" s="184" t="n"/>
      <c r="CO14" s="184" t="n"/>
      <c r="CP14" s="184" t="n"/>
      <c r="CQ14" s="185" t="n"/>
      <c r="CR14" s="86" t="n"/>
      <c r="CS14" s="183" t="inlineStr">
        <is>
          <t>Beginning Balance</t>
        </is>
      </c>
      <c r="CT14" s="184">
        <f t="array" ref="CT14">index('BTC Yield Fund'!$A$8:$EL$1008,MATCH(CS$10,'BTC Yield Fund'!$A$8:$A$1008,0),MATCH(IF(CW12&gt;$D$2,CW12,$D$2),'BTC Yield Fund'!$A$8:$EL$8,0))</f>
        <v/>
      </c>
      <c r="CU14" s="184">
        <f t="array" ref="CU14">index('BTC Yield Fund'!$A$8:$EL$1008,MATCH(CS$10,'BTC Yield Fund'!$A$8:$A$1008,0),MATCH(IF(CW12&gt;$D$3,CW12,$D$3),'BTC Yield Fund'!$A$8:$EL$8,0))</f>
        <v/>
      </c>
      <c r="CV14" s="184">
        <f t="array" ref="CV14">index('BTC Yield Fund'!$A$8:$EL$1008,MATCH(CS$10,'BTC Yield Fund'!$A$8:$A$1008,0),MATCH(IF(CW12&gt;$D$4,CW12,$D$4),'BTC Yield Fund'!$A$8:$EL$8,0))</f>
        <v/>
      </c>
      <c r="CW14" s="185">
        <f t="array" ref="CW14">index('BTC Yield Fund'!$A$8:$EL$1008,MATCH(CS$10,'BTC Yield Fund'!$A$8:$A$1008,0),MATCH(CW12,'BTC Yield Fund'!$A$8:$EL$8,0))</f>
        <v/>
      </c>
      <c r="CX14" s="86" t="n"/>
      <c r="CY14" s="183" t="n"/>
      <c r="CZ14" s="184" t="n"/>
      <c r="DA14" s="184" t="n"/>
      <c r="DB14" s="184" t="n"/>
      <c r="DC14" s="185" t="n"/>
      <c r="DD14" s="86" t="n"/>
      <c r="DE14" s="183" t="n"/>
      <c r="DF14" s="184" t="n"/>
      <c r="DG14" s="184" t="n"/>
      <c r="DH14" s="184" t="n"/>
      <c r="DI14" s="185" t="n"/>
      <c r="DJ14" s="86" t="n"/>
      <c r="DK14" s="183" t="n"/>
      <c r="DL14" s="184" t="n"/>
      <c r="DM14" s="184" t="n"/>
      <c r="DN14" s="184" t="n"/>
      <c r="DO14" s="185" t="n"/>
      <c r="DP14" s="86" t="n"/>
      <c r="DQ14" s="183" t="n"/>
      <c r="DR14" s="184" t="n"/>
      <c r="DS14" s="184" t="n"/>
      <c r="DT14" s="184" t="n"/>
      <c r="DU14" s="185" t="n"/>
      <c r="DV14" s="86" t="n"/>
      <c r="DW14" s="183" t="n"/>
      <c r="DX14" s="184" t="n"/>
      <c r="DY14" s="184" t="n"/>
      <c r="DZ14" s="184" t="n"/>
      <c r="EA14" s="185" t="n"/>
      <c r="EB14" s="86" t="n"/>
      <c r="EC14" s="183" t="n"/>
      <c r="ED14" s="184" t="n"/>
      <c r="EE14" s="184" t="n"/>
      <c r="EF14" s="184" t="n"/>
      <c r="EG14" s="185" t="n"/>
      <c r="EH14" s="86" t="n"/>
      <c r="EI14" s="183" t="n"/>
      <c r="EJ14" s="184" t="n"/>
      <c r="EK14" s="184" t="n"/>
      <c r="EL14" s="184" t="n"/>
      <c r="EM14" s="185" t="n"/>
      <c r="EN14" s="86" t="n"/>
      <c r="EO14" s="183" t="n"/>
      <c r="EP14" s="184" t="n"/>
      <c r="EQ14" s="184" t="n"/>
      <c r="ER14" s="184" t="n"/>
      <c r="ES14" s="185" t="n"/>
      <c r="ET14" s="86" t="n"/>
      <c r="EU14" s="183" t="inlineStr">
        <is>
          <t>Beginning Balance</t>
        </is>
      </c>
      <c r="EV14" s="184">
        <f t="array" ref="EV14">index('BTC Yield Fund'!$A$8:$EL$1008,MATCH(EU$10,'BTC Yield Fund'!$A$8:$A$1008,0),MATCH(IF(EY12&gt;$D$2,EY12,$D$2),'BTC Yield Fund'!$A$8:$EL$8,0))</f>
        <v/>
      </c>
      <c r="EW14" s="184">
        <f t="array" ref="EW14">index('BTC Yield Fund'!$A$8:$EL$1008,MATCH(EU$10,'BTC Yield Fund'!$A$8:$A$1008,0),MATCH(IF(EY12&gt;$D$3,EY12,$D$3),'BTC Yield Fund'!$A$8:$EL$8,0))</f>
        <v/>
      </c>
      <c r="EX14" s="184">
        <f t="array" ref="EX14">index('BTC Yield Fund'!$A$8:$EL$1008,MATCH(EU$10,'BTC Yield Fund'!$A$8:$A$1008,0),MATCH(IF(EY12&gt;$D$4,EY12,$D$4),'BTC Yield Fund'!$A$8:$EL$8,0))</f>
        <v/>
      </c>
      <c r="EY14" s="185">
        <f t="array" ref="EY14">index('BTC Yield Fund'!$A$8:$EL$1008,MATCH(EU$10,'BTC Yield Fund'!$A$8:$A$1008,0),MATCH(EY12,'BTC Yield Fund'!$A$8:$EL$8,0))</f>
        <v/>
      </c>
      <c r="EZ14" s="86" t="n"/>
      <c r="FA14" s="183" t="inlineStr">
        <is>
          <t>Beginning Balance</t>
        </is>
      </c>
      <c r="FB14" s="184">
        <f t="array" ref="FB14">index('BTC Yield Fund'!$A$8:$EL$1008,MATCH(FA$10,'BTC Yield Fund'!$A$8:$A$1008,0),MATCH(IF(FE12&gt;$D$2,FE12,$D$2),'BTC Yield Fund'!$A$8:$EL$8,0))</f>
        <v/>
      </c>
      <c r="FC14" s="184">
        <f t="array" ref="FC14">index('BTC Yield Fund'!$A$8:$EL$1008,MATCH(FA$10,'BTC Yield Fund'!$A$8:$A$1008,0),MATCH(IF(FE12&gt;$D$3,FE12,$D$3),'BTC Yield Fund'!$A$8:$EL$8,0))</f>
        <v/>
      </c>
      <c r="FD14" s="184">
        <f t="array" ref="FD14">index('BTC Yield Fund'!$A$8:$EL$1008,MATCH(FA$10,'BTC Yield Fund'!$A$8:$A$1008,0),MATCH(IF(FE12&gt;$D$4,FE12,$D$4),'BTC Yield Fund'!$A$8:$EL$8,0))</f>
        <v/>
      </c>
      <c r="FE14" s="185">
        <f t="array" ref="FE14">index('BTC Yield Fund'!$A$8:$EL$1008,MATCH(FA$10,'BTC Yield Fund'!$A$8:$A$1008,0),MATCH(FE12,'BTC Yield Fund'!$A$8:$EL$8,0))</f>
        <v/>
      </c>
      <c r="FF14" s="86" t="n"/>
      <c r="FG14" s="183" t="n"/>
      <c r="FH14" s="184" t="n"/>
      <c r="FI14" s="184" t="n"/>
      <c r="FJ14" s="184" t="n"/>
      <c r="FK14" s="185" t="n"/>
      <c r="FL14" s="86" t="n"/>
      <c r="FM14" s="183" t="n"/>
      <c r="FN14" s="184" t="n"/>
      <c r="FO14" s="184" t="n"/>
      <c r="FP14" s="184" t="n"/>
      <c r="FQ14" s="185" t="n"/>
      <c r="FR14" s="86" t="n"/>
      <c r="FS14" s="183" t="n"/>
      <c r="FT14" s="184" t="n"/>
      <c r="FU14" s="184" t="n"/>
      <c r="FV14" s="184" t="n"/>
      <c r="FW14" s="185" t="n"/>
      <c r="FX14" s="86" t="n"/>
      <c r="FY14" s="183" t="n"/>
      <c r="FZ14" s="184" t="n"/>
      <c r="GA14" s="184" t="n"/>
      <c r="GB14" s="184" t="n"/>
      <c r="GC14" s="185" t="n"/>
      <c r="GD14" s="86" t="n"/>
      <c r="GE14" s="183" t="inlineStr">
        <is>
          <t>Beginning Balance</t>
        </is>
      </c>
      <c r="GF14" s="184">
        <f t="array" ref="GF14">index('BTC Yield Fund'!$A$8:$EL$1008,MATCH(GE$10,'BTC Yield Fund'!$A$8:$A$1008,0),MATCH(IF(GI12&gt;$D$2,GI12,$D$2),'BTC Yield Fund'!$A$8:$EL$8,0))</f>
        <v/>
      </c>
      <c r="GG14" s="184">
        <f t="array" ref="GG14">index('BTC Yield Fund'!$A$8:$EL$1008,MATCH(GE$10,'BTC Yield Fund'!$A$8:$A$1008,0),MATCH(IF(GI12&gt;$D$3,GI12,$D$3),'BTC Yield Fund'!$A$8:$EL$8,0))</f>
        <v/>
      </c>
      <c r="GH14" s="184">
        <f t="array" ref="GH14">index('BTC Yield Fund'!$A$8:$EL$1008,MATCH(GE$10,'BTC Yield Fund'!$A$8:$A$1008,0),MATCH(IF(GI12&gt;$D$4,GI12,$D$4),'BTC Yield Fund'!$A$8:$EL$8,0))</f>
        <v/>
      </c>
      <c r="GI14" s="185">
        <f t="array" ref="GI14">index('BTC Yield Fund'!$A$8:$EL$1008,MATCH(GE$10,'BTC Yield Fund'!$A$8:$A$1008,0),MATCH(GI12,'BTC Yield Fund'!$A$8:$EL$8,0))</f>
        <v/>
      </c>
      <c r="GJ14" s="86" t="n"/>
      <c r="GK14" s="183" t="inlineStr">
        <is>
          <t>Beginning Balance</t>
        </is>
      </c>
      <c r="GL14" s="184">
        <f t="array" ref="GL14">index('BTC Yield Fund'!$A$8:$EL$1008,MATCH(GK$10,'BTC Yield Fund'!$A$8:$A$1008,0),MATCH(IF(GO12&gt;$D$2,GO12,$D$2),'BTC Yield Fund'!$A$8:$EL$8,0))</f>
        <v/>
      </c>
      <c r="GM14" s="184">
        <f t="array" ref="GM14">index('BTC Yield Fund'!$A$8:$EL$1008,MATCH(GK$10,'BTC Yield Fund'!$A$8:$A$1008,0),MATCH(IF(GO12&gt;$D$3,GO12,$D$3),'BTC Yield Fund'!$A$8:$EL$8,0))</f>
        <v/>
      </c>
      <c r="GN14" s="184">
        <f t="array" ref="GN14">index('BTC Yield Fund'!$A$8:$EL$1008,MATCH(GK$10,'BTC Yield Fund'!$A$8:$A$1008,0),MATCH(IF(GO12&gt;$D$4,GO12,$D$4),'BTC Yield Fund'!$A$8:$EL$8,0))</f>
        <v/>
      </c>
      <c r="GO14" s="185">
        <f t="array" ref="GO14">index('BTC Yield Fund'!$A$8:$EL$1008,MATCH(GK$10,'BTC Yield Fund'!$A$8:$A$1008,0),MATCH(GO12,'BTC Yield Fund'!$A$8:$EL$8,0))</f>
        <v/>
      </c>
      <c r="GP14" s="86" t="n"/>
      <c r="GQ14" s="183" t="inlineStr">
        <is>
          <t>Beginning Balance</t>
        </is>
      </c>
      <c r="GR14" s="186">
        <f t="array" ref="GR14">index('BTC Yield Fund'!$A$8:$EL$1008,MATCH(GQ$10,'BTC Yield Fund'!$A$8:$A$1008,0),MATCH(IF(GU12&gt;$D$2,GU12,$D$2),'BTC Yield Fund'!$A$8:$EL$8,0))</f>
        <v/>
      </c>
      <c r="GS14" s="186">
        <f t="array" ref="GS14">index('BTC Yield Fund'!$A$8:$EL$1008,MATCH(GQ$10,'BTC Yield Fund'!$A$8:$A$1008,0),MATCH(IF(GU12&gt;$D$3,GU12,$D$3),'BTC Yield Fund'!$A$8:$EL$8,0))</f>
        <v/>
      </c>
      <c r="GT14" s="186">
        <f t="array" ref="GT14">index('BTC Yield Fund'!$A$8:$EL$1008,MATCH(GQ$10,'BTC Yield Fund'!$A$8:$A$1008,0),MATCH(IF(GU12&gt;$D$4,GU12,$D$4),'BTC Yield Fund'!$A$8:$EL$8,0))</f>
        <v/>
      </c>
      <c r="GU14" s="187">
        <f t="array" ref="GU14">index('BTC Yield Fund'!$A$8:$EL$1008,MATCH(GQ$10,'BTC Yield Fund'!$A$8:$A$1008,0),MATCH(GU12,'BTC Yield Fund'!$A$8:$EL$8,0))</f>
        <v/>
      </c>
      <c r="GV14" s="86" t="n"/>
      <c r="GW14" s="183" t="n"/>
      <c r="GX14" s="184" t="n"/>
      <c r="GY14" s="184" t="n"/>
      <c r="GZ14" s="184" t="n"/>
      <c r="HA14" s="185" t="n"/>
      <c r="HB14" s="86" t="n"/>
      <c r="HC14" s="183" t="inlineStr">
        <is>
          <t>Beginning Balance</t>
        </is>
      </c>
      <c r="HD14" s="186">
        <f t="array" ref="HD14">index('BTC Yield Fund'!$A$8:$EL$1008,MATCH(HC$10,'BTC Yield Fund'!$A$8:$A$1008,0),MATCH(IF(HG12&gt;$D$2,HG12,$D$2),'BTC Yield Fund'!$A$8:$EL$8,0))</f>
        <v/>
      </c>
      <c r="HE14" s="186">
        <f t="array" ref="HE14">index('BTC Yield Fund'!$A$8:$EL$1008,MATCH(HC$10,'BTC Yield Fund'!$A$8:$A$1008,0),MATCH(IF(HG12&gt;$D$3,HG12,$D$3),'BTC Yield Fund'!$A$8:$EL$8,0))</f>
        <v/>
      </c>
      <c r="HF14" s="186">
        <f t="array" ref="HF14">index('BTC Yield Fund'!$A$8:$EL$1008,MATCH(HC$10,'BTC Yield Fund'!$A$8:$A$1008,0),MATCH(IF(HG12&gt;$D$4,HG12,$D$4),'BTC Yield Fund'!$A$8:$EL$8,0))</f>
        <v/>
      </c>
      <c r="HG14" s="187">
        <f t="array" ref="HG14">index('BTC Yield Fund'!$A$8:$EL$1008,MATCH(HC$10,'BTC Yield Fund'!$A$8:$A$1008,0),MATCH(HG12,'BTC Yield Fund'!$A$8:$EL$8,0))</f>
        <v/>
      </c>
      <c r="HH14" s="86" t="n"/>
      <c r="HI14" s="183" t="n"/>
      <c r="HJ14" s="184" t="n"/>
      <c r="HK14" s="184" t="n"/>
      <c r="HL14" s="184" t="n"/>
      <c r="HM14" s="185" t="n"/>
      <c r="HN14" s="86" t="n"/>
      <c r="HO14" s="183" t="n"/>
      <c r="HP14" s="184" t="n"/>
      <c r="HQ14" s="184" t="n"/>
      <c r="HR14" s="184" t="n"/>
      <c r="HS14" s="185" t="n"/>
      <c r="HT14" s="86" t="n"/>
      <c r="HU14" s="183" t="n"/>
      <c r="HV14" s="184" t="n"/>
      <c r="HW14" s="184" t="n"/>
      <c r="HX14" s="184" t="n"/>
      <c r="HY14" s="185" t="n"/>
      <c r="HZ14" s="86" t="n"/>
      <c r="IA14" s="183" t="inlineStr">
        <is>
          <t>Beginning Balance</t>
        </is>
      </c>
      <c r="IB14" s="186">
        <f t="array" ref="IB14">index('BTC Yield Fund'!$A$8:$EL$1008,MATCH(IA$10,'BTC Yield Fund'!$A$8:$A$1008,0),MATCH(IF(IE12&gt;$D$2,IE12,$D$2),'BTC Yield Fund'!$A$8:$EL$8,0))</f>
        <v/>
      </c>
      <c r="IC14" s="186">
        <f t="array" ref="IC14">index('BTC Yield Fund'!$A$8:$EL$1008,MATCH(IA$10,'BTC Yield Fund'!$A$8:$A$1008,0),MATCH(IF(IE12&gt;$D$3,IE12,$D$3),'BTC Yield Fund'!$A$8:$EL$8,0))</f>
        <v/>
      </c>
      <c r="ID14" s="186">
        <f t="array" ref="ID14">index('BTC Yield Fund'!$A$8:$EL$1008,MATCH(IA$10,'BTC Yield Fund'!$A$8:$A$1008,0),MATCH(IF(IE12&gt;$D$4,IE12,$D$4),'BTC Yield Fund'!$A$8:$EL$8,0))</f>
        <v/>
      </c>
      <c r="IE14" s="187">
        <f t="array" ref="IE14">index('BTC Yield Fund'!$A$8:$EL$1008,MATCH(IA$10,'BTC Yield Fund'!$A$8:$A$1008,0),MATCH(IE12,'BTC Yield Fund'!$A$8:$EL$8,0))</f>
        <v/>
      </c>
      <c r="IF14" s="86" t="n"/>
      <c r="IG14" s="183" t="inlineStr">
        <is>
          <t>Beginning Balance</t>
        </is>
      </c>
      <c r="IH14" s="186">
        <f t="array" ref="IH14">index('BTC Yield Fund'!$A$8:$EL$1008,MATCH(IG$10,'BTC Yield Fund'!$A$8:$A$1008,0),MATCH(IF(IK12&gt;$D$2,IK12,$D$2),'BTC Yield Fund'!$A$8:$EL$8,0))</f>
        <v/>
      </c>
      <c r="II14" s="186">
        <f t="array" ref="II14">index('BTC Yield Fund'!$A$8:$EL$1008,MATCH(IG$10,'BTC Yield Fund'!$A$8:$A$1008,0),MATCH(IF(IK12&gt;$D$3,IK12,$D$3),'BTC Yield Fund'!$A$8:$EL$8,0))</f>
        <v/>
      </c>
      <c r="IJ14" s="186">
        <f t="array" ref="IJ14">index('BTC Yield Fund'!$A$8:$EL$1008,MATCH(IG$10,'BTC Yield Fund'!$A$8:$A$1008,0),MATCH(IF(IK12&gt;$D$4,IK12,$D$4),'BTC Yield Fund'!$A$8:$EL$8,0))</f>
        <v/>
      </c>
      <c r="IK14" s="187">
        <f t="array" ref="IK14">index('BTC Yield Fund'!$A$8:$EL$1008,MATCH(IG$10,'BTC Yield Fund'!$A$8:$A$1008,0),MATCH(IK12,'BTC Yield Fund'!$A$8:$EL$8,0))</f>
        <v/>
      </c>
      <c r="IL14" s="86" t="n"/>
      <c r="IM14" s="183" t="n"/>
      <c r="IN14" s="184" t="n"/>
      <c r="IO14" s="184" t="n"/>
      <c r="IP14" s="184" t="n"/>
      <c r="IQ14" s="185" t="n"/>
      <c r="IR14" s="86" t="n"/>
      <c r="IS14" s="183" t="n"/>
      <c r="IT14" s="184" t="n"/>
      <c r="IU14" s="184" t="n"/>
      <c r="IV14" s="184" t="n"/>
      <c r="IW14" s="185" t="n"/>
      <c r="IX14" s="86" t="n"/>
      <c r="IY14" s="183" t="n"/>
      <c r="IZ14" s="184" t="n"/>
      <c r="JA14" s="184" t="n"/>
      <c r="JB14" s="184" t="n"/>
      <c r="JC14" s="185" t="n"/>
    </row>
    <row r="15" ht="15.75" customHeight="1" s="252">
      <c r="A15" s="188" t="inlineStr">
        <is>
          <t xml:space="preserve">Additions </t>
        </is>
      </c>
      <c r="B15" s="189">
        <f>SUMIFS(Investments!$D:$D,Investments!$B:$B,A$10,Investments!$C:$C,$A$1,Investments!$A:$A,"&gt;"&amp;IF(E12&gt;$D$2,E12,$D$2),Investments!$A:$A,"&lt;="&amp;$E$2,Investments!$D:$D,"&gt;"&amp;0)</f>
        <v/>
      </c>
      <c r="C15" s="189">
        <f>SUMIFS(Investments!$D:$D,Investments!$B:$B,A$10,Investments!$C:$C,$A$1,Investments!$A:$A,"&gt;"&amp;IF(E12&gt;$D$3,E12,$D$3),Investments!$A:$A,"&lt;="&amp;$E$3,Investments!$D:$D,"&gt;"&amp;0)</f>
        <v/>
      </c>
      <c r="D15" s="189">
        <f>SUMIFS(Investments!$D:$D,Investments!$B:$B,A$10,Investments!$C:$C,$A$1,Investments!$A:$A,"&gt;"&amp;IF(E12&gt;$D$4,E12,$D$4),Investments!$A:$A,"&lt;="&amp;$E$4,Investments!$D:$D,"&gt;"&amp;0)</f>
        <v/>
      </c>
      <c r="E15" s="190">
        <f>SUMIFS(Investments!$D:$D,Investments!$B:$B,A$10,Investments!$C:$C,$A$1,Investments!$A:$A,"&gt;"&amp;E12,Investments!$A:$A,"&lt;="&amp;$E$4,Investments!$D:$D,"&gt;"&amp;0)</f>
        <v/>
      </c>
      <c r="G15" s="188" t="inlineStr">
        <is>
          <t xml:space="preserve">Additions </t>
        </is>
      </c>
      <c r="H15" s="189">
        <f>SUMIFS(Investments!$D:$D,Investments!$B:$B,G$10,Investments!$C:$C,$A$1,Investments!$A:$A,"&gt;"&amp;IF(K12&gt;$D$2,K12,$D$2),Investments!$A:$A,"&lt;="&amp;$E$2,Investments!$D:$D,"&gt;"&amp;0)</f>
        <v/>
      </c>
      <c r="I15" s="189">
        <f>SUMIFS(Investments!$D:$D,Investments!$B:$B,G$10,Investments!$C:$C,$A$1,Investments!$A:$A,"&gt;"&amp;IF(K12&gt;$D$3,K12,$D$3),Investments!$A:$A,"&lt;="&amp;$E$3,Investments!$D:$D,"&gt;"&amp;0)</f>
        <v/>
      </c>
      <c r="J15" s="189">
        <f>SUMIFS(Investments!$D:$D,Investments!$B:$B,G$10,Investments!$C:$C,$A$1,Investments!$A:$A,"&gt;"&amp;IF(K12&gt;$D$4,K12,$D$4),Investments!$A:$A,"&lt;="&amp;$E$4,Investments!$D:$D,"&gt;"&amp;0)</f>
        <v/>
      </c>
      <c r="K15" s="190">
        <f>SUMIFS(Investments!$D:$D,Investments!$B:$B,G$10,Investments!$C:$C,$A$1,Investments!$A:$A,"&gt;"&amp;K12,Investments!$A:$A,"&lt;="&amp;$E$4,Investments!$D:$D,"&gt;"&amp;0)</f>
        <v/>
      </c>
      <c r="M15" s="188" t="inlineStr">
        <is>
          <t xml:space="preserve">Additions </t>
        </is>
      </c>
      <c r="N15" s="189">
        <f>SUMIFS(Investments!$D:$D,Investments!$B:$B,M$10,Investments!$C:$C,$A$1,Investments!$A:$A,"&gt;"&amp;IF(Q12&gt;$D$2,Q12,$D$2),Investments!$A:$A,"&lt;="&amp;$E$2,Investments!$D:$D,"&gt;"&amp;0)</f>
        <v/>
      </c>
      <c r="O15" s="189">
        <f>SUMIFS(Investments!$D:$D,Investments!$B:$B,M$10,Investments!$C:$C,$A$1,Investments!$A:$A,"&gt;"&amp;IF(Q12&gt;$D$3,Q12,$D$3),Investments!$A:$A,"&lt;="&amp;$E$3,Investments!$D:$D,"&gt;"&amp;0)</f>
        <v/>
      </c>
      <c r="P15" s="189">
        <f>SUMIFS(Investments!$D:$D,Investments!$B:$B,M$10,Investments!$C:$C,$A$1,Investments!$A:$A,"&gt;"&amp;IF(Q12&gt;$D$4,Q12,$D$4),Investments!$A:$A,"&lt;="&amp;$E$4,Investments!$D:$D,"&gt;"&amp;0)</f>
        <v/>
      </c>
      <c r="Q15" s="190">
        <f>SUMIFS(Investments!$D:$D,Investments!$B:$B,M$10,Investments!$C:$C,$A$1,Investments!$A:$A,"&gt;"&amp;Q12,Investments!$A:$A,"&lt;="&amp;$E$4,Investments!$D:$D,"&gt;"&amp;0)</f>
        <v/>
      </c>
      <c r="S15" s="188" t="inlineStr">
        <is>
          <t xml:space="preserve">Additions </t>
        </is>
      </c>
      <c r="T15" s="189">
        <f>SUMIFS(Investments!$D:$D,Investments!$B:$B,S$10,Investments!$C:$C,$A$1,Investments!$A:$A,"&gt;"&amp;IF(W12&gt;$D$2,W12,$D$2),Investments!$A:$A,"&lt;="&amp;$E$2,Investments!$D:$D,"&gt;"&amp;0)</f>
        <v/>
      </c>
      <c r="U15" s="189">
        <f>SUMIFS(Investments!$D:$D,Investments!$B:$B,S$10,Investments!$C:$C,$A$1,Investments!$A:$A,"&gt;"&amp;IF(W12&gt;$D$3,W12,$D$3),Investments!$A:$A,"&lt;="&amp;$E$3,Investments!$D:$D,"&gt;"&amp;0)</f>
        <v/>
      </c>
      <c r="V15" s="189">
        <f>SUMIFS(Investments!$D:$D,Investments!$B:$B,S$10,Investments!$C:$C,$A$1,Investments!$A:$A,"&gt;"&amp;IF(W12&gt;$D$4,W12,$D$4),Investments!$A:$A,"&lt;="&amp;$E$4,Investments!$D:$D,"&gt;"&amp;0)</f>
        <v/>
      </c>
      <c r="W15" s="190">
        <f>SUMIFS(Investments!$D:$D,Investments!$B:$B,S$10,Investments!$C:$C,$A$1,Investments!$A:$A,"&gt;"&amp;W12,Investments!$A:$A,"&lt;="&amp;$E$4,Investments!$D:$D,"&gt;"&amp;0)</f>
        <v/>
      </c>
      <c r="Y15" s="188" t="inlineStr">
        <is>
          <t xml:space="preserve">Additions </t>
        </is>
      </c>
      <c r="Z15" s="189">
        <f>SUMIFS(Investments!$D:$D,Investments!$B:$B,Y$10,Investments!$C:$C,$A$1,Investments!$A:$A,"&gt;"&amp;IF(AC12&gt;$D$2,AC12,$D$2),Investments!$A:$A,"&lt;="&amp;$E$2,Investments!$D:$D,"&gt;"&amp;0)</f>
        <v/>
      </c>
      <c r="AA15" s="189">
        <f>SUMIFS(Investments!$D:$D,Investments!$B:$B,Y$10,Investments!$C:$C,$A$1,Investments!$A:$A,"&gt;"&amp;IF(AC12&gt;$D$3,AC12,$D$3),Investments!$A:$A,"&lt;="&amp;$E$3,Investments!$D:$D,"&gt;"&amp;0)</f>
        <v/>
      </c>
      <c r="AB15" s="189">
        <f>SUMIFS(Investments!$D:$D,Investments!$B:$B,Y$10,Investments!$C:$C,$A$1,Investments!$A:$A,"&gt;"&amp;IF(AC12&gt;$D$4,AC12,$D$4),Investments!$A:$A,"&lt;="&amp;$E$4,Investments!$D:$D,"&gt;"&amp;0)</f>
        <v/>
      </c>
      <c r="AC15" s="190">
        <f>SUMIFS(Investments!$D:$D,Investments!$B:$B,Y$10,Investments!$C:$C,$A$1,Investments!$A:$A,"&gt;"&amp;AC12,Investments!$A:$A,"&lt;="&amp;$E$4,Investments!$D:$D,"&gt;"&amp;0)</f>
        <v/>
      </c>
      <c r="AD15" s="86" t="n"/>
      <c r="AE15" s="188" t="inlineStr">
        <is>
          <t xml:space="preserve">Additions </t>
        </is>
      </c>
      <c r="AF15" s="189">
        <f>SUMIFS(Investments!$D:$D,Investments!$B:$B,AE$10,Investments!$C:$C,$A$1,Investments!$A:$A,"&gt;"&amp;IF(AI12&gt;$D$2,AI12,$D$2),Investments!$A:$A,"&lt;="&amp;$E$2,Investments!$D:$D,"&gt;"&amp;0)</f>
        <v/>
      </c>
      <c r="AG15" s="189">
        <f>SUMIFS(Investments!$D:$D,Investments!$B:$B,AE$10,Investments!$C:$C,$A$1,Investments!$A:$A,"&gt;"&amp;IF(AI12&gt;$D$3,AI12,$D$3),Investments!$A:$A,"&lt;="&amp;$E$3,Investments!$D:$D,"&gt;"&amp;0)</f>
        <v/>
      </c>
      <c r="AH15" s="189">
        <f>SUMIFS(Investments!$D:$D,Investments!$B:$B,AE$10,Investments!$C:$C,$A$1,Investments!$A:$A,"&gt;"&amp;IF(AI12&gt;$D$4,AI12,$D$4),Investments!$A:$A,"&lt;="&amp;$E$4,Investments!$D:$D,"&gt;"&amp;0)</f>
        <v/>
      </c>
      <c r="AI15" s="190">
        <f>SUMIFS(Investments!$D:$D,Investments!$B:$B,AE$10,Investments!$C:$C,$A$1,Investments!$A:$A,"&gt;"&amp;AI12,Investments!$A:$A,"&lt;="&amp;$E$4,Investments!$D:$D,"&gt;"&amp;0)</f>
        <v/>
      </c>
      <c r="AJ15" s="86" t="n"/>
      <c r="AK15" s="188" t="inlineStr">
        <is>
          <t xml:space="preserve">Additions </t>
        </is>
      </c>
      <c r="AL15" s="189">
        <f>SUMIFS(Investments!$D:$D,Investments!$B:$B,AK$10,Investments!$C:$C,$A$1,Investments!$A:$A,"&gt;"&amp;IF(AO12&gt;$D$2,AO12,$D$2),Investments!$A:$A,"&lt;="&amp;$E$2,Investments!$D:$D,"&gt;"&amp;0)</f>
        <v/>
      </c>
      <c r="AM15" s="189">
        <f>SUMIFS(Investments!$D:$D,Investments!$B:$B,AK$10,Investments!$C:$C,$A$1,Investments!$A:$A,"&gt;"&amp;IF(AO12&gt;$D$3,AO12,$D$3),Investments!$A:$A,"&lt;="&amp;$E$3,Investments!$D:$D,"&gt;"&amp;0)</f>
        <v/>
      </c>
      <c r="AN15" s="189">
        <f>SUMIFS(Investments!$D:$D,Investments!$B:$B,AK$10,Investments!$C:$C,$A$1,Investments!$A:$A,"&gt;"&amp;IF(AO12&gt;$D$4,AO12,$D$4),Investments!$A:$A,"&lt;="&amp;$E$4,Investments!$D:$D,"&gt;"&amp;0)</f>
        <v/>
      </c>
      <c r="AO15" s="190">
        <f>SUMIFS(Investments!$D:$D,Investments!$B:$B,AK$10,Investments!$C:$C,$A$1,Investments!$A:$A,"&gt;"&amp;AO12,Investments!$A:$A,"&lt;="&amp;$E$4,Investments!$D:$D,"&gt;"&amp;0)</f>
        <v/>
      </c>
      <c r="AP15" s="86" t="n"/>
      <c r="AQ15" s="188" t="inlineStr">
        <is>
          <t xml:space="preserve">Additions </t>
        </is>
      </c>
      <c r="AR15" s="189">
        <f>SUMIFS(Investments!$D:$D,Investments!$B:$B,AQ$10,Investments!$C:$C,$A$1,Investments!$A:$A,"&gt;"&amp;IF(AU12&gt;$D$2,AU12,$D$2),Investments!$A:$A,"&lt;="&amp;$E$2,Investments!$D:$D,"&gt;"&amp;0)</f>
        <v/>
      </c>
      <c r="AS15" s="189">
        <f>SUMIFS(Investments!$D:$D,Investments!$B:$B,AQ$10,Investments!$C:$C,$A$1,Investments!$A:$A,"&gt;"&amp;IF(AU12&gt;$D$3,AU12,$D$3),Investments!$A:$A,"&lt;="&amp;$E$3,Investments!$D:$D,"&gt;"&amp;0)</f>
        <v/>
      </c>
      <c r="AT15" s="189">
        <f>SUMIFS(Investments!$D:$D,Investments!$B:$B,AQ$10,Investments!$C:$C,$A$1,Investments!$A:$A,"&gt;"&amp;IF(AU12&gt;$D$4,AU12,$D$4),Investments!$A:$A,"&lt;="&amp;$E$4,Investments!$D:$D,"&gt;"&amp;0)</f>
        <v/>
      </c>
      <c r="AU15" s="190">
        <f>SUMIFS(Investments!$D:$D,Investments!$B:$B,AQ$10,Investments!$C:$C,$A$1,Investments!$A:$A,"&gt;"&amp;AU12,Investments!$A:$A,"&lt;="&amp;$E$4,Investments!$D:$D,"&gt;"&amp;0)</f>
        <v/>
      </c>
      <c r="AV15" s="86" t="n"/>
      <c r="AW15" s="188" t="n"/>
      <c r="AX15" s="189" t="n"/>
      <c r="AY15" s="189" t="n"/>
      <c r="AZ15" s="189" t="n"/>
      <c r="BA15" s="190" t="n"/>
      <c r="BB15" s="86" t="n"/>
      <c r="BC15" s="188" t="n"/>
      <c r="BD15" s="189" t="n"/>
      <c r="BE15" s="189" t="n"/>
      <c r="BF15" s="189" t="n"/>
      <c r="BG15" s="190" t="n"/>
      <c r="BH15" s="86" t="n"/>
      <c r="BI15" s="188" t="inlineStr">
        <is>
          <t xml:space="preserve">Additions </t>
        </is>
      </c>
      <c r="BJ15" s="189">
        <f>SUMIFS(Investments!$D:$D,Investments!$B:$B,BI$10,Investments!$C:$C,$A$1,Investments!$A:$A,"&gt;"&amp;IF(BM12&gt;$D$2,BM12,$D$2),Investments!$A:$A,"&lt;="&amp;$E$2,Investments!$D:$D,"&gt;"&amp;0)</f>
        <v/>
      </c>
      <c r="BK15" s="189">
        <f>SUMIFS(Investments!$D:$D,Investments!$B:$B,BI$10,Investments!$C:$C,$A$1,Investments!$A:$A,"&gt;"&amp;IF(BM12&gt;$D$3,BM12,$D$3),Investments!$A:$A,"&lt;="&amp;$E$3,Investments!$D:$D,"&gt;"&amp;0)</f>
        <v/>
      </c>
      <c r="BL15" s="189">
        <f>SUMIFS(Investments!$D:$D,Investments!$B:$B,BI$10,Investments!$C:$C,$A$1,Investments!$A:$A,"&gt;"&amp;IF(BM12&gt;$D$4,BM12,$D$4),Investments!$A:$A,"&lt;="&amp;$E$4,Investments!$D:$D,"&gt;"&amp;0)</f>
        <v/>
      </c>
      <c r="BM15" s="190">
        <f>SUMIFS(Investments!$D:$D,Investments!$B:$B,BI$10,Investments!$C:$C,$A$1,Investments!$A:$A,"&gt;"&amp;BM12,Investments!$A:$A,"&lt;="&amp;$E$4,Investments!$D:$D,"&gt;"&amp;0)</f>
        <v/>
      </c>
      <c r="BN15" s="86" t="n"/>
      <c r="BO15" s="188" t="n"/>
      <c r="BP15" s="189" t="n"/>
      <c r="BQ15" s="189" t="n"/>
      <c r="BR15" s="189" t="n"/>
      <c r="BS15" s="190" t="n"/>
      <c r="BT15" s="86" t="n"/>
      <c r="BU15" s="188" t="n"/>
      <c r="BV15" s="189" t="n"/>
      <c r="BW15" s="189" t="n"/>
      <c r="BX15" s="189" t="n"/>
      <c r="BY15" s="190" t="n"/>
      <c r="BZ15" s="86" t="n"/>
      <c r="CA15" s="188" t="n"/>
      <c r="CB15" s="189" t="n"/>
      <c r="CC15" s="189" t="n"/>
      <c r="CD15" s="189" t="n"/>
      <c r="CE15" s="190" t="n"/>
      <c r="CF15" s="86" t="n"/>
      <c r="CG15" s="188" t="n"/>
      <c r="CH15" s="189" t="n"/>
      <c r="CI15" s="189" t="n"/>
      <c r="CJ15" s="189" t="n"/>
      <c r="CK15" s="190" t="n"/>
      <c r="CL15" s="86" t="n"/>
      <c r="CM15" s="188" t="n"/>
      <c r="CN15" s="189" t="n"/>
      <c r="CO15" s="189" t="n"/>
      <c r="CP15" s="189" t="n"/>
      <c r="CQ15" s="190" t="n"/>
      <c r="CR15" s="86" t="n"/>
      <c r="CS15" s="188" t="inlineStr">
        <is>
          <t xml:space="preserve">Additions </t>
        </is>
      </c>
      <c r="CT15" s="189">
        <f>SUMIFS(Investments!$D:$D,Investments!$B:$B,CS$10,Investments!$C:$C,$A$1,Investments!$A:$A,"&gt;"&amp;IF(CW12&gt;$D$2,CW12,$D$2),Investments!$A:$A,"&lt;="&amp;$E$2,Investments!$D:$D,"&gt;"&amp;0)</f>
        <v/>
      </c>
      <c r="CU15" s="189">
        <f>SUMIFS(Investments!$D:$D,Investments!$B:$B,CS$10,Investments!$C:$C,$A$1,Investments!$A:$A,"&gt;"&amp;IF(CW12&gt;$D$3,CW12,$D$3),Investments!$A:$A,"&lt;="&amp;$E$3,Investments!$D:$D,"&gt;"&amp;0)</f>
        <v/>
      </c>
      <c r="CV15" s="189">
        <f>SUMIFS(Investments!$D:$D,Investments!$B:$B,CS$10,Investments!$C:$C,$A$1,Investments!$A:$A,"&gt;"&amp;IF(CW12&gt;$D$4,CW12,$D$4),Investments!$A:$A,"&lt;="&amp;$E$4,Investments!$D:$D,"&gt;"&amp;0)</f>
        <v/>
      </c>
      <c r="CW15" s="190">
        <f>SUMIFS(Investments!$D:$D,Investments!$B:$B,CS$10,Investments!$C:$C,$A$1,Investments!$A:$A,"&gt;"&amp;CW12,Investments!$A:$A,"&lt;="&amp;$E$4,Investments!$D:$D,"&gt;"&amp;0)</f>
        <v/>
      </c>
      <c r="CX15" s="86" t="n"/>
      <c r="CY15" s="188" t="n"/>
      <c r="CZ15" s="189" t="n"/>
      <c r="DA15" s="189" t="n"/>
      <c r="DB15" s="189" t="n"/>
      <c r="DC15" s="190" t="n"/>
      <c r="DD15" s="86" t="n"/>
      <c r="DE15" s="188" t="n"/>
      <c r="DF15" s="189" t="n"/>
      <c r="DG15" s="189" t="n"/>
      <c r="DH15" s="189" t="n"/>
      <c r="DI15" s="190" t="n"/>
      <c r="DJ15" s="86" t="n"/>
      <c r="DK15" s="188" t="n"/>
      <c r="DL15" s="189" t="n"/>
      <c r="DM15" s="189" t="n"/>
      <c r="DN15" s="189" t="n"/>
      <c r="DO15" s="190" t="n"/>
      <c r="DP15" s="86" t="n"/>
      <c r="DQ15" s="188" t="n"/>
      <c r="DR15" s="189" t="n"/>
      <c r="DS15" s="189" t="n"/>
      <c r="DT15" s="189" t="n"/>
      <c r="DU15" s="190" t="n"/>
      <c r="DV15" s="86" t="n"/>
      <c r="DW15" s="188" t="n"/>
      <c r="DX15" s="189" t="n"/>
      <c r="DY15" s="189" t="n"/>
      <c r="DZ15" s="189" t="n"/>
      <c r="EA15" s="190" t="n"/>
      <c r="EB15" s="86" t="n"/>
      <c r="EC15" s="188" t="n"/>
      <c r="ED15" s="189" t="n"/>
      <c r="EE15" s="189" t="n"/>
      <c r="EF15" s="189" t="n"/>
      <c r="EG15" s="190" t="n"/>
      <c r="EH15" s="86" t="n"/>
      <c r="EI15" s="188" t="n"/>
      <c r="EJ15" s="189" t="n"/>
      <c r="EK15" s="189" t="n"/>
      <c r="EL15" s="189" t="n"/>
      <c r="EM15" s="190" t="n"/>
      <c r="EN15" s="86" t="n"/>
      <c r="EO15" s="188" t="n"/>
      <c r="EP15" s="189" t="n"/>
      <c r="EQ15" s="189" t="n"/>
      <c r="ER15" s="189" t="n"/>
      <c r="ES15" s="190" t="n"/>
      <c r="ET15" s="86" t="n"/>
      <c r="EU15" s="188" t="inlineStr">
        <is>
          <t xml:space="preserve">Additions </t>
        </is>
      </c>
      <c r="EV15" s="189">
        <f>SUMIFS(Investments!$D:$D,Investments!$B:$B,EU$10,Investments!$C:$C,$A$1,Investments!$A:$A,"&gt;"&amp;IF(EY12&gt;$D$2,EY12,$D$2),Investments!$A:$A,"&lt;="&amp;$E$2,Investments!$D:$D,"&gt;"&amp;0)</f>
        <v/>
      </c>
      <c r="EW15" s="189">
        <f>SUMIFS(Investments!$D:$D,Investments!$B:$B,EU$10,Investments!$C:$C,$A$1,Investments!$A:$A,"&gt;"&amp;IF(EY12&gt;$D$3,EY12,$D$3),Investments!$A:$A,"&lt;="&amp;$E$3,Investments!$D:$D,"&gt;"&amp;0)</f>
        <v/>
      </c>
      <c r="EX15" s="189">
        <f>SUMIFS(Investments!$D:$D,Investments!$B:$B,EU$10,Investments!$C:$C,$A$1,Investments!$A:$A,"&gt;"&amp;IF(EY12&gt;$D$4,EY12,$D$4),Investments!$A:$A,"&lt;="&amp;$E$4,Investments!$D:$D,"&gt;"&amp;0)</f>
        <v/>
      </c>
      <c r="EY15" s="190">
        <f>SUMIFS(Investments!$D:$D,Investments!$B:$B,EU$10,Investments!$C:$C,$A$1,Investments!$A:$A,"&gt;"&amp;EY12,Investments!$A:$A,"&lt;="&amp;$E$4,Investments!$D:$D,"&gt;"&amp;0)</f>
        <v/>
      </c>
      <c r="EZ15" s="86" t="n"/>
      <c r="FA15" s="188" t="inlineStr">
        <is>
          <t xml:space="preserve">Additions </t>
        </is>
      </c>
      <c r="FB15" s="189">
        <f>SUMIFS(Investments!$D:$D,Investments!$B:$B,FA$10,Investments!$C:$C,$A$1,Investments!$A:$A,"&gt;"&amp;IF(FE12&gt;$D$2,FE12,$D$2),Investments!$A:$A,"&lt;="&amp;$E$2,Investments!$D:$D,"&gt;"&amp;0)</f>
        <v/>
      </c>
      <c r="FC15" s="189">
        <f>SUMIFS(Investments!$D:$D,Investments!$B:$B,FA$10,Investments!$C:$C,$A$1,Investments!$A:$A,"&gt;"&amp;IF(FE12&gt;$D$3,FE12,$D$3),Investments!$A:$A,"&lt;="&amp;$E$3,Investments!$D:$D,"&gt;"&amp;0)</f>
        <v/>
      </c>
      <c r="FD15" s="189">
        <f>SUMIFS(Investments!$D:$D,Investments!$B:$B,FA$10,Investments!$C:$C,$A$1,Investments!$A:$A,"&gt;"&amp;IF(FE12&gt;$D$4,FE12,$D$4),Investments!$A:$A,"&lt;="&amp;$E$4,Investments!$D:$D,"&gt;"&amp;0)</f>
        <v/>
      </c>
      <c r="FE15" s="190">
        <f>SUMIFS(Investments!$D:$D,Investments!$B:$B,FA$10,Investments!$C:$C,$A$1,Investments!$A:$A,"&gt;"&amp;FE12,Investments!$A:$A,"&lt;="&amp;$E$4,Investments!$D:$D,"&gt;"&amp;0)</f>
        <v/>
      </c>
      <c r="FF15" s="86" t="n"/>
      <c r="FG15" s="188" t="n"/>
      <c r="FH15" s="189" t="n"/>
      <c r="FI15" s="189" t="n"/>
      <c r="FJ15" s="189" t="n"/>
      <c r="FK15" s="190" t="n"/>
      <c r="FL15" s="86" t="n"/>
      <c r="FM15" s="188" t="n"/>
      <c r="FN15" s="189" t="n"/>
      <c r="FO15" s="189" t="n"/>
      <c r="FP15" s="189" t="n"/>
      <c r="FQ15" s="190" t="n"/>
      <c r="FR15" s="86" t="n"/>
      <c r="FS15" s="188" t="n"/>
      <c r="FT15" s="189" t="n"/>
      <c r="FU15" s="189" t="n"/>
      <c r="FV15" s="189" t="n"/>
      <c r="FW15" s="190" t="n"/>
      <c r="FX15" s="86" t="n"/>
      <c r="FY15" s="188" t="n"/>
      <c r="FZ15" s="189" t="n"/>
      <c r="GA15" s="189" t="n"/>
      <c r="GB15" s="189" t="n"/>
      <c r="GC15" s="190" t="n"/>
      <c r="GD15" s="86" t="n"/>
      <c r="GE15" s="188" t="inlineStr">
        <is>
          <t xml:space="preserve">Additions </t>
        </is>
      </c>
      <c r="GF15" s="189">
        <f>SUMIFS(Investments!$D:$D,Investments!$B:$B,GE$10,Investments!$C:$C,$A$1,Investments!$A:$A,"&gt;"&amp;IF(GI12&gt;$D$2,GI12,$D$2),Investments!$A:$A,"&lt;="&amp;$E$2,Investments!$D:$D,"&gt;"&amp;0)</f>
        <v/>
      </c>
      <c r="GG15" s="189">
        <f>SUMIFS(Investments!$D:$D,Investments!$B:$B,GE$10,Investments!$C:$C,$A$1,Investments!$A:$A,"&gt;"&amp;IF(GI12&gt;$D$3,GI12,$D$3),Investments!$A:$A,"&lt;="&amp;$E$3,Investments!$D:$D,"&gt;"&amp;0)</f>
        <v/>
      </c>
      <c r="GH15" s="189">
        <f>SUMIFS(Investments!$D:$D,Investments!$B:$B,GE$10,Investments!$C:$C,$A$1,Investments!$A:$A,"&gt;"&amp;IF(GI12&gt;$D$4,GI12,$D$4),Investments!$A:$A,"&lt;="&amp;$E$4,Investments!$D:$D,"&gt;"&amp;0)</f>
        <v/>
      </c>
      <c r="GI15" s="190">
        <f>SUMIFS(Investments!$D:$D,Investments!$B:$B,GE$10,Investments!$C:$C,$A$1,Investments!$A:$A,"&gt;"&amp;GI12,Investments!$A:$A,"&lt;="&amp;$E$4,Investments!$D:$D,"&gt;"&amp;0)</f>
        <v/>
      </c>
      <c r="GJ15" s="86" t="n"/>
      <c r="GK15" s="188" t="inlineStr">
        <is>
          <t xml:space="preserve">Additions </t>
        </is>
      </c>
      <c r="GL15" s="189">
        <f>SUMIFS(Investments!$D:$D,Investments!$B:$B,GK$10,Investments!$C:$C,$A$1,Investments!$A:$A,"&gt;"&amp;IF(GO12&gt;$D$2,GO12,$D$2),Investments!$A:$A,"&lt;="&amp;$E$2,Investments!$D:$D,"&gt;"&amp;0)</f>
        <v/>
      </c>
      <c r="GM15" s="189">
        <f>SUMIFS(Investments!$D:$D,Investments!$B:$B,GK$10,Investments!$C:$C,$A$1,Investments!$A:$A,"&gt;"&amp;IF(GO12&gt;$D$3,GO12,$D$3),Investments!$A:$A,"&lt;="&amp;$E$3,Investments!$D:$D,"&gt;"&amp;0)</f>
        <v/>
      </c>
      <c r="GN15" s="189">
        <f>SUMIFS(Investments!$D:$D,Investments!$B:$B,GK$10,Investments!$C:$C,$A$1,Investments!$A:$A,"&gt;"&amp;IF(GO12&gt;$D$4,GO12,$D$4),Investments!$A:$A,"&lt;="&amp;$E$4,Investments!$D:$D,"&gt;"&amp;0)</f>
        <v/>
      </c>
      <c r="GO15" s="190">
        <f>SUMIFS(Investments!$D:$D,Investments!$B:$B,GK$10,Investments!$C:$C,$A$1,Investments!$A:$A,"&gt;"&amp;GO12,Investments!$A:$A,"&lt;="&amp;$E$4,Investments!$D:$D,"&gt;"&amp;0)</f>
        <v/>
      </c>
      <c r="GP15" s="86" t="n"/>
      <c r="GQ15" s="188" t="inlineStr">
        <is>
          <t xml:space="preserve">Additions </t>
        </is>
      </c>
      <c r="GR15" s="191">
        <f>SUMIFS(Investments!$D:$D,Investments!$B:$B,GQ$10,Investments!$C:$C,$A$1,Investments!$A:$A,"&gt;"&amp;IF(GU12&gt;$D$2,GU12,$D$2),Investments!$A:$A,"&lt;="&amp;$E$2,Investments!$D:$D,"&gt;"&amp;0)</f>
        <v/>
      </c>
      <c r="GS15" s="191">
        <f>SUMIFS(Investments!$D:$D,Investments!$B:$B,GQ$10,Investments!$C:$C,$A$1,Investments!$A:$A,"&gt;"&amp;IF(GU12&gt;$D$3,GU12,$D$3),Investments!$A:$A,"&lt;="&amp;$E$3,Investments!$D:$D,"&gt;"&amp;0)</f>
        <v/>
      </c>
      <c r="GT15" s="191">
        <f>SUMIFS(Investments!$D:$D,Investments!$B:$B,GQ$10,Investments!$C:$C,$A$1,Investments!$A:$A,"&gt;"&amp;IF(GU12&gt;$D$4,GU12,$D$4),Investments!$A:$A,"&lt;="&amp;$E$4,Investments!$D:$D,"&gt;"&amp;0)</f>
        <v/>
      </c>
      <c r="GU15" s="192">
        <f>SUMIFS(Investments!$D:$D,Investments!$B:$B,GQ$10,Investments!$C:$C,$A$1,Investments!$A:$A,"&gt;"&amp;GU12,Investments!$A:$A,"&lt;="&amp;$E$4,Investments!$D:$D,"&gt;"&amp;0)</f>
        <v/>
      </c>
      <c r="GV15" s="86" t="n"/>
      <c r="GW15" s="188" t="n"/>
      <c r="GX15" s="189" t="n"/>
      <c r="GY15" s="189" t="n"/>
      <c r="GZ15" s="189" t="n"/>
      <c r="HA15" s="190" t="n"/>
      <c r="HB15" s="86" t="n"/>
      <c r="HC15" s="188" t="inlineStr">
        <is>
          <t xml:space="preserve">Additions </t>
        </is>
      </c>
      <c r="HD15" s="191">
        <f>SUMIFS(Investments!$D:$D,Investments!$B:$B,HC$10,Investments!$C:$C,$A$1,Investments!$A:$A,"&gt;"&amp;IF(HG12&gt;$D$2,HG12,$D$2),Investments!$A:$A,"&lt;="&amp;$E$2,Investments!$D:$D,"&gt;"&amp;0)</f>
        <v/>
      </c>
      <c r="HE15" s="191">
        <f>SUMIFS(Investments!$D:$D,Investments!$B:$B,HC$10,Investments!$C:$C,$A$1,Investments!$A:$A,"&gt;"&amp;IF(HG12&gt;$D$3,HG12,$D$3),Investments!$A:$A,"&lt;="&amp;$E$3,Investments!$D:$D,"&gt;"&amp;0)</f>
        <v/>
      </c>
      <c r="HF15" s="191">
        <f>SUMIFS(Investments!$D:$D,Investments!$B:$B,HC$10,Investments!$C:$C,$A$1,Investments!$A:$A,"&gt;"&amp;IF(HG12&gt;$D$4,HG12,$D$4),Investments!$A:$A,"&lt;="&amp;$E$4,Investments!$D:$D,"&gt;"&amp;0)</f>
        <v/>
      </c>
      <c r="HG15" s="192">
        <f>SUMIFS(Investments!$D:$D,Investments!$B:$B,HC$10,Investments!$C:$C,$A$1,Investments!$A:$A,"&gt;"&amp;HG12,Investments!$A:$A,"&lt;="&amp;$E$4,Investments!$D:$D,"&gt;"&amp;0)</f>
        <v/>
      </c>
      <c r="HH15" s="86" t="n"/>
      <c r="HI15" s="188" t="n"/>
      <c r="HJ15" s="189" t="n"/>
      <c r="HK15" s="189" t="n"/>
      <c r="HL15" s="189" t="n"/>
      <c r="HM15" s="190" t="n"/>
      <c r="HN15" s="86" t="n"/>
      <c r="HO15" s="188" t="n"/>
      <c r="HP15" s="189" t="n"/>
      <c r="HQ15" s="189" t="n"/>
      <c r="HR15" s="189" t="n"/>
      <c r="HS15" s="190" t="n"/>
      <c r="HT15" s="86" t="n"/>
      <c r="HU15" s="188" t="n"/>
      <c r="HV15" s="189" t="n"/>
      <c r="HW15" s="189" t="n"/>
      <c r="HX15" s="189" t="n"/>
      <c r="HY15" s="190" t="n"/>
      <c r="HZ15" s="86" t="n"/>
      <c r="IA15" s="188" t="inlineStr">
        <is>
          <t xml:space="preserve">Additions </t>
        </is>
      </c>
      <c r="IB15" s="191">
        <f>SUMIFS(Investments!$D:$D,Investments!$B:$B,IA$10,Investments!$C:$C,$A$1,Investments!$A:$A,"&gt;"&amp;IF(IE12&gt;$D$2,IE12,$D$2),Investments!$A:$A,"&lt;="&amp;$E$2,Investments!$D:$D,"&gt;"&amp;0)</f>
        <v/>
      </c>
      <c r="IC15" s="191">
        <f>SUMIFS(Investments!$D:$D,Investments!$B:$B,IA$10,Investments!$C:$C,$A$1,Investments!$A:$A,"&gt;"&amp;IF(IE12&gt;$D$3,IE12,$D$3),Investments!$A:$A,"&lt;="&amp;$E$3,Investments!$D:$D,"&gt;"&amp;0)</f>
        <v/>
      </c>
      <c r="ID15" s="191">
        <f>SUMIFS(Investments!$D:$D,Investments!$B:$B,IA$10,Investments!$C:$C,$A$1,Investments!$A:$A,"&gt;"&amp;IF(IE12&gt;$D$4,IE12,$D$4),Investments!$A:$A,"&lt;="&amp;$E$4,Investments!$D:$D,"&gt;"&amp;0)</f>
        <v/>
      </c>
      <c r="IE15" s="192">
        <f>SUMIFS(Investments!$D:$D,Investments!$B:$B,IA$10,Investments!$C:$C,$A$1,Investments!$A:$A,"&gt;"&amp;IE12,Investments!$A:$A,"&lt;="&amp;$E$4,Investments!$D:$D,"&gt;"&amp;0)</f>
        <v/>
      </c>
      <c r="IF15" s="86" t="n"/>
      <c r="IG15" s="188" t="inlineStr">
        <is>
          <t xml:space="preserve">Additions </t>
        </is>
      </c>
      <c r="IH15" s="191">
        <f>SUMIFS(Investments!$D:$D,Investments!$B:$B,IG$10,Investments!$C:$C,$A$1,Investments!$A:$A,"&gt;"&amp;IF(IK12&gt;$D$2,IK12,$D$2),Investments!$A:$A,"&lt;="&amp;$E$2,Investments!$D:$D,"&gt;"&amp;0)</f>
        <v/>
      </c>
      <c r="II15" s="191">
        <f>SUMIFS(Investments!$D:$D,Investments!$B:$B,IG$10,Investments!$C:$C,$A$1,Investments!$A:$A,"&gt;"&amp;IF(IK12&gt;$D$3,IK12,$D$3),Investments!$A:$A,"&lt;="&amp;$E$3,Investments!$D:$D,"&gt;"&amp;0)</f>
        <v/>
      </c>
      <c r="IJ15" s="191">
        <f>SUMIFS(Investments!$D:$D,Investments!$B:$B,IG$10,Investments!$C:$C,$A$1,Investments!$A:$A,"&gt;"&amp;IF(IK12&gt;$D$4,IK12,$D$4),Investments!$A:$A,"&lt;="&amp;$E$4,Investments!$D:$D,"&gt;"&amp;0)</f>
        <v/>
      </c>
      <c r="IK15" s="192">
        <f>SUMIFS(Investments!$D:$D,Investments!$B:$B,IG$10,Investments!$C:$C,$A$1,Investments!$A:$A,"&gt;"&amp;IK12,Investments!$A:$A,"&lt;="&amp;$E$4,Investments!$D:$D,"&gt;"&amp;0)</f>
        <v/>
      </c>
      <c r="IL15" s="86" t="n"/>
      <c r="IM15" s="188" t="n"/>
      <c r="IN15" s="189" t="n"/>
      <c r="IO15" s="189" t="n"/>
      <c r="IP15" s="189" t="n"/>
      <c r="IQ15" s="190" t="n"/>
      <c r="IR15" s="86" t="n"/>
      <c r="IS15" s="188" t="n"/>
      <c r="IT15" s="189" t="n"/>
      <c r="IU15" s="189" t="n"/>
      <c r="IV15" s="189" t="n"/>
      <c r="IW15" s="190" t="n"/>
      <c r="IX15" s="86" t="n"/>
      <c r="IY15" s="188" t="n"/>
      <c r="IZ15" s="189" t="n"/>
      <c r="JA15" s="189" t="n"/>
      <c r="JB15" s="189" t="n"/>
      <c r="JC15" s="190" t="n"/>
    </row>
    <row r="16" ht="15.75" customHeight="1" s="252">
      <c r="A16" s="188" t="inlineStr">
        <is>
          <t>Redemptions</t>
        </is>
      </c>
      <c r="B16" s="189">
        <f>SUMIFS(Investments!$D:$D,Investments!$B:$B,A$10,Investments!$C:$C,$A$1,Investments!$A:$A,"&gt;"&amp;IF(E12&gt;$D$2,E12,$D$2),Investments!$A:$A,"&lt;"&amp;$E$2,Investments!$D:$D,"&lt;"&amp;0)</f>
        <v/>
      </c>
      <c r="C16" s="189">
        <f>SUMIFS(Investments!$D:$D,Investments!$B:$B,A$10,Investments!$C:$C,$A$1,Investments!$A:$A,"&gt;"&amp;IF(E12&gt;$D$3,E12,$D$3),Investments!$A:$A,"&lt;="&amp;$E$3,Investments!$D:$D,"&lt;"&amp;0)</f>
        <v/>
      </c>
      <c r="D16" s="189">
        <f>SUMIFS(Investments!$D:$D,Investments!$B:$B,A$10,Investments!$C:$C,$A$1,Investments!$A:$A,"&gt;"&amp;IF(E12&gt;$D$4,E12,$D$4),Investments!$A:$A,"&lt;="&amp;$E$4,Investments!$D:$D,"&lt;"&amp;0)</f>
        <v/>
      </c>
      <c r="E16" s="190">
        <f>SUMIFS(Investments!$D:$D,Investments!$B:$B,A$10,Investments!$C:$C,$A$1,Investments!$A:$A,"&gt;"&amp;E12,Investments!$A:$A,"&lt;="&amp;$E$4,Investments!$D:$D,"&lt;"&amp;0)</f>
        <v/>
      </c>
      <c r="G16" s="188" t="inlineStr">
        <is>
          <t>Redemptions</t>
        </is>
      </c>
      <c r="H16" s="189">
        <f>SUMIFS(Investments!$D:$D,Investments!$B:$B,G$10,Investments!$C:$C,$A$1,Investments!$A:$A,"&gt;"&amp;IF(K12&gt;$D$2,K12,$D$2),Investments!$A:$A,"&lt;"&amp;$E$2,Investments!$D:$D,"&lt;"&amp;0)</f>
        <v/>
      </c>
      <c r="I16" s="189">
        <f>SUMIFS(Investments!$D:$D,Investments!$B:$B,G$10,Investments!$C:$C,$A$1,Investments!$A:$A,"&gt;"&amp;IF(K12&gt;$D$3,K12,$D$3),Investments!$A:$A,"&lt;="&amp;$E$3,Investments!$D:$D,"&lt;"&amp;0)</f>
        <v/>
      </c>
      <c r="J16" s="189">
        <f>SUMIFS(Investments!$D:$D,Investments!$B:$B,G$10,Investments!$C:$C,$A$1,Investments!$A:$A,"&gt;"&amp;IF(K12&gt;$D$4,K12,$D$4),Investments!$A:$A,"&lt;="&amp;$E$4,Investments!$D:$D,"&lt;"&amp;0)</f>
        <v/>
      </c>
      <c r="K16" s="190">
        <f>SUMIFS(Investments!$D:$D,Investments!$B:$B,G$10,Investments!$C:$C,$A$1,Investments!$A:$A,"&gt;"&amp;K12,Investments!$A:$A,"&lt;="&amp;$E$4,Investments!$D:$D,"&lt;"&amp;0)</f>
        <v/>
      </c>
      <c r="M16" s="188" t="inlineStr">
        <is>
          <t>Redemptions</t>
        </is>
      </c>
      <c r="N16" s="189">
        <f>SUMIFS(Investments!$D:$D,Investments!$B:$B,M$10,Investments!$C:$C,$A$1,Investments!$A:$A,"&gt;"&amp;IF(Q12&gt;$D$2,Q12,$D$2),Investments!$A:$A,"&lt;"&amp;$E$2,Investments!$D:$D,"&lt;"&amp;0)</f>
        <v/>
      </c>
      <c r="O16" s="189">
        <f>SUMIFS(Investments!$D:$D,Investments!$B:$B,M$10,Investments!$C:$C,$A$1,Investments!$A:$A,"&gt;"&amp;IF(Q12&gt;$D$3,Q12,$D$3),Investments!$A:$A,"&lt;="&amp;$E$3,Investments!$D:$D,"&lt;"&amp;0)</f>
        <v/>
      </c>
      <c r="P16" s="189">
        <f>SUMIFS(Investments!$D:$D,Investments!$B:$B,M$10,Investments!$C:$C,$A$1,Investments!$A:$A,"&gt;"&amp;IF(Q12&gt;$D$4,Q12,$D$4),Investments!$A:$A,"&lt;="&amp;$E$4,Investments!$D:$D,"&lt;"&amp;0)</f>
        <v/>
      </c>
      <c r="Q16" s="190">
        <f>SUMIFS(Investments!$D:$D,Investments!$B:$B,M$10,Investments!$C:$C,$A$1,Investments!$A:$A,"&gt;"&amp;Q12,Investments!$A:$A,"&lt;="&amp;$E$4,Investments!$D:$D,"&lt;"&amp;0)</f>
        <v/>
      </c>
      <c r="S16" s="188" t="inlineStr">
        <is>
          <t>Redemptions</t>
        </is>
      </c>
      <c r="T16" s="189">
        <f>SUMIFS(Investments!$D:$D,Investments!$B:$B,S$10,Investments!$C:$C,$A$1,Investments!$A:$A,"&gt;"&amp;IF(W12&gt;$D$2,W12,$D$2),Investments!$A:$A,"&lt;"&amp;$E$2,Investments!$D:$D,"&lt;"&amp;0)</f>
        <v/>
      </c>
      <c r="U16" s="189">
        <f>SUMIFS(Investments!$D:$D,Investments!$B:$B,S$10,Investments!$C:$C,$A$1,Investments!$A:$A,"&gt;"&amp;IF(W12&gt;$D$3,W12,$D$3),Investments!$A:$A,"&lt;="&amp;$E$3,Investments!$D:$D,"&lt;"&amp;0)</f>
        <v/>
      </c>
      <c r="V16" s="189">
        <f>SUMIFS(Investments!$D:$D,Investments!$B:$B,S$10,Investments!$C:$C,$A$1,Investments!$A:$A,"&gt;"&amp;IF(W12&gt;$D$4,W12,$D$4),Investments!$A:$A,"&lt;="&amp;$E$4,Investments!$D:$D,"&lt;"&amp;0)</f>
        <v/>
      </c>
      <c r="W16" s="190">
        <f>SUMIFS(Investments!$D:$D,Investments!$B:$B,S$10,Investments!$C:$C,$A$1,Investments!$A:$A,"&gt;"&amp;W12,Investments!$A:$A,"&lt;="&amp;$E$4,Investments!$D:$D,"&lt;"&amp;0)</f>
        <v/>
      </c>
      <c r="Y16" s="188" t="inlineStr">
        <is>
          <t>Redemptions</t>
        </is>
      </c>
      <c r="Z16" s="189">
        <f>SUMIFS(Investments!$D:$D,Investments!$B:$B,Y$10,Investments!$C:$C,$A$1,Investments!$A:$A,"&gt;"&amp;IF(AC12&gt;$D$2,AC12,$D$2),Investments!$A:$A,"&lt;"&amp;$E$2,Investments!$D:$D,"&lt;"&amp;0)</f>
        <v/>
      </c>
      <c r="AA16" s="189">
        <f>SUMIFS(Investments!$D:$D,Investments!$B:$B,Y$10,Investments!$C:$C,$A$1,Investments!$A:$A,"&gt;"&amp;IF(AC12&gt;$D$3,AC12,$D$3),Investments!$A:$A,"&lt;="&amp;$E$3,Investments!$D:$D,"&lt;"&amp;0)</f>
        <v/>
      </c>
      <c r="AB16" s="189">
        <f>SUMIFS(Investments!$D:$D,Investments!$B:$B,Y$10,Investments!$C:$C,$A$1,Investments!$A:$A,"&gt;"&amp;IF(AC12&gt;$D$4,AC12,$D$4),Investments!$A:$A,"&lt;="&amp;$E$4,Investments!$D:$D,"&lt;"&amp;0)</f>
        <v/>
      </c>
      <c r="AC16" s="190">
        <f>SUMIFS(Investments!$D:$D,Investments!$B:$B,Y$10,Investments!$C:$C,$A$1,Investments!$A:$A,"&gt;"&amp;AC12,Investments!$A:$A,"&lt;="&amp;$E$4,Investments!$D:$D,"&lt;"&amp;0)</f>
        <v/>
      </c>
      <c r="AD16" s="86" t="n"/>
      <c r="AE16" s="188" t="inlineStr">
        <is>
          <t>Redemptions</t>
        </is>
      </c>
      <c r="AF16" s="189">
        <f>SUMIFS(Investments!$D:$D,Investments!$B:$B,AE$10,Investments!$C:$C,$A$1,Investments!$A:$A,"&gt;"&amp;IF(AI12&gt;$D$2,AI12,$D$2),Investments!$A:$A,"&lt;"&amp;$E$2,Investments!$D:$D,"&lt;"&amp;0)</f>
        <v/>
      </c>
      <c r="AG16" s="189">
        <f>SUMIFS(Investments!$D:$D,Investments!$B:$B,AE$10,Investments!$C:$C,$A$1,Investments!$A:$A,"&gt;"&amp;IF(AI12&gt;$D$3,AI12,$D$3),Investments!$A:$A,"&lt;="&amp;$E$3,Investments!$D:$D,"&lt;"&amp;0)</f>
        <v/>
      </c>
      <c r="AH16" s="189">
        <f>SUMIFS(Investments!$D:$D,Investments!$B:$B,AE$10,Investments!$C:$C,$A$1,Investments!$A:$A,"&gt;"&amp;IF(AI12&gt;$D$4,AI12,$D$4),Investments!$A:$A,"&lt;="&amp;$E$4,Investments!$D:$D,"&lt;"&amp;0)</f>
        <v/>
      </c>
      <c r="AI16" s="190">
        <f>SUMIFS(Investments!$D:$D,Investments!$B:$B,AE$10,Investments!$C:$C,$A$1,Investments!$A:$A,"&gt;"&amp;AI12,Investments!$A:$A,"&lt;="&amp;$E$4,Investments!$D:$D,"&lt;"&amp;0)</f>
        <v/>
      </c>
      <c r="AJ16" s="86" t="n"/>
      <c r="AK16" s="188" t="inlineStr">
        <is>
          <t>Redemptions</t>
        </is>
      </c>
      <c r="AL16" s="189">
        <f>SUMIFS(Investments!$D:$D,Investments!$B:$B,AK$10,Investments!$C:$C,$A$1,Investments!$A:$A,"&gt;"&amp;IF(AO12&gt;$D$2,AO12,$D$2),Investments!$A:$A,"&lt;"&amp;$E$2,Investments!$D:$D,"&lt;"&amp;0)</f>
        <v/>
      </c>
      <c r="AM16" s="189">
        <f>SUMIFS(Investments!$D:$D,Investments!$B:$B,AK$10,Investments!$C:$C,$A$1,Investments!$A:$A,"&gt;"&amp;IF(AO12&gt;$D$3,AO12,$D$3),Investments!$A:$A,"&lt;="&amp;$E$3,Investments!$D:$D,"&lt;"&amp;0)</f>
        <v/>
      </c>
      <c r="AN16" s="189">
        <f>SUMIFS(Investments!$D:$D,Investments!$B:$B,AK$10,Investments!$C:$C,$A$1,Investments!$A:$A,"&gt;"&amp;IF(AO12&gt;$D$4,AO12,$D$4),Investments!$A:$A,"&lt;="&amp;$E$4,Investments!$D:$D,"&lt;"&amp;0)</f>
        <v/>
      </c>
      <c r="AO16" s="190">
        <f>SUMIFS(Investments!$D:$D,Investments!$B:$B,AK$10,Investments!$C:$C,$A$1,Investments!$A:$A,"&gt;"&amp;AO12,Investments!$A:$A,"&lt;="&amp;$E$4,Investments!$D:$D,"&lt;"&amp;0)</f>
        <v/>
      </c>
      <c r="AP16" s="86" t="n"/>
      <c r="AQ16" s="188" t="inlineStr">
        <is>
          <t>Redemptions</t>
        </is>
      </c>
      <c r="AR16" s="189">
        <f>SUMIFS(Investments!$D:$D,Investments!$B:$B,AQ$10,Investments!$C:$C,$A$1,Investments!$A:$A,"&gt;"&amp;IF(AU12&gt;$D$2,AU12,$D$2),Investments!$A:$A,"&lt;"&amp;$E$2,Investments!$D:$D,"&lt;"&amp;0)</f>
        <v/>
      </c>
      <c r="AS16" s="189">
        <f>SUMIFS(Investments!$D:$D,Investments!$B:$B,AQ$10,Investments!$C:$C,$A$1,Investments!$A:$A,"&gt;"&amp;IF(AU12&gt;$D$3,AU12,$D$3),Investments!$A:$A,"&lt;="&amp;$E$3,Investments!$D:$D,"&lt;"&amp;0)</f>
        <v/>
      </c>
      <c r="AT16" s="189">
        <f>SUMIFS(Investments!$D:$D,Investments!$B:$B,AQ$10,Investments!$C:$C,$A$1,Investments!$A:$A,"&gt;"&amp;IF(AU12&gt;$D$4,AU12,$D$4),Investments!$A:$A,"&lt;="&amp;$E$4,Investments!$D:$D,"&lt;"&amp;0)</f>
        <v/>
      </c>
      <c r="AU16" s="190">
        <f>SUMIFS(Investments!$D:$D,Investments!$B:$B,AQ$10,Investments!$C:$C,$A$1,Investments!$A:$A,"&gt;"&amp;AU12,Investments!$A:$A,"&lt;="&amp;$E$4,Investments!$D:$D,"&lt;"&amp;0)</f>
        <v/>
      </c>
      <c r="AV16" s="86" t="n"/>
      <c r="AW16" s="188" t="n"/>
      <c r="AX16" s="189" t="n"/>
      <c r="AY16" s="189" t="n"/>
      <c r="AZ16" s="189" t="n"/>
      <c r="BA16" s="190" t="n"/>
      <c r="BB16" s="86" t="n"/>
      <c r="BC16" s="188" t="n"/>
      <c r="BD16" s="189" t="n"/>
      <c r="BE16" s="189" t="n"/>
      <c r="BF16" s="189" t="n"/>
      <c r="BG16" s="190" t="n"/>
      <c r="BH16" s="86" t="n"/>
      <c r="BI16" s="188" t="inlineStr">
        <is>
          <t>Redemptions</t>
        </is>
      </c>
      <c r="BJ16" s="189">
        <f>SUMIFS(Investments!$D:$D,Investments!$B:$B,BI$10,Investments!$C:$C,$A$1,Investments!$A:$A,"&gt;"&amp;IF(BM12&gt;$D$2,BM12,$D$2),Investments!$A:$A,"&lt;"&amp;$E$2,Investments!$D:$D,"&lt;"&amp;0)</f>
        <v/>
      </c>
      <c r="BK16" s="189">
        <f>SUMIFS(Investments!$D:$D,Investments!$B:$B,BI$10,Investments!$C:$C,$A$1,Investments!$A:$A,"&gt;"&amp;IF(BM12&gt;$D$3,BM12,$D$3),Investments!$A:$A,"&lt;="&amp;$E$3,Investments!$D:$D,"&lt;"&amp;0)</f>
        <v/>
      </c>
      <c r="BL16" s="189">
        <f>SUMIFS(Investments!$D:$D,Investments!$B:$B,BI$10,Investments!$C:$C,$A$1,Investments!$A:$A,"&gt;"&amp;IF(BM12&gt;$D$4,BM12,$D$4),Investments!$A:$A,"&lt;="&amp;$E$4,Investments!$D:$D,"&lt;"&amp;0)</f>
        <v/>
      </c>
      <c r="BM16" s="190">
        <f>SUMIFS(Investments!$D:$D,Investments!$B:$B,BI$10,Investments!$C:$C,$A$1,Investments!$A:$A,"&gt;"&amp;BM12,Investments!$A:$A,"&lt;="&amp;$E$4,Investments!$D:$D,"&lt;"&amp;0)</f>
        <v/>
      </c>
      <c r="BN16" s="86" t="n"/>
      <c r="BO16" s="188" t="n"/>
      <c r="BP16" s="189" t="n"/>
      <c r="BQ16" s="189" t="n"/>
      <c r="BR16" s="189" t="n"/>
      <c r="BS16" s="190" t="n"/>
      <c r="BT16" s="86" t="n"/>
      <c r="BU16" s="188" t="n"/>
      <c r="BV16" s="189" t="n"/>
      <c r="BW16" s="189" t="n"/>
      <c r="BX16" s="189" t="n"/>
      <c r="BY16" s="190" t="n"/>
      <c r="BZ16" s="86" t="n"/>
      <c r="CA16" s="188" t="n"/>
      <c r="CB16" s="189" t="n"/>
      <c r="CC16" s="189" t="n"/>
      <c r="CD16" s="189" t="n"/>
      <c r="CE16" s="190" t="n"/>
      <c r="CF16" s="86" t="n"/>
      <c r="CG16" s="188" t="n"/>
      <c r="CH16" s="189" t="n"/>
      <c r="CI16" s="189" t="n"/>
      <c r="CJ16" s="189" t="n"/>
      <c r="CK16" s="190" t="n"/>
      <c r="CL16" s="86" t="n"/>
      <c r="CM16" s="188" t="n"/>
      <c r="CN16" s="189" t="n"/>
      <c r="CO16" s="189" t="n"/>
      <c r="CP16" s="189" t="n"/>
      <c r="CQ16" s="190" t="n"/>
      <c r="CR16" s="86" t="n"/>
      <c r="CS16" s="188" t="inlineStr">
        <is>
          <t>Redemptions</t>
        </is>
      </c>
      <c r="CT16" s="189">
        <f>SUMIFS(Investments!$D:$D,Investments!$B:$B,CS$10,Investments!$C:$C,$A$1,Investments!$A:$A,"&gt;"&amp;IF(CW12&gt;$D$2,CW12,$D$2),Investments!$A:$A,"&lt;"&amp;$E$2,Investments!$D:$D,"&lt;"&amp;0)</f>
        <v/>
      </c>
      <c r="CU16" s="189">
        <f>SUMIFS(Investments!$D:$D,Investments!$B:$B,CS$10,Investments!$C:$C,$A$1,Investments!$A:$A,"&gt;"&amp;IF(CW12&gt;$D$3,CW12,$D$3),Investments!$A:$A,"&lt;="&amp;$E$3,Investments!$D:$D,"&lt;"&amp;0)</f>
        <v/>
      </c>
      <c r="CV16" s="189">
        <f>SUMIFS(Investments!$D:$D,Investments!$B:$B,CS$10,Investments!$C:$C,$A$1,Investments!$A:$A,"&gt;"&amp;IF(CW12&gt;$D$4,CW12,$D$4),Investments!$A:$A,"&lt;="&amp;$E$4,Investments!$D:$D,"&lt;"&amp;0)</f>
        <v/>
      </c>
      <c r="CW16" s="190">
        <f>SUMIFS(Investments!$D:$D,Investments!$B:$B,CS$10,Investments!$C:$C,$A$1,Investments!$A:$A,"&gt;"&amp;CW12,Investments!$A:$A,"&lt;="&amp;$E$4,Investments!$D:$D,"&lt;"&amp;0)</f>
        <v/>
      </c>
      <c r="CX16" s="86" t="n"/>
      <c r="CY16" s="188" t="n"/>
      <c r="CZ16" s="189" t="n"/>
      <c r="DA16" s="189" t="n"/>
      <c r="DB16" s="189" t="n"/>
      <c r="DC16" s="190" t="n"/>
      <c r="DD16" s="86" t="n"/>
      <c r="DE16" s="188" t="n"/>
      <c r="DF16" s="189" t="n"/>
      <c r="DG16" s="189" t="n"/>
      <c r="DH16" s="189" t="n"/>
      <c r="DI16" s="190" t="n"/>
      <c r="DJ16" s="86" t="n"/>
      <c r="DK16" s="188" t="n"/>
      <c r="DL16" s="189" t="n"/>
      <c r="DM16" s="189" t="n"/>
      <c r="DN16" s="189" t="n"/>
      <c r="DO16" s="190" t="n"/>
      <c r="DP16" s="86" t="n"/>
      <c r="DQ16" s="188" t="n"/>
      <c r="DR16" s="189" t="n"/>
      <c r="DS16" s="189" t="n"/>
      <c r="DT16" s="189" t="n"/>
      <c r="DU16" s="190" t="n"/>
      <c r="DV16" s="86" t="n"/>
      <c r="DW16" s="188" t="n"/>
      <c r="DX16" s="189" t="n"/>
      <c r="DY16" s="189" t="n"/>
      <c r="DZ16" s="189" t="n"/>
      <c r="EA16" s="190" t="n"/>
      <c r="EB16" s="86" t="n"/>
      <c r="EC16" s="188" t="n"/>
      <c r="ED16" s="189" t="n"/>
      <c r="EE16" s="189" t="n"/>
      <c r="EF16" s="189" t="n"/>
      <c r="EG16" s="190" t="n"/>
      <c r="EH16" s="86" t="n"/>
      <c r="EI16" s="188" t="n"/>
      <c r="EJ16" s="189" t="n"/>
      <c r="EK16" s="189" t="n"/>
      <c r="EL16" s="189" t="n"/>
      <c r="EM16" s="190" t="n"/>
      <c r="EN16" s="86" t="n"/>
      <c r="EO16" s="188" t="n"/>
      <c r="EP16" s="189" t="n"/>
      <c r="EQ16" s="189" t="n"/>
      <c r="ER16" s="189" t="n"/>
      <c r="ES16" s="190" t="n"/>
      <c r="ET16" s="86" t="n"/>
      <c r="EU16" s="188" t="inlineStr">
        <is>
          <t>Redemptions</t>
        </is>
      </c>
      <c r="EV16" s="189">
        <f>SUMIFS(Investments!$D:$D,Investments!$B:$B,EU$10,Investments!$C:$C,$A$1,Investments!$A:$A,"&gt;"&amp;IF(EY12&gt;$D$2,EY12,$D$2),Investments!$A:$A,"&lt;"&amp;$E$2,Investments!$D:$D,"&lt;"&amp;0)</f>
        <v/>
      </c>
      <c r="EW16" s="189">
        <f>SUMIFS(Investments!$D:$D,Investments!$B:$B,EU$10,Investments!$C:$C,$A$1,Investments!$A:$A,"&gt;"&amp;IF(EY12&gt;$D$3,EY12,$D$3),Investments!$A:$A,"&lt;="&amp;$E$3,Investments!$D:$D,"&lt;"&amp;0)</f>
        <v/>
      </c>
      <c r="EX16" s="189">
        <f>SUMIFS(Investments!$D:$D,Investments!$B:$B,EU$10,Investments!$C:$C,$A$1,Investments!$A:$A,"&gt;"&amp;IF(EY12&gt;$D$4,EY12,$D$4),Investments!$A:$A,"&lt;="&amp;$E$4,Investments!$D:$D,"&lt;"&amp;0)</f>
        <v/>
      </c>
      <c r="EY16" s="190">
        <f>SUMIFS(Investments!$D:$D,Investments!$B:$B,EU$10,Investments!$C:$C,$A$1,Investments!$A:$A,"&gt;"&amp;EY12,Investments!$A:$A,"&lt;="&amp;$E$4,Investments!$D:$D,"&lt;"&amp;0)</f>
        <v/>
      </c>
      <c r="EZ16" s="86" t="n"/>
      <c r="FA16" s="188" t="inlineStr">
        <is>
          <t>Redemptions</t>
        </is>
      </c>
      <c r="FB16" s="189">
        <f>SUMIFS(Investments!$D:$D,Investments!$B:$B,FA$10,Investments!$C:$C,$A$1,Investments!$A:$A,"&gt;"&amp;IF(FE12&gt;$D$2,FE12,$D$2),Investments!$A:$A,"&lt;"&amp;$E$2,Investments!$D:$D,"&lt;"&amp;0)</f>
        <v/>
      </c>
      <c r="FC16" s="189">
        <f>SUMIFS(Investments!$D:$D,Investments!$B:$B,FA$10,Investments!$C:$C,$A$1,Investments!$A:$A,"&gt;"&amp;IF(FE12&gt;$D$3,FE12,$D$3),Investments!$A:$A,"&lt;="&amp;$E$3,Investments!$D:$D,"&lt;"&amp;0)</f>
        <v/>
      </c>
      <c r="FD16" s="189">
        <f>SUMIFS(Investments!$D:$D,Investments!$B:$B,FA$10,Investments!$C:$C,$A$1,Investments!$A:$A,"&gt;"&amp;IF(FE12&gt;$D$4,FE12,$D$4),Investments!$A:$A,"&lt;="&amp;$E$4,Investments!$D:$D,"&lt;"&amp;0)</f>
        <v/>
      </c>
      <c r="FE16" s="190">
        <f>SUMIFS(Investments!$D:$D,Investments!$B:$B,FA$10,Investments!$C:$C,$A$1,Investments!$A:$A,"&gt;"&amp;FE12,Investments!$A:$A,"&lt;="&amp;$E$4,Investments!$D:$D,"&lt;"&amp;0)</f>
        <v/>
      </c>
      <c r="FF16" s="86" t="n"/>
      <c r="FG16" s="188" t="n"/>
      <c r="FH16" s="189" t="n"/>
      <c r="FI16" s="189" t="n"/>
      <c r="FJ16" s="189" t="n"/>
      <c r="FK16" s="190" t="n"/>
      <c r="FL16" s="86" t="n"/>
      <c r="FM16" s="188" t="n"/>
      <c r="FN16" s="189" t="n"/>
      <c r="FO16" s="189" t="n"/>
      <c r="FP16" s="189" t="n"/>
      <c r="FQ16" s="190" t="n"/>
      <c r="FR16" s="86" t="n"/>
      <c r="FS16" s="188" t="n"/>
      <c r="FT16" s="189" t="n"/>
      <c r="FU16" s="189" t="n"/>
      <c r="FV16" s="189" t="n"/>
      <c r="FW16" s="190" t="n"/>
      <c r="FX16" s="86" t="n"/>
      <c r="FY16" s="188" t="n"/>
      <c r="FZ16" s="189" t="n"/>
      <c r="GA16" s="189" t="n"/>
      <c r="GB16" s="189" t="n"/>
      <c r="GC16" s="190" t="n"/>
      <c r="GD16" s="86" t="n"/>
      <c r="GE16" s="188" t="inlineStr">
        <is>
          <t>Redemptions</t>
        </is>
      </c>
      <c r="GF16" s="189">
        <f>SUMIFS(Investments!$D:$D,Investments!$B:$B,GE$10,Investments!$C:$C,$A$1,Investments!$A:$A,"&gt;"&amp;IF(GI12&gt;$D$2,GI12,$D$2),Investments!$A:$A,"&lt;"&amp;$E$2,Investments!$D:$D,"&lt;"&amp;0)</f>
        <v/>
      </c>
      <c r="GG16" s="189">
        <f>SUMIFS(Investments!$D:$D,Investments!$B:$B,GE$10,Investments!$C:$C,$A$1,Investments!$A:$A,"&gt;"&amp;IF(GI12&gt;$D$3,GI12,$D$3),Investments!$A:$A,"&lt;="&amp;$E$3,Investments!$D:$D,"&lt;"&amp;0)</f>
        <v/>
      </c>
      <c r="GH16" s="189">
        <f>SUMIFS(Investments!$D:$D,Investments!$B:$B,GE$10,Investments!$C:$C,$A$1,Investments!$A:$A,"&gt;"&amp;IF(GI12&gt;$D$4,GI12,$D$4),Investments!$A:$A,"&lt;="&amp;$E$4,Investments!$D:$D,"&lt;"&amp;0)</f>
        <v/>
      </c>
      <c r="GI16" s="190">
        <f>SUMIFS(Investments!$D:$D,Investments!$B:$B,GE$10,Investments!$C:$C,$A$1,Investments!$A:$A,"&gt;"&amp;GI12,Investments!$A:$A,"&lt;="&amp;$E$4,Investments!$D:$D,"&lt;"&amp;0)</f>
        <v/>
      </c>
      <c r="GJ16" s="86" t="n"/>
      <c r="GK16" s="188" t="inlineStr">
        <is>
          <t>Redemptions</t>
        </is>
      </c>
      <c r="GL16" s="189">
        <f>SUMIFS(Investments!$D:$D,Investments!$B:$B,GK$10,Investments!$C:$C,$A$1,Investments!$A:$A,"&gt;"&amp;IF(GO12&gt;$D$2,GO12,$D$2),Investments!$A:$A,"&lt;"&amp;$E$2,Investments!$D:$D,"&lt;"&amp;0)</f>
        <v/>
      </c>
      <c r="GM16" s="189">
        <f>SUMIFS(Investments!$D:$D,Investments!$B:$B,GK$10,Investments!$C:$C,$A$1,Investments!$A:$A,"&gt;"&amp;IF(GO12&gt;$D$3,GO12,$D$3),Investments!$A:$A,"&lt;="&amp;$E$3,Investments!$D:$D,"&lt;"&amp;0)</f>
        <v/>
      </c>
      <c r="GN16" s="189">
        <f>SUMIFS(Investments!$D:$D,Investments!$B:$B,GK$10,Investments!$C:$C,$A$1,Investments!$A:$A,"&gt;"&amp;IF(GO12&gt;$D$4,GO12,$D$4),Investments!$A:$A,"&lt;="&amp;$E$4,Investments!$D:$D,"&lt;"&amp;0)</f>
        <v/>
      </c>
      <c r="GO16" s="190">
        <f>SUMIFS(Investments!$D:$D,Investments!$B:$B,GK$10,Investments!$C:$C,$A$1,Investments!$A:$A,"&gt;"&amp;GO12,Investments!$A:$A,"&lt;="&amp;$E$4,Investments!$D:$D,"&lt;"&amp;0)</f>
        <v/>
      </c>
      <c r="GP16" s="86" t="n"/>
      <c r="GQ16" s="188" t="inlineStr">
        <is>
          <t>Redemptions</t>
        </is>
      </c>
      <c r="GR16" s="191">
        <f>SUMIFS(Investments!$D:$D,Investments!$B:$B,GQ$10,Investments!$C:$C,$A$1,Investments!$A:$A,"&gt;"&amp;IF(GU12&gt;$D$2,GU12,$D$2),Investments!$A:$A,"&lt;"&amp;$E$2,Investments!$D:$D,"&lt;"&amp;0)</f>
        <v/>
      </c>
      <c r="GS16" s="191">
        <f>SUMIFS(Investments!$D:$D,Investments!$B:$B,GQ$10,Investments!$C:$C,$A$1,Investments!$A:$A,"&gt;"&amp;IF(GU12&gt;$D$3,GU12,$D$3),Investments!$A:$A,"&lt;="&amp;$E$3,Investments!$D:$D,"&lt;"&amp;0)</f>
        <v/>
      </c>
      <c r="GT16" s="191">
        <f>SUMIFS(Investments!$D:$D,Investments!$B:$B,GQ$10,Investments!$C:$C,$A$1,Investments!$A:$A,"&gt;"&amp;IF(GU12&gt;$D$4,GU12,$D$4),Investments!$A:$A,"&lt;="&amp;$E$4,Investments!$D:$D,"&lt;"&amp;0)</f>
        <v/>
      </c>
      <c r="GU16" s="192">
        <f>SUMIFS(Investments!$D:$D,Investments!$B:$B,GQ$10,Investments!$C:$C,$A$1,Investments!$A:$A,"&gt;"&amp;GU12,Investments!$A:$A,"&lt;="&amp;$E$4,Investments!$D:$D,"&lt;"&amp;0)</f>
        <v/>
      </c>
      <c r="GV16" s="86" t="n"/>
      <c r="GW16" s="188" t="n"/>
      <c r="GX16" s="189" t="n"/>
      <c r="GY16" s="189" t="n"/>
      <c r="GZ16" s="189" t="n"/>
      <c r="HA16" s="190" t="n"/>
      <c r="HB16" s="86" t="n"/>
      <c r="HC16" s="188" t="inlineStr">
        <is>
          <t>Redemptions</t>
        </is>
      </c>
      <c r="HD16" s="191">
        <f>SUMIFS(Investments!$D:$D,Investments!$B:$B,HC$10,Investments!$C:$C,$A$1,Investments!$A:$A,"&gt;"&amp;IF(HG12&gt;$D$2,HG12,$D$2),Investments!$A:$A,"&lt;"&amp;$E$2,Investments!$D:$D,"&lt;"&amp;0)</f>
        <v/>
      </c>
      <c r="HE16" s="191">
        <f>SUMIFS(Investments!$D:$D,Investments!$B:$B,HC$10,Investments!$C:$C,$A$1,Investments!$A:$A,"&gt;"&amp;IF(HG12&gt;$D$3,HG12,$D$3),Investments!$A:$A,"&lt;="&amp;$E$3,Investments!$D:$D,"&lt;"&amp;0)</f>
        <v/>
      </c>
      <c r="HF16" s="191">
        <f>SUMIFS(Investments!$D:$D,Investments!$B:$B,HC$10,Investments!$C:$C,$A$1,Investments!$A:$A,"&gt;"&amp;IF(HG12&gt;$D$4,HG12,$D$4),Investments!$A:$A,"&lt;="&amp;$E$4,Investments!$D:$D,"&lt;"&amp;0)</f>
        <v/>
      </c>
      <c r="HG16" s="192">
        <f>SUMIFS(Investments!$D:$D,Investments!$B:$B,HC$10,Investments!$C:$C,$A$1,Investments!$A:$A,"&gt;"&amp;HG12,Investments!$A:$A,"&lt;="&amp;$E$4,Investments!$D:$D,"&lt;"&amp;0)</f>
        <v/>
      </c>
      <c r="HH16" s="86" t="n"/>
      <c r="HI16" s="188" t="n"/>
      <c r="HJ16" s="189" t="n"/>
      <c r="HK16" s="189" t="n"/>
      <c r="HL16" s="189" t="n"/>
      <c r="HM16" s="190" t="n"/>
      <c r="HN16" s="86" t="n"/>
      <c r="HO16" s="188" t="n"/>
      <c r="HP16" s="189" t="n"/>
      <c r="HQ16" s="189" t="n"/>
      <c r="HR16" s="189" t="n"/>
      <c r="HS16" s="190" t="n"/>
      <c r="HT16" s="86" t="n"/>
      <c r="HU16" s="188" t="n"/>
      <c r="HV16" s="189" t="n"/>
      <c r="HW16" s="189" t="n"/>
      <c r="HX16" s="189" t="n"/>
      <c r="HY16" s="190" t="n"/>
      <c r="HZ16" s="86" t="n"/>
      <c r="IA16" s="188" t="inlineStr">
        <is>
          <t>Redemptions</t>
        </is>
      </c>
      <c r="IB16" s="191">
        <f>SUMIFS(Investments!$D:$D,Investments!$B:$B,IA$10,Investments!$C:$C,$A$1,Investments!$A:$A,"&gt;"&amp;IF(IE12&gt;$D$2,IE12,$D$2),Investments!$A:$A,"&lt;"&amp;$E$2,Investments!$D:$D,"&lt;"&amp;0)</f>
        <v/>
      </c>
      <c r="IC16" s="191">
        <f>SUMIFS(Investments!$D:$D,Investments!$B:$B,IA$10,Investments!$C:$C,$A$1,Investments!$A:$A,"&gt;"&amp;IF(IE12&gt;$D$3,IE12,$D$3),Investments!$A:$A,"&lt;="&amp;$E$3,Investments!$D:$D,"&lt;"&amp;0)</f>
        <v/>
      </c>
      <c r="ID16" s="191">
        <f>SUMIFS(Investments!$D:$D,Investments!$B:$B,IA$10,Investments!$C:$C,$A$1,Investments!$A:$A,"&gt;"&amp;IF(IE12&gt;$D$4,IE12,$D$4),Investments!$A:$A,"&lt;="&amp;$E$4,Investments!$D:$D,"&lt;"&amp;0)</f>
        <v/>
      </c>
      <c r="IE16" s="192">
        <f>SUMIFS(Investments!$D:$D,Investments!$B:$B,IA$10,Investments!$C:$C,$A$1,Investments!$A:$A,"&gt;"&amp;IE12,Investments!$A:$A,"&lt;="&amp;$E$4,Investments!$D:$D,"&lt;"&amp;0)</f>
        <v/>
      </c>
      <c r="IF16" s="86" t="n"/>
      <c r="IG16" s="188" t="inlineStr">
        <is>
          <t>Redemptions</t>
        </is>
      </c>
      <c r="IH16" s="191">
        <f>SUMIFS(Investments!$D:$D,Investments!$B:$B,IG$10,Investments!$C:$C,$A$1,Investments!$A:$A,"&gt;"&amp;IF(IK12&gt;$D$2,IK12,$D$2),Investments!$A:$A,"&lt;"&amp;$E$2,Investments!$D:$D,"&lt;"&amp;0)</f>
        <v/>
      </c>
      <c r="II16" s="191">
        <f>SUMIFS(Investments!$D:$D,Investments!$B:$B,IG$10,Investments!$C:$C,$A$1,Investments!$A:$A,"&gt;"&amp;IF(IK12&gt;$D$3,IK12,$D$3),Investments!$A:$A,"&lt;="&amp;$E$3,Investments!$D:$D,"&lt;"&amp;0)</f>
        <v/>
      </c>
      <c r="IJ16" s="191">
        <f>SUMIFS(Investments!$D:$D,Investments!$B:$B,IG$10,Investments!$C:$C,$A$1,Investments!$A:$A,"&gt;"&amp;IF(IK12&gt;$D$4,IK12,$D$4),Investments!$A:$A,"&lt;="&amp;$E$4,Investments!$D:$D,"&lt;"&amp;0)</f>
        <v/>
      </c>
      <c r="IK16" s="192">
        <f>SUMIFS(Investments!$D:$D,Investments!$B:$B,IG$10,Investments!$C:$C,$A$1,Investments!$A:$A,"&gt;"&amp;IK12,Investments!$A:$A,"&lt;="&amp;$E$4,Investments!$D:$D,"&lt;"&amp;0)</f>
        <v/>
      </c>
      <c r="IL16" s="86" t="n"/>
      <c r="IM16" s="188" t="n"/>
      <c r="IN16" s="189" t="n"/>
      <c r="IO16" s="189" t="n"/>
      <c r="IP16" s="189" t="n"/>
      <c r="IQ16" s="190" t="n"/>
      <c r="IR16" s="86" t="n"/>
      <c r="IS16" s="188" t="n"/>
      <c r="IT16" s="189" t="n"/>
      <c r="IU16" s="189" t="n"/>
      <c r="IV16" s="189" t="n"/>
      <c r="IW16" s="190" t="n"/>
      <c r="IX16" s="86" t="n"/>
      <c r="IY16" s="188" t="n"/>
      <c r="IZ16" s="189" t="n"/>
      <c r="JA16" s="189" t="n"/>
      <c r="JB16" s="189" t="n"/>
      <c r="JC16" s="190" t="n"/>
    </row>
    <row r="17" ht="15.75" customHeight="1" s="252">
      <c r="A17" s="188" t="inlineStr">
        <is>
          <t>Net Income</t>
        </is>
      </c>
      <c r="B17" s="189">
        <f>B18-B14-B16-B15</f>
        <v/>
      </c>
      <c r="C17" s="189">
        <f>C18-C14-C16-C15</f>
        <v/>
      </c>
      <c r="D17" s="189">
        <f>D18-D14-D16-D15</f>
        <v/>
      </c>
      <c r="E17" s="190">
        <f>E18-E14-E16-E15</f>
        <v/>
      </c>
      <c r="G17" s="188" t="inlineStr">
        <is>
          <t>Net Income</t>
        </is>
      </c>
      <c r="H17" s="189">
        <f>H18-H14-H16-H15</f>
        <v/>
      </c>
      <c r="I17" s="189">
        <f>I18-I14-I16-I15</f>
        <v/>
      </c>
      <c r="J17" s="189">
        <f>J18-J14-J16-J15</f>
        <v/>
      </c>
      <c r="K17" s="190">
        <f>K18-K14-K16-K15</f>
        <v/>
      </c>
      <c r="M17" s="188" t="inlineStr">
        <is>
          <t>Net Income</t>
        </is>
      </c>
      <c r="N17" s="189">
        <f>N18-N14-N16-N15</f>
        <v/>
      </c>
      <c r="O17" s="189">
        <f>O18-O14-O16-O15</f>
        <v/>
      </c>
      <c r="P17" s="189">
        <f>P18-P14-P16-P15</f>
        <v/>
      </c>
      <c r="Q17" s="190">
        <f>Q18-Q14-Q16-Q15</f>
        <v/>
      </c>
      <c r="S17" s="188" t="inlineStr">
        <is>
          <t>Net Income</t>
        </is>
      </c>
      <c r="T17" s="189">
        <f>T18-T14-T16-T15</f>
        <v/>
      </c>
      <c r="U17" s="189">
        <f>U18-U14-U16-U15</f>
        <v/>
      </c>
      <c r="V17" s="189">
        <f>V18-V14-V16-V15</f>
        <v/>
      </c>
      <c r="W17" s="190">
        <f>W18-W14-W16-W15</f>
        <v/>
      </c>
      <c r="Y17" s="188" t="inlineStr">
        <is>
          <t>Net Income</t>
        </is>
      </c>
      <c r="Z17" s="189">
        <f>Z18-Z14-Z16-Z15</f>
        <v/>
      </c>
      <c r="AA17" s="189">
        <f>AA18-AA14-AA16-AA15</f>
        <v/>
      </c>
      <c r="AB17" s="189">
        <f>AB18-AB14-AB16-AB15</f>
        <v/>
      </c>
      <c r="AC17" s="190">
        <f>AC18-AC14-AC16-AC15</f>
        <v/>
      </c>
      <c r="AD17" s="86" t="n"/>
      <c r="AE17" s="188" t="inlineStr">
        <is>
          <t>Net Income</t>
        </is>
      </c>
      <c r="AF17" s="189">
        <f>AF18-AF14-AF16-AF15</f>
        <v/>
      </c>
      <c r="AG17" s="189">
        <f>AG18-AG14-AG16-AG15</f>
        <v/>
      </c>
      <c r="AH17" s="189">
        <f>AH18-AH14-AH16-AH15</f>
        <v/>
      </c>
      <c r="AI17" s="190">
        <f>AI18-AI14-AI16-AI15</f>
        <v/>
      </c>
      <c r="AJ17" s="86" t="n"/>
      <c r="AK17" s="188" t="inlineStr">
        <is>
          <t>Net Income</t>
        </is>
      </c>
      <c r="AL17" s="189">
        <f>AL18-AL14-AL16-AL15</f>
        <v/>
      </c>
      <c r="AM17" s="189">
        <f>AM18-AM14-AM16-AM15</f>
        <v/>
      </c>
      <c r="AN17" s="189">
        <f>AN18-AN14-AN16-AN15</f>
        <v/>
      </c>
      <c r="AO17" s="190">
        <f>AO18-AO14-AO16-AO15</f>
        <v/>
      </c>
      <c r="AP17" s="86" t="n"/>
      <c r="AQ17" s="188" t="inlineStr">
        <is>
          <t>Net Income</t>
        </is>
      </c>
      <c r="AR17" s="189">
        <f>AR18-AR14-AR16-AR15</f>
        <v/>
      </c>
      <c r="AS17" s="189">
        <f>AS18-AS14-AS16-AS15</f>
        <v/>
      </c>
      <c r="AT17" s="189">
        <f>AT18-AT14-AT16-AT15</f>
        <v/>
      </c>
      <c r="AU17" s="190">
        <f>AU18-AU14-AU16-AU15</f>
        <v/>
      </c>
      <c r="AV17" s="86" t="n"/>
      <c r="AW17" s="188" t="n"/>
      <c r="AX17" s="189" t="n"/>
      <c r="AY17" s="189" t="n"/>
      <c r="AZ17" s="189" t="n"/>
      <c r="BA17" s="190" t="n"/>
      <c r="BB17" s="86" t="n"/>
      <c r="BC17" s="188" t="n"/>
      <c r="BD17" s="189" t="n"/>
      <c r="BE17" s="189" t="n"/>
      <c r="BF17" s="189" t="n"/>
      <c r="BG17" s="190" t="n"/>
      <c r="BH17" s="86" t="n"/>
      <c r="BI17" s="188" t="inlineStr">
        <is>
          <t>Net Income</t>
        </is>
      </c>
      <c r="BJ17" s="189">
        <f>BJ18-BJ14-BJ16-BJ15</f>
        <v/>
      </c>
      <c r="BK17" s="189">
        <f>BK18-BK14-BK16-BK15</f>
        <v/>
      </c>
      <c r="BL17" s="189">
        <f>BL18-BL14-BL16-BL15</f>
        <v/>
      </c>
      <c r="BM17" s="190">
        <f>BM18-BM14-BM16-BM15</f>
        <v/>
      </c>
      <c r="BN17" s="86" t="n"/>
      <c r="BO17" s="188" t="n"/>
      <c r="BP17" s="189" t="n"/>
      <c r="BQ17" s="189" t="n"/>
      <c r="BR17" s="189" t="n"/>
      <c r="BS17" s="190" t="n"/>
      <c r="BT17" s="86" t="n"/>
      <c r="BU17" s="188" t="n"/>
      <c r="BV17" s="189" t="n"/>
      <c r="BW17" s="189" t="n"/>
      <c r="BX17" s="189" t="n"/>
      <c r="BY17" s="190" t="n"/>
      <c r="BZ17" s="86" t="n"/>
      <c r="CA17" s="188" t="n"/>
      <c r="CB17" s="189" t="n"/>
      <c r="CC17" s="189" t="n"/>
      <c r="CD17" s="189" t="n"/>
      <c r="CE17" s="190" t="n"/>
      <c r="CF17" s="86" t="n"/>
      <c r="CG17" s="188" t="n"/>
      <c r="CH17" s="189" t="n"/>
      <c r="CI17" s="189" t="n"/>
      <c r="CJ17" s="189" t="n"/>
      <c r="CK17" s="190" t="n"/>
      <c r="CL17" s="86" t="n"/>
      <c r="CM17" s="188" t="n"/>
      <c r="CN17" s="189" t="n"/>
      <c r="CO17" s="189" t="n"/>
      <c r="CP17" s="189" t="n"/>
      <c r="CQ17" s="190" t="n"/>
      <c r="CR17" s="86" t="n"/>
      <c r="CS17" s="188" t="inlineStr">
        <is>
          <t>Net Income</t>
        </is>
      </c>
      <c r="CT17" s="189">
        <f>CT18-CT14-CT16-CT15</f>
        <v/>
      </c>
      <c r="CU17" s="189">
        <f>CU18-CU14-CU16-CU15</f>
        <v/>
      </c>
      <c r="CV17" s="189">
        <f>CV18-CV14-CV16-CV15</f>
        <v/>
      </c>
      <c r="CW17" s="190">
        <f>CW18-CW14-CW16-CW15</f>
        <v/>
      </c>
      <c r="CX17" s="86" t="n"/>
      <c r="CY17" s="188" t="n"/>
      <c r="CZ17" s="189" t="n"/>
      <c r="DA17" s="189" t="n"/>
      <c r="DB17" s="189" t="n"/>
      <c r="DC17" s="190" t="n"/>
      <c r="DD17" s="86" t="n"/>
      <c r="DE17" s="188" t="n"/>
      <c r="DF17" s="189" t="n"/>
      <c r="DG17" s="189" t="n"/>
      <c r="DH17" s="189" t="n"/>
      <c r="DI17" s="190" t="n"/>
      <c r="DJ17" s="86" t="n"/>
      <c r="DK17" s="188" t="n"/>
      <c r="DL17" s="189" t="n"/>
      <c r="DM17" s="189" t="n"/>
      <c r="DN17" s="189" t="n"/>
      <c r="DO17" s="190" t="n"/>
      <c r="DP17" s="86" t="n"/>
      <c r="DQ17" s="188" t="n"/>
      <c r="DR17" s="189" t="n"/>
      <c r="DS17" s="189" t="n"/>
      <c r="DT17" s="189" t="n"/>
      <c r="DU17" s="190" t="n"/>
      <c r="DV17" s="86" t="n"/>
      <c r="DW17" s="188" t="n"/>
      <c r="DX17" s="189" t="n"/>
      <c r="DY17" s="189" t="n"/>
      <c r="DZ17" s="189" t="n"/>
      <c r="EA17" s="190" t="n"/>
      <c r="EB17" s="86" t="n"/>
      <c r="EC17" s="188" t="n"/>
      <c r="ED17" s="189" t="n"/>
      <c r="EE17" s="189" t="n"/>
      <c r="EF17" s="189" t="n"/>
      <c r="EG17" s="190" t="n"/>
      <c r="EH17" s="86" t="n"/>
      <c r="EI17" s="188" t="n"/>
      <c r="EJ17" s="189" t="n"/>
      <c r="EK17" s="189" t="n"/>
      <c r="EL17" s="189" t="n"/>
      <c r="EM17" s="190" t="n"/>
      <c r="EN17" s="86" t="n"/>
      <c r="EO17" s="188" t="n"/>
      <c r="EP17" s="189" t="n"/>
      <c r="EQ17" s="189" t="n"/>
      <c r="ER17" s="189" t="n"/>
      <c r="ES17" s="190" t="n"/>
      <c r="ET17" s="86" t="n"/>
      <c r="EU17" s="188" t="inlineStr">
        <is>
          <t>Net Income</t>
        </is>
      </c>
      <c r="EV17" s="189">
        <f>EV18-EV14-EV16-EV15</f>
        <v/>
      </c>
      <c r="EW17" s="189">
        <f>EW18-EW14-EW16-EW15</f>
        <v/>
      </c>
      <c r="EX17" s="189">
        <f>EX18-EX14-EX16-EX15</f>
        <v/>
      </c>
      <c r="EY17" s="190">
        <f>EY18-EY14-EY16-EY15</f>
        <v/>
      </c>
      <c r="EZ17" s="86" t="n"/>
      <c r="FA17" s="188" t="inlineStr">
        <is>
          <t>Net Income</t>
        </is>
      </c>
      <c r="FB17" s="189">
        <f>FB18-FB14-FB16-FB15</f>
        <v/>
      </c>
      <c r="FC17" s="189">
        <f>FC18-FC14-FC16-FC15</f>
        <v/>
      </c>
      <c r="FD17" s="189">
        <f>FD18-FD14-FD16-FD15</f>
        <v/>
      </c>
      <c r="FE17" s="190">
        <f>FE18-FE14-FE16-FE15</f>
        <v/>
      </c>
      <c r="FF17" s="86" t="n"/>
      <c r="FG17" s="188" t="n"/>
      <c r="FH17" s="189" t="n"/>
      <c r="FI17" s="189" t="n"/>
      <c r="FJ17" s="189" t="n"/>
      <c r="FK17" s="190" t="n"/>
      <c r="FL17" s="86" t="n"/>
      <c r="FM17" s="188" t="n"/>
      <c r="FN17" s="189" t="n"/>
      <c r="FO17" s="189" t="n"/>
      <c r="FP17" s="189" t="n"/>
      <c r="FQ17" s="190" t="n"/>
      <c r="FR17" s="86" t="n"/>
      <c r="FS17" s="188" t="n"/>
      <c r="FT17" s="189" t="n"/>
      <c r="FU17" s="189" t="n"/>
      <c r="FV17" s="189" t="n"/>
      <c r="FW17" s="190" t="n"/>
      <c r="FX17" s="86" t="n"/>
      <c r="FY17" s="188" t="n"/>
      <c r="FZ17" s="189" t="n"/>
      <c r="GA17" s="189" t="n"/>
      <c r="GB17" s="189" t="n"/>
      <c r="GC17" s="190" t="n"/>
      <c r="GD17" s="86" t="n"/>
      <c r="GE17" s="188" t="inlineStr">
        <is>
          <t>Net Income</t>
        </is>
      </c>
      <c r="GF17" s="189">
        <f>GF18-GF14-GF16-GF15</f>
        <v/>
      </c>
      <c r="GG17" s="189">
        <f>GG18-GG14-GG16-GG15</f>
        <v/>
      </c>
      <c r="GH17" s="189">
        <f>GH18-GH14-GH16-GH15</f>
        <v/>
      </c>
      <c r="GI17" s="190">
        <f>GI18-GI14-GI16-GI15</f>
        <v/>
      </c>
      <c r="GJ17" s="86" t="n"/>
      <c r="GK17" s="188" t="inlineStr">
        <is>
          <t>Net Income</t>
        </is>
      </c>
      <c r="GL17" s="189">
        <f>GL18-GL14-GL16-GL15</f>
        <v/>
      </c>
      <c r="GM17" s="189">
        <f>GM18-GM14-GM16-GM15</f>
        <v/>
      </c>
      <c r="GN17" s="189">
        <f>GN18-GN14-GN16-GN15</f>
        <v/>
      </c>
      <c r="GO17" s="190">
        <f>GO18-GO14-GO16-GO15</f>
        <v/>
      </c>
      <c r="GP17" s="86" t="n"/>
      <c r="GQ17" s="188" t="inlineStr">
        <is>
          <t>Net Income</t>
        </is>
      </c>
      <c r="GR17" s="191">
        <f>GR18-GR14-GR16-GR15</f>
        <v/>
      </c>
      <c r="GS17" s="191">
        <f>GS18-GS14-GS16-GS15</f>
        <v/>
      </c>
      <c r="GT17" s="191">
        <f>GT18-GT14-GT16-GT15</f>
        <v/>
      </c>
      <c r="GU17" s="192">
        <f>GU18-GU14-GU16-GU15</f>
        <v/>
      </c>
      <c r="GV17" s="86" t="n"/>
      <c r="GW17" s="188" t="n"/>
      <c r="GX17" s="189" t="n"/>
      <c r="GY17" s="189" t="n"/>
      <c r="GZ17" s="189" t="n"/>
      <c r="HA17" s="190" t="n"/>
      <c r="HB17" s="86" t="n"/>
      <c r="HC17" s="188" t="inlineStr">
        <is>
          <t>Net Income</t>
        </is>
      </c>
      <c r="HD17" s="191">
        <f>HD18-HD14-HD16-HD15</f>
        <v/>
      </c>
      <c r="HE17" s="191">
        <f>HE18-HE14-HE16-HE15</f>
        <v/>
      </c>
      <c r="HF17" s="191">
        <f>HF18-HF14-HF16-HF15</f>
        <v/>
      </c>
      <c r="HG17" s="192">
        <f>HG18-HG14-HG16-HG15</f>
        <v/>
      </c>
      <c r="HH17" s="86" t="n"/>
      <c r="HI17" s="188" t="n"/>
      <c r="HJ17" s="189" t="n"/>
      <c r="HK17" s="189" t="n"/>
      <c r="HL17" s="189" t="n"/>
      <c r="HM17" s="190" t="n"/>
      <c r="HN17" s="86" t="n"/>
      <c r="HO17" s="188" t="n"/>
      <c r="HP17" s="189" t="n"/>
      <c r="HQ17" s="189" t="n"/>
      <c r="HR17" s="189" t="n"/>
      <c r="HS17" s="190" t="n"/>
      <c r="HT17" s="86" t="n"/>
      <c r="HU17" s="188" t="n"/>
      <c r="HV17" s="189" t="n"/>
      <c r="HW17" s="189" t="n"/>
      <c r="HX17" s="189" t="n"/>
      <c r="HY17" s="190" t="n"/>
      <c r="HZ17" s="86" t="n"/>
      <c r="IA17" s="188" t="inlineStr">
        <is>
          <t>Net Income</t>
        </is>
      </c>
      <c r="IB17" s="191">
        <f>IB18-IB14-IB16-IB15</f>
        <v/>
      </c>
      <c r="IC17" s="191">
        <f>IC18-IC14-IC16-IC15</f>
        <v/>
      </c>
      <c r="ID17" s="191">
        <f>ID18-ID14-ID16-ID15</f>
        <v/>
      </c>
      <c r="IE17" s="192">
        <f>IE18-IE14-IE16-IE15</f>
        <v/>
      </c>
      <c r="IF17" s="86" t="n"/>
      <c r="IG17" s="188" t="inlineStr">
        <is>
          <t>Net Income</t>
        </is>
      </c>
      <c r="IH17" s="191">
        <f>IH18-IH14-IH16-IH15</f>
        <v/>
      </c>
      <c r="II17" s="191">
        <f>II18-II14-II16-II15</f>
        <v/>
      </c>
      <c r="IJ17" s="191">
        <f>IJ18-IJ14-IJ16-IJ15</f>
        <v/>
      </c>
      <c r="IK17" s="192">
        <f>IK18-IK14-IK16-IK15</f>
        <v/>
      </c>
      <c r="IL17" s="86" t="n"/>
      <c r="IM17" s="188" t="n"/>
      <c r="IN17" s="189" t="n"/>
      <c r="IO17" s="189" t="n"/>
      <c r="IP17" s="189" t="n"/>
      <c r="IQ17" s="190" t="n"/>
      <c r="IR17" s="86" t="n"/>
      <c r="IS17" s="188" t="n"/>
      <c r="IT17" s="189" t="n"/>
      <c r="IU17" s="189" t="n"/>
      <c r="IV17" s="189" t="n"/>
      <c r="IW17" s="190" t="n"/>
      <c r="IX17" s="86" t="n"/>
      <c r="IY17" s="188" t="n"/>
      <c r="IZ17" s="189" t="n"/>
      <c r="JA17" s="189" t="n"/>
      <c r="JB17" s="189" t="n"/>
      <c r="JC17" s="190" t="n"/>
    </row>
    <row r="18" ht="15.75" customHeight="1" s="252">
      <c r="A18" s="193" t="inlineStr">
        <is>
          <t>Ending Balance</t>
        </is>
      </c>
      <c r="B18" s="194">
        <f t="array" ref="B18">index('BTC Yield Fund'!$A$8:$EL$1008,MATCH(A$10,'BTC Yield Fund'!$A$8:$A$1008,0),MATCH($E$2,'BTC Yield Fund'!$A$8:$EL$8,0))</f>
        <v/>
      </c>
      <c r="C18" s="194">
        <f>B18</f>
        <v/>
      </c>
      <c r="D18" s="194">
        <f>B18</f>
        <v/>
      </c>
      <c r="E18" s="195">
        <f>B18</f>
        <v/>
      </c>
      <c r="G18" s="193" t="inlineStr">
        <is>
          <t>Ending Balance</t>
        </is>
      </c>
      <c r="H18" s="194">
        <f t="array" ref="H18">index('BTC Yield Fund'!$A$8:$EL$1008,MATCH(G$10,'BTC Yield Fund'!$A$8:$A$1008,0),MATCH($E$2,'BTC Yield Fund'!$A$8:$EL$8,0))</f>
        <v/>
      </c>
      <c r="I18" s="194">
        <f>H18</f>
        <v/>
      </c>
      <c r="J18" s="194">
        <f>H18</f>
        <v/>
      </c>
      <c r="K18" s="195">
        <f>H18</f>
        <v/>
      </c>
      <c r="M18" s="193" t="inlineStr">
        <is>
          <t>Ending Balance</t>
        </is>
      </c>
      <c r="N18" s="194">
        <f t="array" ref="N18">index('BTC Yield Fund'!$A$8:$EL$1008,MATCH(M$10,'BTC Yield Fund'!$A$8:$A$1008,0),MATCH($E$2,'BTC Yield Fund'!$A$8:$EL$8,0))</f>
        <v/>
      </c>
      <c r="O18" s="194">
        <f>N18</f>
        <v/>
      </c>
      <c r="P18" s="194">
        <f>N18</f>
        <v/>
      </c>
      <c r="Q18" s="195">
        <f>N18</f>
        <v/>
      </c>
      <c r="S18" s="193" t="inlineStr">
        <is>
          <t>Ending Balance</t>
        </is>
      </c>
      <c r="T18" s="194">
        <f t="array" ref="T18">index('BTC Yield Fund'!$A$8:$EL$1008,MATCH(S$10,'BTC Yield Fund'!$A$8:$A$1008,0),MATCH($E$2,'BTC Yield Fund'!$A$8:$EL$8,0))</f>
        <v/>
      </c>
      <c r="U18" s="194">
        <f>T18</f>
        <v/>
      </c>
      <c r="V18" s="194">
        <f>T18</f>
        <v/>
      </c>
      <c r="W18" s="195">
        <f>T18</f>
        <v/>
      </c>
      <c r="Y18" s="193" t="inlineStr">
        <is>
          <t>Ending Balance</t>
        </is>
      </c>
      <c r="Z18" s="194">
        <f t="array" ref="Z18">index('BTC Yield Fund'!$A$8:$EL$1008,MATCH(Y$10,'BTC Yield Fund'!$A$8:$A$1008,0),MATCH($E$2,'BTC Yield Fund'!$A$8:$EL$8,0))</f>
        <v/>
      </c>
      <c r="AA18" s="194">
        <f>Z18</f>
        <v/>
      </c>
      <c r="AB18" s="194">
        <f>Z18</f>
        <v/>
      </c>
      <c r="AC18" s="195">
        <f>Z18</f>
        <v/>
      </c>
      <c r="AD18" s="84" t="n"/>
      <c r="AE18" s="193" t="inlineStr">
        <is>
          <t>Ending Balance</t>
        </is>
      </c>
      <c r="AF18" s="194">
        <f t="array" ref="AF18">index('BTC Yield Fund'!$A$8:$EL$1008,MATCH(AE$10,'BTC Yield Fund'!$A$8:$A$1008,0),MATCH($E$2,'BTC Yield Fund'!$A$8:$EL$8,0))</f>
        <v/>
      </c>
      <c r="AG18" s="194">
        <f>AF18</f>
        <v/>
      </c>
      <c r="AH18" s="194">
        <f>AF18</f>
        <v/>
      </c>
      <c r="AI18" s="195">
        <f>AF18</f>
        <v/>
      </c>
      <c r="AJ18" s="84" t="n"/>
      <c r="AK18" s="193" t="inlineStr">
        <is>
          <t>Ending Balance</t>
        </is>
      </c>
      <c r="AL18" s="194">
        <f t="array" ref="AL18">index('BTC Yield Fund'!$A$8:$EL$1008,MATCH(AK$10,'BTC Yield Fund'!$A$8:$A$1008,0),MATCH($E$2,'BTC Yield Fund'!$A$8:$EL$8,0))</f>
        <v/>
      </c>
      <c r="AM18" s="194">
        <f>AL18</f>
        <v/>
      </c>
      <c r="AN18" s="194">
        <f>AL18</f>
        <v/>
      </c>
      <c r="AO18" s="195">
        <f>AL18</f>
        <v/>
      </c>
      <c r="AP18" s="84" t="n"/>
      <c r="AQ18" s="193" t="inlineStr">
        <is>
          <t>Ending Balance</t>
        </is>
      </c>
      <c r="AR18" s="194">
        <f t="array" ref="AR18">index('BTC Yield Fund'!$A$8:$EL$1008,MATCH(AQ$10,'BTC Yield Fund'!$A$8:$A$1008,0),MATCH($E$2,'BTC Yield Fund'!$A$8:$EL$8,0))</f>
        <v/>
      </c>
      <c r="AS18" s="194">
        <f>AR18</f>
        <v/>
      </c>
      <c r="AT18" s="194">
        <f>AR18</f>
        <v/>
      </c>
      <c r="AU18" s="195">
        <f>AR18</f>
        <v/>
      </c>
      <c r="AV18" s="84" t="n"/>
      <c r="AW18" s="193" t="n"/>
      <c r="AX18" s="194" t="n"/>
      <c r="AY18" s="194" t="n"/>
      <c r="AZ18" s="194" t="n"/>
      <c r="BA18" s="195" t="n"/>
      <c r="BB18" s="84" t="n"/>
      <c r="BC18" s="193" t="n"/>
      <c r="BD18" s="194" t="n"/>
      <c r="BE18" s="194" t="n"/>
      <c r="BF18" s="194" t="n"/>
      <c r="BG18" s="195" t="n"/>
      <c r="BH18" s="84" t="n"/>
      <c r="BI18" s="193" t="inlineStr">
        <is>
          <t>Ending Balance</t>
        </is>
      </c>
      <c r="BJ18" s="194">
        <f t="array" ref="BJ18">index('BTC Yield Fund'!$A$8:$EL$1008,MATCH(BI$10,'BTC Yield Fund'!$A$8:$A$1008,0),MATCH($E$2,'BTC Yield Fund'!$A$8:$EL$8,0))</f>
        <v/>
      </c>
      <c r="BK18" s="194">
        <f>BJ18</f>
        <v/>
      </c>
      <c r="BL18" s="194">
        <f>BJ18</f>
        <v/>
      </c>
      <c r="BM18" s="195">
        <f>BJ18</f>
        <v/>
      </c>
      <c r="BN18" s="84" t="n"/>
      <c r="BO18" s="193" t="n"/>
      <c r="BP18" s="194" t="n"/>
      <c r="BQ18" s="194" t="n"/>
      <c r="BR18" s="194" t="n"/>
      <c r="BS18" s="195" t="n"/>
      <c r="BT18" s="84" t="n"/>
      <c r="BU18" s="193" t="n"/>
      <c r="BV18" s="194" t="n"/>
      <c r="BW18" s="194" t="n"/>
      <c r="BX18" s="194" t="n"/>
      <c r="BY18" s="195" t="n"/>
      <c r="BZ18" s="84" t="n"/>
      <c r="CA18" s="193" t="n"/>
      <c r="CB18" s="194" t="n"/>
      <c r="CC18" s="194" t="n"/>
      <c r="CD18" s="194" t="n"/>
      <c r="CE18" s="195" t="n"/>
      <c r="CF18" s="84" t="n"/>
      <c r="CG18" s="193" t="n"/>
      <c r="CH18" s="194" t="n"/>
      <c r="CI18" s="194" t="n"/>
      <c r="CJ18" s="194" t="n"/>
      <c r="CK18" s="195" t="n"/>
      <c r="CL18" s="84" t="n"/>
      <c r="CM18" s="193" t="n"/>
      <c r="CN18" s="194" t="n"/>
      <c r="CO18" s="194" t="n"/>
      <c r="CP18" s="194" t="n"/>
      <c r="CQ18" s="195" t="n"/>
      <c r="CR18" s="84" t="n"/>
      <c r="CS18" s="193" t="inlineStr">
        <is>
          <t>Ending Balance</t>
        </is>
      </c>
      <c r="CT18" s="194">
        <f t="array" ref="CT18">index('BTC Yield Fund'!$A$8:$EL$1008,MATCH(CS$10,'BTC Yield Fund'!$A$8:$A$1008,0),MATCH($E$2,'BTC Yield Fund'!$A$8:$EL$8,0))</f>
        <v/>
      </c>
      <c r="CU18" s="194">
        <f>CT18</f>
        <v/>
      </c>
      <c r="CV18" s="194">
        <f>CT18</f>
        <v/>
      </c>
      <c r="CW18" s="195">
        <f>CT18</f>
        <v/>
      </c>
      <c r="CX18" s="84" t="n"/>
      <c r="CY18" s="193" t="n"/>
      <c r="CZ18" s="194" t="n"/>
      <c r="DA18" s="194" t="n"/>
      <c r="DB18" s="194" t="n"/>
      <c r="DC18" s="195" t="n"/>
      <c r="DD18" s="84" t="n"/>
      <c r="DE18" s="193" t="n"/>
      <c r="DF18" s="194" t="n"/>
      <c r="DG18" s="194" t="n"/>
      <c r="DH18" s="194" t="n"/>
      <c r="DI18" s="195" t="n"/>
      <c r="DJ18" s="84" t="n"/>
      <c r="DK18" s="193" t="n"/>
      <c r="DL18" s="194" t="n"/>
      <c r="DM18" s="194" t="n"/>
      <c r="DN18" s="194" t="n"/>
      <c r="DO18" s="195" t="n"/>
      <c r="DP18" s="84" t="n"/>
      <c r="DQ18" s="193" t="n"/>
      <c r="DR18" s="194" t="n"/>
      <c r="DS18" s="194" t="n"/>
      <c r="DT18" s="194" t="n"/>
      <c r="DU18" s="195" t="n"/>
      <c r="DV18" s="84" t="n"/>
      <c r="DW18" s="193" t="n"/>
      <c r="DX18" s="194" t="n"/>
      <c r="DY18" s="194" t="n"/>
      <c r="DZ18" s="194" t="n"/>
      <c r="EA18" s="195" t="n"/>
      <c r="EB18" s="84" t="n"/>
      <c r="EC18" s="193" t="n"/>
      <c r="ED18" s="194" t="n"/>
      <c r="EE18" s="194" t="n"/>
      <c r="EF18" s="194" t="n"/>
      <c r="EG18" s="195" t="n"/>
      <c r="EH18" s="84" t="n"/>
      <c r="EI18" s="193" t="n"/>
      <c r="EJ18" s="194" t="n"/>
      <c r="EK18" s="194" t="n"/>
      <c r="EL18" s="194" t="n"/>
      <c r="EM18" s="195" t="n"/>
      <c r="EN18" s="84" t="n"/>
      <c r="EO18" s="193" t="n"/>
      <c r="EP18" s="194" t="n"/>
      <c r="EQ18" s="194" t="n"/>
      <c r="ER18" s="194" t="n"/>
      <c r="ES18" s="195" t="n"/>
      <c r="ET18" s="84" t="n"/>
      <c r="EU18" s="193" t="inlineStr">
        <is>
          <t>Ending Balance</t>
        </is>
      </c>
      <c r="EV18" s="194">
        <f t="array" ref="EV18">index('BTC Yield Fund'!$A$8:$EL$1008,MATCH(EU$10,'BTC Yield Fund'!$A$8:$A$1008,0),MATCH($E$2,'BTC Yield Fund'!$A$8:$EL$8,0))</f>
        <v/>
      </c>
      <c r="EW18" s="194">
        <f>EV18</f>
        <v/>
      </c>
      <c r="EX18" s="194">
        <f>EV18</f>
        <v/>
      </c>
      <c r="EY18" s="195">
        <f>EV18</f>
        <v/>
      </c>
      <c r="EZ18" s="84" t="n"/>
      <c r="FA18" s="193" t="inlineStr">
        <is>
          <t>Ending Balance</t>
        </is>
      </c>
      <c r="FB18" s="194">
        <f t="array" ref="FB18">index('BTC Yield Fund'!$A$8:$EL$1008,MATCH(FA$10,'BTC Yield Fund'!$A$8:$A$1008,0),MATCH($E$2,'BTC Yield Fund'!$A$8:$EL$8,0))</f>
        <v/>
      </c>
      <c r="FC18" s="194">
        <f>FB18</f>
        <v/>
      </c>
      <c r="FD18" s="194">
        <f>FB18</f>
        <v/>
      </c>
      <c r="FE18" s="195">
        <f>FB18</f>
        <v/>
      </c>
      <c r="FF18" s="84" t="n"/>
      <c r="FG18" s="193" t="n"/>
      <c r="FH18" s="194" t="n"/>
      <c r="FI18" s="194" t="n"/>
      <c r="FJ18" s="194" t="n"/>
      <c r="FK18" s="195" t="n"/>
      <c r="FL18" s="84" t="n"/>
      <c r="FM18" s="193" t="n"/>
      <c r="FN18" s="194" t="n"/>
      <c r="FO18" s="194" t="n"/>
      <c r="FP18" s="194" t="n"/>
      <c r="FQ18" s="195" t="n"/>
      <c r="FR18" s="84" t="n"/>
      <c r="FS18" s="193" t="n"/>
      <c r="FT18" s="194" t="n"/>
      <c r="FU18" s="194" t="n"/>
      <c r="FV18" s="194" t="n"/>
      <c r="FW18" s="195" t="n"/>
      <c r="FX18" s="84" t="n"/>
      <c r="FY18" s="193" t="n"/>
      <c r="FZ18" s="194" t="n"/>
      <c r="GA18" s="194" t="n"/>
      <c r="GB18" s="194" t="n"/>
      <c r="GC18" s="195" t="n"/>
      <c r="GD18" s="84" t="n"/>
      <c r="GE18" s="193" t="inlineStr">
        <is>
          <t>Ending Balance</t>
        </is>
      </c>
      <c r="GF18" s="194">
        <f t="array" ref="GF18">index('BTC Yield Fund'!$A$8:$EL$1008,MATCH(GE$10,'BTC Yield Fund'!$A$8:$A$1008,0),MATCH($E$2,'BTC Yield Fund'!$A$8:$EL$8,0))</f>
        <v/>
      </c>
      <c r="GG18" s="194">
        <f>GF18</f>
        <v/>
      </c>
      <c r="GH18" s="194">
        <f>GF18</f>
        <v/>
      </c>
      <c r="GI18" s="195">
        <f>GF18</f>
        <v/>
      </c>
      <c r="GJ18" s="84" t="n"/>
      <c r="GK18" s="193" t="inlineStr">
        <is>
          <t>Ending Balance</t>
        </is>
      </c>
      <c r="GL18" s="194">
        <f t="array" ref="GL18">index('BTC Yield Fund'!$A$8:$EL$1008,MATCH(GK$10,'BTC Yield Fund'!$A$8:$A$1008,0),MATCH($E$2,'BTC Yield Fund'!$A$8:$EL$8,0))</f>
        <v/>
      </c>
      <c r="GM18" s="194">
        <f>GL18</f>
        <v/>
      </c>
      <c r="GN18" s="194">
        <f>GL18</f>
        <v/>
      </c>
      <c r="GO18" s="195">
        <f>GL18</f>
        <v/>
      </c>
      <c r="GP18" s="84" t="n"/>
      <c r="GQ18" s="193" t="inlineStr">
        <is>
          <t>Ending Balance</t>
        </is>
      </c>
      <c r="GR18" s="196">
        <f t="array" ref="GR18">index('BTC Yield Fund'!$A$8:$EL$1008,MATCH(GQ$10,'BTC Yield Fund'!$A$8:$A$1008,0),MATCH($E$2,'BTC Yield Fund'!$A$8:$EL$8,0))</f>
        <v/>
      </c>
      <c r="GS18" s="196">
        <f>GR18</f>
        <v/>
      </c>
      <c r="GT18" s="196">
        <f>GR18</f>
        <v/>
      </c>
      <c r="GU18" s="197">
        <f>GR18</f>
        <v/>
      </c>
      <c r="GV18" s="84" t="n"/>
      <c r="GW18" s="193" t="n"/>
      <c r="GX18" s="194" t="n"/>
      <c r="GY18" s="194" t="n"/>
      <c r="GZ18" s="194" t="n"/>
      <c r="HA18" s="195" t="n"/>
      <c r="HB18" s="84" t="n"/>
      <c r="HC18" s="193" t="inlineStr">
        <is>
          <t>Ending Balance</t>
        </is>
      </c>
      <c r="HD18" s="196">
        <f t="array" ref="HD18">index('BTC Yield Fund'!$A$8:$EL$1008,MATCH(HC$10,'BTC Yield Fund'!$A$8:$A$1008,0),MATCH($E$2,'BTC Yield Fund'!$A$8:$EL$8,0))</f>
        <v/>
      </c>
      <c r="HE18" s="196">
        <f>HD18</f>
        <v/>
      </c>
      <c r="HF18" s="196">
        <f>HD18</f>
        <v/>
      </c>
      <c r="HG18" s="197">
        <f>HD18</f>
        <v/>
      </c>
      <c r="HH18" s="84" t="n"/>
      <c r="HI18" s="193" t="n"/>
      <c r="HJ18" s="194" t="n"/>
      <c r="HK18" s="194" t="n"/>
      <c r="HL18" s="194" t="n"/>
      <c r="HM18" s="195" t="n"/>
      <c r="HN18" s="84" t="n"/>
      <c r="HO18" s="193" t="n"/>
      <c r="HP18" s="194" t="n"/>
      <c r="HQ18" s="194" t="n"/>
      <c r="HR18" s="194" t="n"/>
      <c r="HS18" s="195" t="n"/>
      <c r="HT18" s="84" t="n"/>
      <c r="HU18" s="193" t="n"/>
      <c r="HV18" s="194" t="n"/>
      <c r="HW18" s="194" t="n"/>
      <c r="HX18" s="194" t="n"/>
      <c r="HY18" s="195" t="n"/>
      <c r="HZ18" s="84" t="n"/>
      <c r="IA18" s="193" t="inlineStr">
        <is>
          <t>Ending Balance</t>
        </is>
      </c>
      <c r="IB18" s="196">
        <f t="array" ref="IB18">index('BTC Yield Fund'!$A$8:$EL$1008,MATCH(IA$10,'BTC Yield Fund'!$A$8:$A$1008,0),MATCH($E$2,'BTC Yield Fund'!$A$8:$EL$8,0))</f>
        <v/>
      </c>
      <c r="IC18" s="196">
        <f>IB18</f>
        <v/>
      </c>
      <c r="ID18" s="196">
        <f>IB18</f>
        <v/>
      </c>
      <c r="IE18" s="197">
        <f>IB18</f>
        <v/>
      </c>
      <c r="IF18" s="84" t="n"/>
      <c r="IG18" s="193" t="inlineStr">
        <is>
          <t>Ending Balance</t>
        </is>
      </c>
      <c r="IH18" s="196">
        <f t="array" ref="IH18">index('BTC Yield Fund'!$A$8:$EL$1008,MATCH(IG$10,'BTC Yield Fund'!$A$8:$A$1008,0),MATCH($E$2,'BTC Yield Fund'!$A$8:$EL$8,0))</f>
        <v/>
      </c>
      <c r="II18" s="196">
        <f>IH18</f>
        <v/>
      </c>
      <c r="IJ18" s="196">
        <f>IH18</f>
        <v/>
      </c>
      <c r="IK18" s="197">
        <f>IH18</f>
        <v/>
      </c>
      <c r="IL18" s="84" t="n"/>
      <c r="IM18" s="193" t="n"/>
      <c r="IN18" s="194" t="n"/>
      <c r="IO18" s="194" t="n"/>
      <c r="IP18" s="194" t="n"/>
      <c r="IQ18" s="195" t="n"/>
      <c r="IR18" s="84" t="n"/>
      <c r="IS18" s="193" t="n"/>
      <c r="IT18" s="194" t="n"/>
      <c r="IU18" s="194" t="n"/>
      <c r="IV18" s="194" t="n"/>
      <c r="IW18" s="195" t="n"/>
      <c r="IX18" s="84" t="n"/>
      <c r="IY18" s="193" t="n"/>
      <c r="IZ18" s="194" t="n"/>
      <c r="JA18" s="194" t="n"/>
      <c r="JB18" s="194" t="n"/>
      <c r="JC18" s="195" t="n"/>
    </row>
    <row r="19" ht="15.75" customHeight="1" s="252">
      <c r="A19" s="198" t="inlineStr">
        <is>
          <t>Rate of Return</t>
        </is>
      </c>
      <c r="B19" s="199">
        <f>B17/B14</f>
        <v/>
      </c>
      <c r="C19" s="199">
        <f>C17/C14</f>
        <v/>
      </c>
      <c r="D19" s="199">
        <f>D17/D14</f>
        <v/>
      </c>
      <c r="E19" s="200">
        <f>E17/E14</f>
        <v/>
      </c>
      <c r="G19" s="198" t="inlineStr">
        <is>
          <t>Rate of Return</t>
        </is>
      </c>
      <c r="H19" s="199">
        <f>H17/H14</f>
        <v/>
      </c>
      <c r="I19" s="199">
        <f>I17/I14</f>
        <v/>
      </c>
      <c r="J19" s="199">
        <f>J17/J14</f>
        <v/>
      </c>
      <c r="K19" s="200">
        <f>K17/K14</f>
        <v/>
      </c>
      <c r="M19" s="198" t="inlineStr">
        <is>
          <t>Rate of Return</t>
        </is>
      </c>
      <c r="N19" s="199">
        <f>N17/N14</f>
        <v/>
      </c>
      <c r="O19" s="199">
        <f>O17/O14</f>
        <v/>
      </c>
      <c r="P19" s="199">
        <f>P17/P14</f>
        <v/>
      </c>
      <c r="Q19" s="200">
        <f>Q17/Q14</f>
        <v/>
      </c>
      <c r="S19" s="198" t="inlineStr">
        <is>
          <t>Rate of Return</t>
        </is>
      </c>
      <c r="T19" s="199">
        <f>T17/T14</f>
        <v/>
      </c>
      <c r="U19" s="199">
        <f>U17/U14</f>
        <v/>
      </c>
      <c r="V19" s="199">
        <f>V17/V14</f>
        <v/>
      </c>
      <c r="W19" s="200">
        <f>W17/W14</f>
        <v/>
      </c>
      <c r="Y19" s="198" t="inlineStr">
        <is>
          <t>Rate of Return</t>
        </is>
      </c>
      <c r="Z19" s="199">
        <f>Z17/Z14</f>
        <v/>
      </c>
      <c r="AA19" s="199">
        <f>AA17/AA14</f>
        <v/>
      </c>
      <c r="AB19" s="199">
        <f>AB17/AB14</f>
        <v/>
      </c>
      <c r="AC19" s="200">
        <f>AC17/AC14</f>
        <v/>
      </c>
      <c r="AD19" s="201" t="n"/>
      <c r="AE19" s="198" t="inlineStr">
        <is>
          <t>Rate of Return</t>
        </is>
      </c>
      <c r="AF19" s="199">
        <f>AF17/AF14</f>
        <v/>
      </c>
      <c r="AG19" s="199">
        <f>AG17/AG14</f>
        <v/>
      </c>
      <c r="AH19" s="199">
        <f>AH17/AH14</f>
        <v/>
      </c>
      <c r="AI19" s="200">
        <f>AI17/AI14</f>
        <v/>
      </c>
      <c r="AJ19" s="201" t="n"/>
      <c r="AK19" s="198" t="inlineStr">
        <is>
          <t>Rate of Return</t>
        </is>
      </c>
      <c r="AL19" s="199">
        <f>AL17/AL14</f>
        <v/>
      </c>
      <c r="AM19" s="199">
        <f>AM17/AM14</f>
        <v/>
      </c>
      <c r="AN19" s="199">
        <f>AN17/AN14</f>
        <v/>
      </c>
      <c r="AO19" s="200">
        <f>AO17/AO14</f>
        <v/>
      </c>
      <c r="AP19" s="201" t="n"/>
      <c r="AQ19" s="198" t="inlineStr">
        <is>
          <t>Rate of Return</t>
        </is>
      </c>
      <c r="AR19" s="199">
        <f>AR17/AR14</f>
        <v/>
      </c>
      <c r="AS19" s="199">
        <f>AS17/AS14</f>
        <v/>
      </c>
      <c r="AT19" s="199">
        <f>AT17/AT14</f>
        <v/>
      </c>
      <c r="AU19" s="200">
        <f>AU17/AU14</f>
        <v/>
      </c>
      <c r="AV19" s="201" t="n"/>
      <c r="AW19" s="198" t="n"/>
      <c r="AX19" s="199" t="n"/>
      <c r="AY19" s="199" t="n"/>
      <c r="AZ19" s="199" t="n"/>
      <c r="BA19" s="200" t="n"/>
      <c r="BB19" s="201" t="n"/>
      <c r="BC19" s="198" t="n"/>
      <c r="BD19" s="199" t="n"/>
      <c r="BE19" s="199" t="n"/>
      <c r="BF19" s="199" t="n"/>
      <c r="BG19" s="200" t="n"/>
      <c r="BH19" s="201" t="n"/>
      <c r="BI19" s="198" t="inlineStr">
        <is>
          <t>Rate of Return</t>
        </is>
      </c>
      <c r="BJ19" s="199">
        <f>BJ17/BJ14</f>
        <v/>
      </c>
      <c r="BK19" s="199">
        <f>BK17/BK14</f>
        <v/>
      </c>
      <c r="BL19" s="199">
        <f>BL17/BL14</f>
        <v/>
      </c>
      <c r="BM19" s="200">
        <f>BM17/BM14</f>
        <v/>
      </c>
      <c r="BN19" s="201" t="n"/>
      <c r="BO19" s="198" t="n"/>
      <c r="BP19" s="199" t="n"/>
      <c r="BQ19" s="199" t="n"/>
      <c r="BR19" s="199" t="n"/>
      <c r="BS19" s="200" t="n"/>
      <c r="BT19" s="201" t="n"/>
      <c r="BU19" s="198" t="n"/>
      <c r="BV19" s="199" t="n"/>
      <c r="BW19" s="199" t="n"/>
      <c r="BX19" s="199" t="n"/>
      <c r="BY19" s="200" t="n"/>
      <c r="BZ19" s="201" t="n"/>
      <c r="CA19" s="198" t="n"/>
      <c r="CB19" s="199" t="n"/>
      <c r="CC19" s="199" t="n"/>
      <c r="CD19" s="199" t="n"/>
      <c r="CE19" s="200" t="n"/>
      <c r="CF19" s="201" t="n"/>
      <c r="CG19" s="198" t="n"/>
      <c r="CH19" s="199" t="n"/>
      <c r="CI19" s="199" t="n"/>
      <c r="CJ19" s="199" t="n"/>
      <c r="CK19" s="200" t="n"/>
      <c r="CL19" s="201" t="n"/>
      <c r="CM19" s="198" t="n"/>
      <c r="CN19" s="199" t="n"/>
      <c r="CO19" s="199" t="n"/>
      <c r="CP19" s="199" t="n"/>
      <c r="CQ19" s="200" t="n"/>
      <c r="CR19" s="201" t="n"/>
      <c r="CS19" s="198" t="inlineStr">
        <is>
          <t>Rate of Return</t>
        </is>
      </c>
      <c r="CT19" s="199">
        <f>CT17/CT14</f>
        <v/>
      </c>
      <c r="CU19" s="199">
        <f>CU17/CU14</f>
        <v/>
      </c>
      <c r="CV19" s="199">
        <f>CV17/CV14</f>
        <v/>
      </c>
      <c r="CW19" s="200">
        <f>CW17/CW14</f>
        <v/>
      </c>
      <c r="CX19" s="201" t="n"/>
      <c r="CY19" s="198" t="n"/>
      <c r="CZ19" s="199" t="n"/>
      <c r="DA19" s="199" t="n"/>
      <c r="DB19" s="199" t="n"/>
      <c r="DC19" s="200" t="n"/>
      <c r="DD19" s="201" t="n"/>
      <c r="DE19" s="198" t="n"/>
      <c r="DF19" s="199" t="n"/>
      <c r="DG19" s="199" t="n"/>
      <c r="DH19" s="199" t="n"/>
      <c r="DI19" s="200" t="n"/>
      <c r="DJ19" s="201" t="n"/>
      <c r="DK19" s="198" t="n"/>
      <c r="DL19" s="199" t="n"/>
      <c r="DM19" s="199" t="n"/>
      <c r="DN19" s="199" t="n"/>
      <c r="DO19" s="200" t="n"/>
      <c r="DP19" s="201" t="n"/>
      <c r="DQ19" s="198" t="n"/>
      <c r="DR19" s="199" t="n"/>
      <c r="DS19" s="199" t="n"/>
      <c r="DT19" s="199" t="n"/>
      <c r="DU19" s="200" t="n"/>
      <c r="DV19" s="201" t="n"/>
      <c r="DW19" s="198" t="n"/>
      <c r="DX19" s="199" t="n"/>
      <c r="DY19" s="199" t="n"/>
      <c r="DZ19" s="199" t="n"/>
      <c r="EA19" s="200" t="n"/>
      <c r="EB19" s="201" t="n"/>
      <c r="EC19" s="198" t="n"/>
      <c r="ED19" s="199" t="n"/>
      <c r="EE19" s="199" t="n"/>
      <c r="EF19" s="199" t="n"/>
      <c r="EG19" s="200" t="n"/>
      <c r="EH19" s="201" t="n"/>
      <c r="EI19" s="198" t="n"/>
      <c r="EJ19" s="199" t="n"/>
      <c r="EK19" s="199" t="n"/>
      <c r="EL19" s="199" t="n"/>
      <c r="EM19" s="200" t="n"/>
      <c r="EN19" s="201" t="n"/>
      <c r="EO19" s="198" t="n"/>
      <c r="EP19" s="199" t="n"/>
      <c r="EQ19" s="199" t="n"/>
      <c r="ER19" s="199" t="n"/>
      <c r="ES19" s="200" t="n"/>
      <c r="ET19" s="201" t="n"/>
      <c r="EU19" s="198" t="inlineStr">
        <is>
          <t>Rate of Return</t>
        </is>
      </c>
      <c r="EV19" s="199">
        <f>EV17/EV14</f>
        <v/>
      </c>
      <c r="EW19" s="199">
        <f>EW17/EW14</f>
        <v/>
      </c>
      <c r="EX19" s="199">
        <f>EX17/EX14</f>
        <v/>
      </c>
      <c r="EY19" s="200">
        <f>EY17/EY14</f>
        <v/>
      </c>
      <c r="EZ19" s="201" t="n"/>
      <c r="FA19" s="198" t="inlineStr">
        <is>
          <t>Rate of Return</t>
        </is>
      </c>
      <c r="FB19" s="199">
        <f>FB17/FB14</f>
        <v/>
      </c>
      <c r="FC19" s="199">
        <f>FC17/FC14</f>
        <v/>
      </c>
      <c r="FD19" s="199">
        <f>FD17/FD14</f>
        <v/>
      </c>
      <c r="FE19" s="200">
        <f>FE17/FE14</f>
        <v/>
      </c>
      <c r="FF19" s="201" t="n"/>
      <c r="FG19" s="198" t="n"/>
      <c r="FH19" s="199" t="n"/>
      <c r="FI19" s="199" t="n"/>
      <c r="FJ19" s="199" t="n"/>
      <c r="FK19" s="200" t="n"/>
      <c r="FL19" s="201" t="n"/>
      <c r="FM19" s="198" t="n"/>
      <c r="FN19" s="199" t="n"/>
      <c r="FO19" s="199" t="n"/>
      <c r="FP19" s="199" t="n"/>
      <c r="FQ19" s="200" t="n"/>
      <c r="FR19" s="201" t="n"/>
      <c r="FS19" s="198" t="n"/>
      <c r="FT19" s="199" t="n"/>
      <c r="FU19" s="199" t="n"/>
      <c r="FV19" s="199" t="n"/>
      <c r="FW19" s="200" t="n"/>
      <c r="FX19" s="201" t="n"/>
      <c r="FY19" s="198" t="n"/>
      <c r="FZ19" s="199" t="n"/>
      <c r="GA19" s="199" t="n"/>
      <c r="GB19" s="199" t="n"/>
      <c r="GC19" s="200" t="n"/>
      <c r="GD19" s="201" t="n"/>
      <c r="GE19" s="198" t="inlineStr">
        <is>
          <t>Rate of Return</t>
        </is>
      </c>
      <c r="GF19" s="199">
        <f>GF17/GF14</f>
        <v/>
      </c>
      <c r="GG19" s="199">
        <f>GG17/GG14</f>
        <v/>
      </c>
      <c r="GH19" s="199">
        <f>GH17/GH14</f>
        <v/>
      </c>
      <c r="GI19" s="200">
        <f>GI17/GI14</f>
        <v/>
      </c>
      <c r="GJ19" s="201" t="n"/>
      <c r="GK19" s="198" t="inlineStr">
        <is>
          <t>Rate of Return</t>
        </is>
      </c>
      <c r="GL19" s="199">
        <f>GL17/GL14</f>
        <v/>
      </c>
      <c r="GM19" s="199">
        <f>GM17/GM14</f>
        <v/>
      </c>
      <c r="GN19" s="199">
        <f>GN17/GN14</f>
        <v/>
      </c>
      <c r="GO19" s="200">
        <f>GO17/GO14</f>
        <v/>
      </c>
      <c r="GP19" s="201" t="n"/>
      <c r="GQ19" s="198" t="inlineStr">
        <is>
          <t>Rate of Return</t>
        </is>
      </c>
      <c r="GR19" s="202">
        <f>GR17/GR14</f>
        <v/>
      </c>
      <c r="GS19" s="202">
        <f>GS17/GS14</f>
        <v/>
      </c>
      <c r="GT19" s="202">
        <f>GT17/GT14</f>
        <v/>
      </c>
      <c r="GU19" s="203">
        <f>GU17/GU14</f>
        <v/>
      </c>
      <c r="GV19" s="201" t="n"/>
      <c r="GW19" s="198" t="n"/>
      <c r="GX19" s="199" t="n"/>
      <c r="GY19" s="199" t="n"/>
      <c r="GZ19" s="199" t="n"/>
      <c r="HA19" s="200" t="n"/>
      <c r="HB19" s="201" t="n"/>
      <c r="HC19" s="198" t="inlineStr">
        <is>
          <t>Rate of Return</t>
        </is>
      </c>
      <c r="HD19" s="202">
        <f>HD17/HD14</f>
        <v/>
      </c>
      <c r="HE19" s="202">
        <f>HE17/HE14</f>
        <v/>
      </c>
      <c r="HF19" s="202">
        <f>HF17/HF14</f>
        <v/>
      </c>
      <c r="HG19" s="203">
        <f>HG17/HG14</f>
        <v/>
      </c>
      <c r="HH19" s="201" t="n"/>
      <c r="HI19" s="198" t="n"/>
      <c r="HJ19" s="199" t="n"/>
      <c r="HK19" s="199" t="n"/>
      <c r="HL19" s="199" t="n"/>
      <c r="HM19" s="200" t="n"/>
      <c r="HN19" s="201" t="n"/>
      <c r="HO19" s="198" t="n"/>
      <c r="HP19" s="199" t="n"/>
      <c r="HQ19" s="199" t="n"/>
      <c r="HR19" s="199" t="n"/>
      <c r="HS19" s="200" t="n"/>
      <c r="HT19" s="201" t="n"/>
      <c r="HU19" s="198" t="n"/>
      <c r="HV19" s="199" t="n"/>
      <c r="HW19" s="199" t="n"/>
      <c r="HX19" s="199" t="n"/>
      <c r="HY19" s="200" t="n"/>
      <c r="HZ19" s="201" t="n"/>
      <c r="IA19" s="198" t="inlineStr">
        <is>
          <t>Rate of Return</t>
        </is>
      </c>
      <c r="IB19" s="202">
        <f>IB17/IB14</f>
        <v/>
      </c>
      <c r="IC19" s="202">
        <f>IC17/IC14</f>
        <v/>
      </c>
      <c r="ID19" s="202">
        <f>ID17/ID14</f>
        <v/>
      </c>
      <c r="IE19" s="203">
        <f>IE17/IE14</f>
        <v/>
      </c>
      <c r="IF19" s="201" t="n"/>
      <c r="IG19" s="198" t="inlineStr">
        <is>
          <t>Rate of Return</t>
        </is>
      </c>
      <c r="IH19" s="202">
        <f>IH17/IH14</f>
        <v/>
      </c>
      <c r="II19" s="202">
        <f>II17/II14</f>
        <v/>
      </c>
      <c r="IJ19" s="202">
        <f>IJ17/IJ14</f>
        <v/>
      </c>
      <c r="IK19" s="203">
        <f>IK17/IK14</f>
        <v/>
      </c>
      <c r="IL19" s="201" t="n"/>
      <c r="IM19" s="198" t="n"/>
      <c r="IN19" s="199" t="n"/>
      <c r="IO19" s="199" t="n"/>
      <c r="IP19" s="199" t="n"/>
      <c r="IQ19" s="200" t="n"/>
      <c r="IR19" s="201" t="n"/>
      <c r="IS19" s="198" t="n"/>
      <c r="IT19" s="199" t="n"/>
      <c r="IU19" s="199" t="n"/>
      <c r="IV19" s="199" t="n"/>
      <c r="IW19" s="200" t="n"/>
      <c r="IX19" s="201" t="n"/>
      <c r="IY19" s="198" t="n"/>
      <c r="IZ19" s="199" t="n"/>
      <c r="JA19" s="199" t="n"/>
      <c r="JB19" s="199" t="n"/>
      <c r="JC19" s="200" t="n"/>
    </row>
    <row r="20" ht="15.75" customHeight="1" s="252">
      <c r="BC20" s="169" t="inlineStr">
        <is>
          <t>Out</t>
        </is>
      </c>
      <c r="EU20" s="169" t="inlineStr">
        <is>
          <t>Out</t>
        </is>
      </c>
      <c r="GK20" s="169" t="inlineStr">
        <is>
          <t>Out</t>
        </is>
      </c>
    </row>
    <row r="21" ht="15.75" customHeight="1" s="252">
      <c r="A21" s="173" t="inlineStr">
        <is>
          <t xml:space="preserve">CAPITAL ACCOUNT SUMMARY FROM </t>
        </is>
      </c>
      <c r="B21" s="256" t="n"/>
      <c r="C21" s="256" t="n"/>
      <c r="D21" s="256" t="n"/>
      <c r="E21" s="175" t="n">
        <v>45849</v>
      </c>
      <c r="G21" s="257" t="n"/>
      <c r="H21" s="256" t="n"/>
      <c r="I21" s="256" t="n"/>
      <c r="J21" s="256" t="n"/>
      <c r="K21" s="258" t="n"/>
      <c r="M21" s="257" t="n"/>
      <c r="N21" s="256" t="n"/>
      <c r="O21" s="256" t="n"/>
      <c r="P21" s="256" t="n"/>
      <c r="Q21" s="258" t="n"/>
      <c r="S21" s="257" t="n"/>
      <c r="T21" s="256" t="n"/>
      <c r="U21" s="256" t="n"/>
      <c r="V21" s="256" t="n"/>
      <c r="W21" s="258" t="n"/>
      <c r="Y21" s="257" t="n"/>
      <c r="Z21" s="256" t="n"/>
      <c r="AA21" s="256" t="n"/>
      <c r="AB21" s="256" t="n"/>
      <c r="AC21" s="258" t="n"/>
      <c r="AE21" s="173" t="inlineStr">
        <is>
          <t xml:space="preserve">CAPITAL ACCOUNT SUMMARY FROM </t>
        </is>
      </c>
      <c r="AF21" s="256" t="n"/>
      <c r="AG21" s="256" t="n"/>
      <c r="AH21" s="256" t="n"/>
      <c r="AI21" s="175" t="n">
        <v>45809</v>
      </c>
      <c r="AK21" s="173" t="inlineStr">
        <is>
          <t xml:space="preserve">CAPITAL ACCOUNT SUMMARY FROM </t>
        </is>
      </c>
      <c r="AL21" s="256" t="n"/>
      <c r="AM21" s="256" t="n"/>
      <c r="AN21" s="256" t="n"/>
      <c r="AO21" s="175" t="n">
        <v>45849</v>
      </c>
      <c r="AQ21" s="257" t="n"/>
      <c r="AR21" s="256" t="n"/>
      <c r="AS21" s="256" t="n"/>
      <c r="AT21" s="256" t="n"/>
      <c r="AU21" s="258" t="n"/>
      <c r="AW21" s="173" t="inlineStr">
        <is>
          <t xml:space="preserve">CAPITAL ACCOUNT SUMMARY FROM </t>
        </is>
      </c>
      <c r="AX21" s="256" t="n"/>
      <c r="AY21" s="256" t="n"/>
      <c r="AZ21" s="256" t="n"/>
      <c r="BA21" s="175" t="n">
        <v>45803</v>
      </c>
      <c r="BC21" s="173" t="inlineStr">
        <is>
          <t xml:space="preserve">CAPITAL ACCOUNT SUMMARY FROM </t>
        </is>
      </c>
      <c r="BD21" s="256" t="n"/>
      <c r="BE21" s="256" t="n"/>
      <c r="BF21" s="256" t="n"/>
      <c r="BG21" s="175" t="n">
        <v>45803</v>
      </c>
      <c r="BI21" s="257" t="n"/>
      <c r="BJ21" s="256" t="n"/>
      <c r="BK21" s="256" t="n"/>
      <c r="BL21" s="256" t="n"/>
      <c r="BM21" s="258" t="n"/>
      <c r="BO21" s="257" t="n"/>
      <c r="BP21" s="256" t="n"/>
      <c r="BQ21" s="256" t="n"/>
      <c r="BR21" s="256" t="n"/>
      <c r="BS21" s="258" t="n"/>
      <c r="BU21" s="257" t="n"/>
      <c r="BV21" s="256" t="n"/>
      <c r="BW21" s="256" t="n"/>
      <c r="BX21" s="256" t="n"/>
      <c r="BY21" s="258" t="n"/>
      <c r="CA21" s="257" t="n"/>
      <c r="CB21" s="256" t="n"/>
      <c r="CC21" s="256" t="n"/>
      <c r="CD21" s="256" t="n"/>
      <c r="CE21" s="258" t="n"/>
      <c r="CG21" s="257" t="n"/>
      <c r="CH21" s="256" t="n"/>
      <c r="CI21" s="256" t="n"/>
      <c r="CJ21" s="256" t="n"/>
      <c r="CK21" s="258" t="n"/>
      <c r="CM21" s="257" t="n"/>
      <c r="CN21" s="256" t="n"/>
      <c r="CO21" s="256" t="n"/>
      <c r="CP21" s="256" t="n"/>
      <c r="CQ21" s="258" t="n"/>
      <c r="CS21" s="257" t="n"/>
      <c r="CT21" s="256" t="n"/>
      <c r="CU21" s="256" t="n"/>
      <c r="CV21" s="256" t="n"/>
      <c r="CW21" s="258" t="n"/>
      <c r="CY21" s="257" t="n"/>
      <c r="CZ21" s="256" t="n"/>
      <c r="DA21" s="256" t="n"/>
      <c r="DB21" s="256" t="n"/>
      <c r="DC21" s="258" t="n"/>
      <c r="DE21" s="257" t="n"/>
      <c r="DF21" s="256" t="n"/>
      <c r="DG21" s="256" t="n"/>
      <c r="DH21" s="256" t="n"/>
      <c r="DI21" s="258" t="n"/>
      <c r="DK21" s="257" t="n"/>
      <c r="DL21" s="256" t="n"/>
      <c r="DM21" s="256" t="n"/>
      <c r="DN21" s="256" t="n"/>
      <c r="DO21" s="258" t="n"/>
      <c r="DQ21" s="257" t="n"/>
      <c r="DR21" s="256" t="n"/>
      <c r="DS21" s="256" t="n"/>
      <c r="DT21" s="256" t="n"/>
      <c r="DU21" s="258" t="n"/>
      <c r="DW21" s="173" t="inlineStr">
        <is>
          <t xml:space="preserve">CAPITAL ACCOUNT SUMMARY FROM </t>
        </is>
      </c>
      <c r="DX21" s="256" t="n"/>
      <c r="DY21" s="256" t="n"/>
      <c r="DZ21" s="256" t="n"/>
      <c r="EA21" s="175" t="n">
        <v>45868</v>
      </c>
      <c r="EC21" s="173" t="inlineStr">
        <is>
          <t xml:space="preserve">CAPITAL ACCOUNT SUMMARY FROM </t>
        </is>
      </c>
      <c r="ED21" s="256" t="n"/>
      <c r="EE21" s="256" t="n"/>
      <c r="EF21" s="256" t="n"/>
      <c r="EG21" s="175" t="n">
        <v>45901</v>
      </c>
      <c r="EI21" s="257" t="n"/>
      <c r="EJ21" s="256" t="n"/>
      <c r="EK21" s="256" t="n"/>
      <c r="EL21" s="256" t="n"/>
      <c r="EM21" s="258" t="n"/>
      <c r="EO21" s="173" t="inlineStr">
        <is>
          <t xml:space="preserve">CAPITAL ACCOUNT SUMMARY FROM </t>
        </is>
      </c>
      <c r="EP21" s="256" t="n"/>
      <c r="EQ21" s="256" t="n"/>
      <c r="ER21" s="256" t="n"/>
      <c r="ES21" s="175" t="n">
        <v>45901</v>
      </c>
      <c r="EU21" s="173" t="inlineStr">
        <is>
          <t xml:space="preserve">CAPITAL ACCOUNT SUMMARY FROM </t>
        </is>
      </c>
      <c r="EV21" s="256" t="n"/>
      <c r="EW21" s="256" t="n"/>
      <c r="EX21" s="256" t="n"/>
      <c r="EY21" s="175" t="n">
        <v>45904</v>
      </c>
      <c r="FA21" s="173" t="inlineStr">
        <is>
          <t xml:space="preserve">CAPITAL ACCOUNT SUMMARY FROM </t>
        </is>
      </c>
      <c r="FB21" s="256" t="n"/>
      <c r="FC21" s="256" t="n"/>
      <c r="FD21" s="256" t="n"/>
      <c r="FE21" s="175" t="n">
        <v>45910</v>
      </c>
      <c r="FG21" s="173" t="inlineStr">
        <is>
          <t xml:space="preserve">CAPITAL ACCOUNT SUMMARY FROM </t>
        </is>
      </c>
      <c r="FH21" s="256" t="n"/>
      <c r="FI21" s="256" t="n"/>
      <c r="FJ21" s="256" t="n"/>
      <c r="FK21" s="175" t="n">
        <v>45927</v>
      </c>
      <c r="FM21" s="257" t="n"/>
      <c r="FN21" s="256" t="n"/>
      <c r="FO21" s="256" t="n"/>
      <c r="FP21" s="256" t="n"/>
      <c r="FQ21" s="258" t="n"/>
      <c r="FS21" s="257" t="n"/>
      <c r="FT21" s="256" t="n"/>
      <c r="FU21" s="256" t="n"/>
      <c r="FV21" s="256" t="n"/>
      <c r="FW21" s="258" t="n"/>
      <c r="FY21" s="257" t="n"/>
      <c r="FZ21" s="256" t="n"/>
      <c r="GA21" s="256" t="n"/>
      <c r="GB21" s="256" t="n"/>
      <c r="GC21" s="258" t="n"/>
      <c r="GE21" s="257" t="n"/>
      <c r="GF21" s="256" t="n"/>
      <c r="GG21" s="256" t="n"/>
      <c r="GH21" s="256" t="n"/>
      <c r="GI21" s="258" t="n"/>
      <c r="GK21" s="173" t="inlineStr">
        <is>
          <t xml:space="preserve">CAPITAL ACCOUNT SUMMARY FROM </t>
        </is>
      </c>
      <c r="GL21" s="256" t="n"/>
      <c r="GM21" s="256" t="n"/>
      <c r="GN21" s="256" t="n"/>
      <c r="GO21" s="175" t="n">
        <v>45978</v>
      </c>
      <c r="GQ21" s="173" t="inlineStr">
        <is>
          <t xml:space="preserve">CAPITAL ACCOUNT SUMMARY FROM </t>
        </is>
      </c>
      <c r="GR21" s="256" t="n"/>
      <c r="GS21" s="256" t="n"/>
      <c r="GT21" s="256" t="n"/>
      <c r="GU21" s="175" t="n">
        <v>45986</v>
      </c>
      <c r="GW21" s="257" t="n"/>
      <c r="GX21" s="256" t="n"/>
      <c r="GY21" s="256" t="n"/>
      <c r="GZ21" s="256" t="n"/>
      <c r="HA21" s="258" t="n"/>
      <c r="HC21" s="257" t="n"/>
      <c r="HD21" s="256" t="n"/>
      <c r="HE21" s="256" t="n"/>
      <c r="HF21" s="256" t="n"/>
      <c r="HG21" s="258" t="n"/>
      <c r="HI21" s="257" t="n"/>
      <c r="HJ21" s="256" t="n"/>
      <c r="HK21" s="256" t="n"/>
      <c r="HL21" s="256" t="n"/>
      <c r="HM21" s="258" t="n"/>
      <c r="HO21" s="257" t="n"/>
      <c r="HP21" s="256" t="n"/>
      <c r="HQ21" s="256" t="n"/>
      <c r="HR21" s="256" t="n"/>
      <c r="HS21" s="258" t="n"/>
      <c r="HU21" s="173" t="inlineStr">
        <is>
          <t xml:space="preserve">CAPITAL ACCOUNT SUMMARY FROM </t>
        </is>
      </c>
      <c r="HV21" s="256" t="n"/>
      <c r="HW21" s="256" t="n"/>
      <c r="HX21" s="256" t="n"/>
      <c r="HY21" s="175" t="n">
        <v>45995</v>
      </c>
      <c r="IA21" s="173" t="inlineStr">
        <is>
          <t xml:space="preserve">CAPITAL ACCOUNT SUMMARY FROM </t>
        </is>
      </c>
      <c r="IB21" s="256" t="n"/>
      <c r="IC21" s="256" t="n"/>
      <c r="ID21" s="256" t="n"/>
      <c r="IE21" s="176" t="n">
        <v>46035</v>
      </c>
      <c r="IG21" s="173" t="inlineStr">
        <is>
          <t xml:space="preserve">CAPITAL ACCOUNT SUMMARY FROM </t>
        </is>
      </c>
      <c r="IH21" s="256" t="n"/>
      <c r="II21" s="256" t="n"/>
      <c r="IJ21" s="256" t="n"/>
      <c r="IK21" s="176" t="n">
        <v>46065</v>
      </c>
      <c r="IM21" s="257" t="n"/>
      <c r="IN21" s="256" t="n"/>
      <c r="IO21" s="256" t="n"/>
      <c r="IP21" s="256" t="n"/>
      <c r="IQ21" s="258" t="n"/>
      <c r="IS21" s="257" t="n"/>
      <c r="IT21" s="256" t="n"/>
      <c r="IU21" s="256" t="n"/>
      <c r="IV21" s="256" t="n"/>
      <c r="IW21" s="258" t="n"/>
      <c r="IY21" s="257" t="n"/>
      <c r="IZ21" s="256" t="n"/>
      <c r="JA21" s="256" t="n"/>
      <c r="JB21" s="256" t="n"/>
      <c r="JC21" s="258" t="n"/>
    </row>
    <row r="22" ht="15.75" customHeight="1" s="252">
      <c r="A22" s="204" t="n"/>
      <c r="B22" s="205" t="inlineStr">
        <is>
          <t>MTD (ETH)</t>
        </is>
      </c>
      <c r="C22" s="205" t="inlineStr">
        <is>
          <t>QTD (ETH)</t>
        </is>
      </c>
      <c r="D22" s="205" t="inlineStr">
        <is>
          <t>YTD (ETH)</t>
        </is>
      </c>
      <c r="E22" s="206" t="inlineStr">
        <is>
          <t>ITD (ETH)</t>
        </is>
      </c>
      <c r="G22" s="204" t="n"/>
      <c r="H22" s="205" t="n"/>
      <c r="I22" s="205" t="n"/>
      <c r="J22" s="205" t="n"/>
      <c r="K22" s="206" t="n"/>
      <c r="M22" s="204" t="n"/>
      <c r="N22" s="205" t="n"/>
      <c r="O22" s="205" t="n"/>
      <c r="P22" s="205" t="n"/>
      <c r="Q22" s="206" t="n"/>
      <c r="S22" s="204" t="n"/>
      <c r="T22" s="205" t="n"/>
      <c r="U22" s="205" t="n"/>
      <c r="V22" s="205" t="n"/>
      <c r="W22" s="206" t="n"/>
      <c r="Y22" s="204" t="n"/>
      <c r="Z22" s="205" t="n"/>
      <c r="AA22" s="205" t="n"/>
      <c r="AB22" s="205" t="n"/>
      <c r="AC22" s="206" t="n"/>
      <c r="AE22" s="204" t="n"/>
      <c r="AF22" s="205" t="inlineStr">
        <is>
          <t>MTD (ETH)</t>
        </is>
      </c>
      <c r="AG22" s="205" t="inlineStr">
        <is>
          <t>QTD (ETH)</t>
        </is>
      </c>
      <c r="AH22" s="205" t="inlineStr">
        <is>
          <t>YTD (ETH)</t>
        </is>
      </c>
      <c r="AI22" s="206" t="inlineStr">
        <is>
          <t>ITD (ETH)</t>
        </is>
      </c>
      <c r="AK22" s="204" t="n"/>
      <c r="AL22" s="205" t="inlineStr">
        <is>
          <t>MTD (ETH)</t>
        </is>
      </c>
      <c r="AM22" s="205" t="inlineStr">
        <is>
          <t>QTD (ETH)</t>
        </is>
      </c>
      <c r="AN22" s="205" t="inlineStr">
        <is>
          <t>YTD (ETH)</t>
        </is>
      </c>
      <c r="AO22" s="206" t="inlineStr">
        <is>
          <t>ITD (ETH)</t>
        </is>
      </c>
      <c r="AQ22" s="204" t="n"/>
      <c r="AR22" s="205" t="n"/>
      <c r="AS22" s="205" t="n"/>
      <c r="AT22" s="205" t="n"/>
      <c r="AU22" s="206" t="n"/>
      <c r="AW22" s="204" t="n"/>
      <c r="AX22" s="205" t="inlineStr">
        <is>
          <t>MTD (ETH)</t>
        </is>
      </c>
      <c r="AY22" s="205" t="inlineStr">
        <is>
          <t>QTD (ETH)</t>
        </is>
      </c>
      <c r="AZ22" s="205" t="inlineStr">
        <is>
          <t>YTD (ETH)</t>
        </is>
      </c>
      <c r="BA22" s="206" t="inlineStr">
        <is>
          <t>ITD (ETH)</t>
        </is>
      </c>
      <c r="BC22" s="204" t="n"/>
      <c r="BD22" s="205" t="inlineStr">
        <is>
          <t>MTD (ETH)</t>
        </is>
      </c>
      <c r="BE22" s="205" t="inlineStr">
        <is>
          <t>QTD (ETH)</t>
        </is>
      </c>
      <c r="BF22" s="205" t="inlineStr">
        <is>
          <t>YTD (ETH)</t>
        </is>
      </c>
      <c r="BG22" s="206" t="inlineStr">
        <is>
          <t>ITD (ETH)</t>
        </is>
      </c>
      <c r="BI22" s="204" t="n"/>
      <c r="BJ22" s="205" t="n"/>
      <c r="BK22" s="205" t="n"/>
      <c r="BL22" s="205" t="n"/>
      <c r="BM22" s="206" t="n"/>
      <c r="BO22" s="204" t="n"/>
      <c r="BP22" s="205" t="n"/>
      <c r="BQ22" s="205" t="n"/>
      <c r="BR22" s="205" t="n"/>
      <c r="BS22" s="206" t="n"/>
      <c r="BU22" s="204" t="n"/>
      <c r="BV22" s="205" t="n"/>
      <c r="BW22" s="205" t="n"/>
      <c r="BX22" s="205" t="n"/>
      <c r="BY22" s="206" t="n"/>
      <c r="CA22" s="204" t="n"/>
      <c r="CB22" s="205" t="n"/>
      <c r="CC22" s="205" t="n"/>
      <c r="CD22" s="205" t="n"/>
      <c r="CE22" s="206" t="n"/>
      <c r="CG22" s="204" t="n"/>
      <c r="CH22" s="205" t="n"/>
      <c r="CI22" s="205" t="n"/>
      <c r="CJ22" s="205" t="n"/>
      <c r="CK22" s="206" t="n"/>
      <c r="CM22" s="204" t="n"/>
      <c r="CN22" s="205" t="n"/>
      <c r="CO22" s="205" t="n"/>
      <c r="CP22" s="205" t="n"/>
      <c r="CQ22" s="206" t="n"/>
      <c r="CS22" s="204" t="n"/>
      <c r="CT22" s="205" t="n"/>
      <c r="CU22" s="205" t="n"/>
      <c r="CV22" s="205" t="n"/>
      <c r="CW22" s="206" t="n"/>
      <c r="CY22" s="204" t="n"/>
      <c r="CZ22" s="205" t="n"/>
      <c r="DA22" s="205" t="n"/>
      <c r="DB22" s="205" t="n"/>
      <c r="DC22" s="206" t="n"/>
      <c r="DE22" s="204" t="n"/>
      <c r="DF22" s="205" t="n"/>
      <c r="DG22" s="205" t="n"/>
      <c r="DH22" s="205" t="n"/>
      <c r="DI22" s="206" t="n"/>
      <c r="DK22" s="204" t="n"/>
      <c r="DL22" s="205" t="n"/>
      <c r="DM22" s="205" t="n"/>
      <c r="DN22" s="205" t="n"/>
      <c r="DO22" s="206" t="n"/>
      <c r="DQ22" s="204" t="n"/>
      <c r="DR22" s="205" t="n"/>
      <c r="DS22" s="205" t="n"/>
      <c r="DT22" s="205" t="n"/>
      <c r="DU22" s="206" t="n"/>
      <c r="DW22" s="204" t="n"/>
      <c r="DX22" s="205" t="inlineStr">
        <is>
          <t>MTD (ETH)</t>
        </is>
      </c>
      <c r="DY22" s="205" t="inlineStr">
        <is>
          <t>QTD (ETH)</t>
        </is>
      </c>
      <c r="DZ22" s="205" t="inlineStr">
        <is>
          <t>YTD (ETH)</t>
        </is>
      </c>
      <c r="EA22" s="206" t="inlineStr">
        <is>
          <t>ITD (ETH)</t>
        </is>
      </c>
      <c r="EC22" s="204" t="n"/>
      <c r="ED22" s="205" t="inlineStr">
        <is>
          <t>MTD (ETH)</t>
        </is>
      </c>
      <c r="EE22" s="205" t="inlineStr">
        <is>
          <t>QTD (ETH)</t>
        </is>
      </c>
      <c r="EF22" s="205" t="inlineStr">
        <is>
          <t>YTD (ETH)</t>
        </is>
      </c>
      <c r="EG22" s="206" t="inlineStr">
        <is>
          <t>ITD (ETH)</t>
        </is>
      </c>
      <c r="EI22" s="204" t="n"/>
      <c r="EJ22" s="205" t="n"/>
      <c r="EK22" s="205" t="n"/>
      <c r="EL22" s="205" t="n"/>
      <c r="EM22" s="206" t="n"/>
      <c r="EO22" s="204" t="n"/>
      <c r="EP22" s="205" t="inlineStr">
        <is>
          <t>MTD (ETH)</t>
        </is>
      </c>
      <c r="EQ22" s="205" t="inlineStr">
        <is>
          <t>QTD (ETH)</t>
        </is>
      </c>
      <c r="ER22" s="205" t="inlineStr">
        <is>
          <t>YTD (ETH)</t>
        </is>
      </c>
      <c r="ES22" s="206" t="inlineStr">
        <is>
          <t>ITD (ETH)</t>
        </is>
      </c>
      <c r="EU22" s="204" t="n"/>
      <c r="EV22" s="205" t="inlineStr">
        <is>
          <t>MTD (ETH)</t>
        </is>
      </c>
      <c r="EW22" s="205" t="inlineStr">
        <is>
          <t>QTD (ETH)</t>
        </is>
      </c>
      <c r="EX22" s="205" t="inlineStr">
        <is>
          <t>YTD (ETH)</t>
        </is>
      </c>
      <c r="EY22" s="206" t="inlineStr">
        <is>
          <t>ITD (ETH)</t>
        </is>
      </c>
      <c r="FA22" s="204" t="n"/>
      <c r="FB22" s="205" t="inlineStr">
        <is>
          <t>MTD (ETH)</t>
        </is>
      </c>
      <c r="FC22" s="205" t="inlineStr">
        <is>
          <t>QTD (ETH)</t>
        </is>
      </c>
      <c r="FD22" s="205" t="inlineStr">
        <is>
          <t>YTD (ETH)</t>
        </is>
      </c>
      <c r="FE22" s="206" t="inlineStr">
        <is>
          <t>ITD (ETH)</t>
        </is>
      </c>
      <c r="FG22" s="204" t="n"/>
      <c r="FH22" s="205" t="inlineStr">
        <is>
          <t>MTD (ETH)</t>
        </is>
      </c>
      <c r="FI22" s="205" t="inlineStr">
        <is>
          <t>QTD (ETH)</t>
        </is>
      </c>
      <c r="FJ22" s="205" t="inlineStr">
        <is>
          <t>YTD (ETH)</t>
        </is>
      </c>
      <c r="FK22" s="206" t="inlineStr">
        <is>
          <t>ITD (ETH)</t>
        </is>
      </c>
      <c r="FM22" s="204" t="n"/>
      <c r="FN22" s="205" t="n"/>
      <c r="FO22" s="205" t="n"/>
      <c r="FP22" s="205" t="n"/>
      <c r="FQ22" s="206" t="n"/>
      <c r="FS22" s="204" t="n"/>
      <c r="FT22" s="205" t="n"/>
      <c r="FU22" s="205" t="n"/>
      <c r="FV22" s="205" t="n"/>
      <c r="FW22" s="206" t="n"/>
      <c r="FY22" s="204" t="n"/>
      <c r="FZ22" s="205" t="n"/>
      <c r="GA22" s="205" t="n"/>
      <c r="GB22" s="205" t="n"/>
      <c r="GC22" s="206" t="n"/>
      <c r="GE22" s="204" t="n"/>
      <c r="GF22" s="205" t="n"/>
      <c r="GG22" s="205" t="n"/>
      <c r="GH22" s="205" t="n"/>
      <c r="GI22" s="206" t="n"/>
      <c r="GK22" s="204" t="n"/>
      <c r="GL22" s="205" t="inlineStr">
        <is>
          <t>MTD (ETH)</t>
        </is>
      </c>
      <c r="GM22" s="205" t="inlineStr">
        <is>
          <t>QTD (ETH)</t>
        </is>
      </c>
      <c r="GN22" s="205" t="inlineStr">
        <is>
          <t>YTD (ETH)</t>
        </is>
      </c>
      <c r="GO22" s="206" t="inlineStr">
        <is>
          <t>ITD (ETH)</t>
        </is>
      </c>
      <c r="GQ22" s="204" t="n"/>
      <c r="GR22" s="205" t="inlineStr">
        <is>
          <t>MTD (ETH)</t>
        </is>
      </c>
      <c r="GS22" s="205" t="inlineStr">
        <is>
          <t>QTD (ETH)</t>
        </is>
      </c>
      <c r="GT22" s="205" t="inlineStr">
        <is>
          <t>YTD (ETH)</t>
        </is>
      </c>
      <c r="GU22" s="206" t="inlineStr">
        <is>
          <t>ITD (ETH)</t>
        </is>
      </c>
      <c r="GW22" s="204" t="n"/>
      <c r="GX22" s="205" t="n"/>
      <c r="GY22" s="205" t="n"/>
      <c r="GZ22" s="205" t="n"/>
      <c r="HA22" s="206" t="n"/>
      <c r="HC22" s="204" t="n"/>
      <c r="HD22" s="205" t="n"/>
      <c r="HE22" s="205" t="n"/>
      <c r="HF22" s="205" t="n"/>
      <c r="HG22" s="206" t="n"/>
      <c r="HI22" s="204" t="n"/>
      <c r="HJ22" s="205" t="n"/>
      <c r="HK22" s="205" t="n"/>
      <c r="HL22" s="205" t="n"/>
      <c r="HM22" s="206" t="n"/>
      <c r="HO22" s="204" t="n"/>
      <c r="HP22" s="205" t="n"/>
      <c r="HQ22" s="205" t="n"/>
      <c r="HR22" s="205" t="n"/>
      <c r="HS22" s="206" t="n"/>
      <c r="HU22" s="204" t="n"/>
      <c r="HV22" s="205" t="inlineStr">
        <is>
          <t>MTD (ETH)</t>
        </is>
      </c>
      <c r="HW22" s="205" t="inlineStr">
        <is>
          <t>QTD (ETH)</t>
        </is>
      </c>
      <c r="HX22" s="205" t="inlineStr">
        <is>
          <t>YTD (ETH)</t>
        </is>
      </c>
      <c r="HY22" s="206" t="inlineStr">
        <is>
          <t>ITD (ETH)</t>
        </is>
      </c>
      <c r="IA22" s="204" t="n"/>
      <c r="IB22" s="205" t="inlineStr">
        <is>
          <t>MTD (ETH)</t>
        </is>
      </c>
      <c r="IC22" s="205" t="inlineStr">
        <is>
          <t>QTD (ETH)</t>
        </is>
      </c>
      <c r="ID22" s="205" t="inlineStr">
        <is>
          <t>YTD (ETH)</t>
        </is>
      </c>
      <c r="IE22" s="206" t="inlineStr">
        <is>
          <t>ITD (ETH)</t>
        </is>
      </c>
      <c r="IG22" s="204" t="n"/>
      <c r="IH22" s="205" t="inlineStr">
        <is>
          <t>MTD (ETH)</t>
        </is>
      </c>
      <c r="II22" s="205" t="inlineStr">
        <is>
          <t>QTD (ETH)</t>
        </is>
      </c>
      <c r="IJ22" s="205" t="inlineStr">
        <is>
          <t>YTD (ETH)</t>
        </is>
      </c>
      <c r="IK22" s="206" t="inlineStr">
        <is>
          <t>ITD (ETH)</t>
        </is>
      </c>
      <c r="IM22" s="204" t="n"/>
      <c r="IN22" s="205" t="n"/>
      <c r="IO22" s="205" t="n"/>
      <c r="IP22" s="205" t="n"/>
      <c r="IQ22" s="206" t="n"/>
      <c r="IS22" s="204" t="n"/>
      <c r="IT22" s="205" t="n"/>
      <c r="IU22" s="205" t="n"/>
      <c r="IV22" s="205" t="n"/>
      <c r="IW22" s="206" t="n"/>
      <c r="IY22" s="204" t="n"/>
      <c r="IZ22" s="205" t="n"/>
      <c r="JA22" s="205" t="n"/>
      <c r="JB22" s="205" t="n"/>
      <c r="JC22" s="206" t="n"/>
    </row>
    <row r="23" ht="15.75" customHeight="1" s="252">
      <c r="A23" s="183" t="inlineStr">
        <is>
          <t>Beginning Balance</t>
        </is>
      </c>
      <c r="B23" s="184">
        <f t="array" ref="B23">index('ETH Yield Fund'!$A$8:$EI$1010,MATCH(A$10,'ETH Yield Fund'!$A$8:$A$1010,0),MATCH(IF(E21&gt;$D$2,E21,$D$2),'ETH Yield Fund'!$A$8:$EI$8,0))</f>
        <v/>
      </c>
      <c r="C23" s="184">
        <f t="array" ref="C23">index('ETH Yield Fund'!$A$8:$EI$1010,MATCH(A$10,'ETH Yield Fund'!$A$8:$A$1010,0),MATCH(IF(E21&gt;$D$3,E21,$D$3),'ETH Yield Fund'!$A$8:$EI$8,0))</f>
        <v/>
      </c>
      <c r="D23" s="184">
        <f t="array" ref="D23">index('ETH Yield Fund'!$A$8:$EI$1010,MATCH(A$10,'ETH Yield Fund'!$A$8:$A$1010,0),MATCH(IF(E21&gt;$D$4,E21,$D$4),'ETH Yield Fund'!$A$8:$EI$8,0))</f>
        <v/>
      </c>
      <c r="E23" s="185">
        <f t="array" ref="E23">index('ETH Yield Fund'!$A$8:$EI$1010,MATCH(A$10,'ETH Yield Fund'!$A$8:$A$1010,0),MATCH(E21,'ETH Yield Fund'!$A$8:$EI$8,0))</f>
        <v/>
      </c>
      <c r="G23" s="183" t="n"/>
      <c r="H23" s="184" t="n"/>
      <c r="I23" s="184" t="n"/>
      <c r="J23" s="184" t="n"/>
      <c r="K23" s="185" t="n"/>
      <c r="M23" s="183" t="n"/>
      <c r="N23" s="184" t="n"/>
      <c r="O23" s="184" t="n"/>
      <c r="P23" s="184" t="n"/>
      <c r="Q23" s="185" t="n"/>
      <c r="S23" s="183" t="n"/>
      <c r="T23" s="184" t="n"/>
      <c r="U23" s="184" t="n"/>
      <c r="V23" s="184" t="n"/>
      <c r="W23" s="185" t="n"/>
      <c r="Y23" s="183" t="n"/>
      <c r="Z23" s="184" t="n"/>
      <c r="AA23" s="184" t="n"/>
      <c r="AB23" s="184" t="n"/>
      <c r="AC23" s="185" t="n"/>
      <c r="AE23" s="183" t="inlineStr">
        <is>
          <t>Beginning Balance</t>
        </is>
      </c>
      <c r="AF23" s="184">
        <f t="array" ref="AF23">index('ETH Yield Fund'!$A$8:$EI$1010,MATCH(AE$10,'ETH Yield Fund'!$A$8:$A$1010,0),MATCH(IF(AI21&gt;$D$2,AI21,$D$2),'ETH Yield Fund'!$A$8:$EI$8,0))</f>
        <v/>
      </c>
      <c r="AG23" s="184">
        <f t="array" ref="AG23">index('ETH Yield Fund'!$A$8:$EI$1010,MATCH(AE$10,'ETH Yield Fund'!$A$8:$A$1010,0),MATCH(IF(AI21&gt;$D$3,AI21,$D$3),'ETH Yield Fund'!$A$8:$EI$8,0))</f>
        <v/>
      </c>
      <c r="AH23" s="184">
        <f t="array" ref="AH23">index('ETH Yield Fund'!$A$8:$EI$1010,MATCH(AE$10,'ETH Yield Fund'!$A$8:$A$1010,0),MATCH(IF(AI21&gt;$D$4,AI21,$D$4),'ETH Yield Fund'!$A$8:$EI$8,0))</f>
        <v/>
      </c>
      <c r="AI23" s="185">
        <f t="array" ref="AI23">index('ETH Yield Fund'!$A$8:$EI$1010,MATCH(AE$10,'ETH Yield Fund'!$A$8:$A$1010,0),MATCH(AI21,'ETH Yield Fund'!$A$8:$EI$8,0))</f>
        <v/>
      </c>
      <c r="AK23" s="183" t="inlineStr">
        <is>
          <t>Beginning Balance</t>
        </is>
      </c>
      <c r="AL23" s="184">
        <f t="array" ref="AL23">index('ETH Yield Fund'!$A$8:$EI$1010,MATCH(AK$10,'ETH Yield Fund'!$A$8:$A$1010,0),MATCH(IF(AO21&gt;$D$2,AO21,$D$2),'ETH Yield Fund'!$A$8:$EI$8,0))</f>
        <v/>
      </c>
      <c r="AM23" s="184">
        <f t="array" ref="AM23">index('ETH Yield Fund'!$A$8:$EI$1010,MATCH(AK$10,'ETH Yield Fund'!$A$8:$A$1010,0),MATCH(IF(AO21&gt;$D$3,AO21,$D$3),'ETH Yield Fund'!$A$8:$EI$8,0))</f>
        <v/>
      </c>
      <c r="AN23" s="184">
        <f t="array" ref="AN23">index('ETH Yield Fund'!$A$8:$EI$1010,MATCH(AK$10,'ETH Yield Fund'!$A$8:$A$1010,0),MATCH(IF(AO21&gt;$D$4,AO21,$D$4),'ETH Yield Fund'!$A$8:$EI$8,0))</f>
        <v/>
      </c>
      <c r="AO23" s="185">
        <f t="array" ref="AO23">index('ETH Yield Fund'!$A$8:$EI$1010,MATCH(AK$10,'ETH Yield Fund'!$A$8:$A$1010,0),MATCH(AO21,'ETH Yield Fund'!$A$8:$EI$8,0))</f>
        <v/>
      </c>
      <c r="AQ23" s="183" t="n"/>
      <c r="AR23" s="184" t="n"/>
      <c r="AS23" s="184" t="n"/>
      <c r="AT23" s="184" t="n"/>
      <c r="AU23" s="185" t="n"/>
      <c r="AW23" s="183" t="inlineStr">
        <is>
          <t>Beginning Balance</t>
        </is>
      </c>
      <c r="AX23" s="184">
        <f t="array" ref="AX23">index('ETH Yield Fund'!$A$8:$EI$1010,MATCH(AW$10,'ETH Yield Fund'!$A$8:$A$1010,0),MATCH(IF(BA21&gt;$D$2,BA21,$D$2),'ETH Yield Fund'!$A$8:$EI$8,0))</f>
        <v/>
      </c>
      <c r="AY23" s="184">
        <f t="array" ref="AY23">index('ETH Yield Fund'!$A$8:$EI$1010,MATCH(AW$10,'ETH Yield Fund'!$A$8:$A$1010,0),MATCH(IF(BA21&gt;$D$3,BA21,$D$3),'ETH Yield Fund'!$A$8:$EI$8,0))</f>
        <v/>
      </c>
      <c r="AZ23" s="184">
        <f t="array" ref="AZ23">index('ETH Yield Fund'!$A$8:$EI$1010,MATCH(AW$10,'ETH Yield Fund'!$A$8:$A$1010,0),MATCH(IF(BA21&gt;$D$4,BA21,$D$4),'ETH Yield Fund'!$A$8:$EI$8,0))</f>
        <v/>
      </c>
      <c r="BA23" s="185">
        <f t="array" ref="BA23">index('ETH Yield Fund'!$A$8:$EI$1010,MATCH(AW$10,'ETH Yield Fund'!$A$8:$A$1010,0),MATCH(BA21,'ETH Yield Fund'!$A$8:$EI$8,0))</f>
        <v/>
      </c>
      <c r="BC23" s="183" t="inlineStr">
        <is>
          <t>Beginning Balance</t>
        </is>
      </c>
      <c r="BD23" s="184">
        <f t="array" ref="BD23">index('ETH Yield Fund'!$A$8:$EI$1010,MATCH(BC$10,'ETH Yield Fund'!$A$8:$A$1010,0),MATCH(IF(BG21&gt;$D$2,BG21,$D$2),'ETH Yield Fund'!$A$8:$EI$8,0))</f>
        <v/>
      </c>
      <c r="BE23" s="184">
        <f t="array" ref="BE23">index('ETH Yield Fund'!$A$8:$EI$1010,MATCH(BC$10,'ETH Yield Fund'!$A$8:$A$1010,0),MATCH(IF(BG21&gt;$D$3,BG21,$D$3),'ETH Yield Fund'!$A$8:$EI$8,0))</f>
        <v/>
      </c>
      <c r="BF23" s="184">
        <f t="array" ref="BF23">index('ETH Yield Fund'!$A$8:$EI$1010,MATCH(BC$10,'ETH Yield Fund'!$A$8:$A$1010,0),MATCH(IF(BG21&gt;$D$4,BG21,$D$4),'ETH Yield Fund'!$A$8:$EI$8,0))</f>
        <v/>
      </c>
      <c r="BG23" s="185">
        <f t="array" ref="BG23">index('ETH Yield Fund'!$A$8:$EI$1010,MATCH(BC$10,'ETH Yield Fund'!$A$8:$A$1010,0),MATCH(BG21,'ETH Yield Fund'!$A$8:$EI$8,0))</f>
        <v/>
      </c>
      <c r="BI23" s="183" t="n"/>
      <c r="BJ23" s="184" t="n"/>
      <c r="BK23" s="184" t="n"/>
      <c r="BL23" s="184" t="n"/>
      <c r="BM23" s="185" t="n"/>
      <c r="BO23" s="183" t="n"/>
      <c r="BP23" s="184" t="n"/>
      <c r="BQ23" s="184" t="n"/>
      <c r="BR23" s="184" t="n"/>
      <c r="BS23" s="185" t="n"/>
      <c r="BU23" s="183" t="n"/>
      <c r="BV23" s="184" t="n"/>
      <c r="BW23" s="184" t="n"/>
      <c r="BX23" s="184" t="n"/>
      <c r="BY23" s="185" t="n"/>
      <c r="CA23" s="183" t="n"/>
      <c r="CB23" s="184" t="n"/>
      <c r="CC23" s="184" t="n"/>
      <c r="CD23" s="184" t="n"/>
      <c r="CE23" s="185" t="n"/>
      <c r="CG23" s="183" t="n"/>
      <c r="CH23" s="184" t="n"/>
      <c r="CI23" s="184" t="n"/>
      <c r="CJ23" s="184" t="n"/>
      <c r="CK23" s="185" t="n"/>
      <c r="CM23" s="183" t="n"/>
      <c r="CN23" s="184" t="n"/>
      <c r="CO23" s="184" t="n"/>
      <c r="CP23" s="184" t="n"/>
      <c r="CQ23" s="185" t="n"/>
      <c r="CS23" s="183" t="n"/>
      <c r="CT23" s="184" t="n"/>
      <c r="CU23" s="184" t="n"/>
      <c r="CV23" s="184" t="n"/>
      <c r="CW23" s="185" t="n"/>
      <c r="CY23" s="183" t="n"/>
      <c r="CZ23" s="184" t="n"/>
      <c r="DA23" s="184" t="n"/>
      <c r="DB23" s="184" t="n"/>
      <c r="DC23" s="185" t="n"/>
      <c r="DE23" s="183" t="n"/>
      <c r="DF23" s="184" t="n"/>
      <c r="DG23" s="184" t="n"/>
      <c r="DH23" s="184" t="n"/>
      <c r="DI23" s="185" t="n"/>
      <c r="DK23" s="183" t="n"/>
      <c r="DL23" s="184" t="n"/>
      <c r="DM23" s="184" t="n"/>
      <c r="DN23" s="184" t="n"/>
      <c r="DO23" s="185" t="n"/>
      <c r="DQ23" s="183" t="n"/>
      <c r="DR23" s="184" t="n"/>
      <c r="DS23" s="184" t="n"/>
      <c r="DT23" s="184" t="n"/>
      <c r="DU23" s="185" t="n"/>
      <c r="DW23" s="183" t="inlineStr">
        <is>
          <t>Beginning Balance</t>
        </is>
      </c>
      <c r="DX23" s="184">
        <f t="array" ref="DX23">index('ETH Yield Fund'!$A$8:$EI$1010,MATCH(DW$10,'ETH Yield Fund'!$A$8:$A$1010,0),MATCH(IF(EA21&gt;$D$2,EA21,$D$2),'ETH Yield Fund'!$A$8:$EI$8,0))</f>
        <v/>
      </c>
      <c r="DY23" s="184">
        <f t="array" ref="DY23">index('ETH Yield Fund'!$A$8:$EI$1010,MATCH(DW$10,'ETH Yield Fund'!$A$8:$A$1010,0),MATCH(IF(EA21&gt;$D$3,EA21,$D$3),'ETH Yield Fund'!$A$8:$EI$8,0))</f>
        <v/>
      </c>
      <c r="DZ23" s="184">
        <f t="array" ref="DZ23">index('ETH Yield Fund'!$A$8:$EI$1010,MATCH(DW$10,'ETH Yield Fund'!$A$8:$A$1010,0),MATCH(IF(EA21&gt;$D$4,EA21,$D$4),'ETH Yield Fund'!$A$8:$EI$8,0))</f>
        <v/>
      </c>
      <c r="EA23" s="185">
        <f t="array" ref="EA23">index('ETH Yield Fund'!$A$8:$EI$1010,MATCH(DW$10,'ETH Yield Fund'!$A$8:$A$1010,0),MATCH(EA21,'ETH Yield Fund'!$A$8:$EI$8,0))</f>
        <v/>
      </c>
      <c r="EC23" s="183" t="inlineStr">
        <is>
          <t>Beginning Balance</t>
        </is>
      </c>
      <c r="ED23" s="184">
        <f t="array" ref="ED23">index('ETH Yield Fund'!$A$8:$EI$1010,MATCH(EC$10,'ETH Yield Fund'!$A$8:$A$1010,0),MATCH(IF(EG21&gt;$D$2,EG21,$D$2),'ETH Yield Fund'!$A$8:$EI$8,0))</f>
        <v/>
      </c>
      <c r="EE23" s="184">
        <f t="array" ref="EE23">index('ETH Yield Fund'!$A$8:$EI$1010,MATCH(EC$10,'ETH Yield Fund'!$A$8:$A$1010,0),MATCH(IF(EG21&gt;$D$3,EG21,$D$3),'ETH Yield Fund'!$A$8:$EI$8,0))</f>
        <v/>
      </c>
      <c r="EF23" s="184">
        <f t="array" ref="EF23">index('ETH Yield Fund'!$A$8:$EI$1010,MATCH(EC$10,'ETH Yield Fund'!$A$8:$A$1010,0),MATCH(IF(EG21&gt;$D$4,EG21,$D$4),'ETH Yield Fund'!$A$8:$EI$8,0))</f>
        <v/>
      </c>
      <c r="EG23" s="185">
        <f t="array" ref="EG23">index('ETH Yield Fund'!$A$8:$EI$1010,MATCH(EC$10,'ETH Yield Fund'!$A$8:$A$1010,0),MATCH(EG21,'ETH Yield Fund'!$A$8:$EI$8,0))</f>
        <v/>
      </c>
      <c r="EI23" s="183" t="n"/>
      <c r="EJ23" s="184" t="n"/>
      <c r="EK23" s="184" t="n"/>
      <c r="EL23" s="184" t="n"/>
      <c r="EM23" s="185" t="n"/>
      <c r="EO23" s="183" t="inlineStr">
        <is>
          <t>Beginning Balance</t>
        </is>
      </c>
      <c r="EP23" s="184">
        <f t="array" ref="EP23">index('ETH Yield Fund'!$A$8:$EI$1010,MATCH(EO$10,'ETH Yield Fund'!$A$8:$A$1010,0),MATCH(IF(ES21&gt;$D$2,ES21,$D$2),'ETH Yield Fund'!$A$8:$EI$8,0))</f>
        <v/>
      </c>
      <c r="EQ23" s="184">
        <f t="array" ref="EQ23">index('ETH Yield Fund'!$A$8:$EI$1010,MATCH(EO$10,'ETH Yield Fund'!$A$8:$A$1010,0),MATCH(IF(ES21&gt;$D$3,ES21,$D$3),'ETH Yield Fund'!$A$8:$EI$8,0))</f>
        <v/>
      </c>
      <c r="ER23" s="184">
        <f t="array" ref="ER23">index('ETH Yield Fund'!$A$8:$EI$1010,MATCH(EO$10,'ETH Yield Fund'!$A$8:$A$1010,0),MATCH(IF(ES21&gt;$D$4,ES21,$D$4),'ETH Yield Fund'!$A$8:$EI$8,0))</f>
        <v/>
      </c>
      <c r="ES23" s="185">
        <f t="array" ref="ES23">index('ETH Yield Fund'!$A$8:$EI$1010,MATCH(EO$10,'ETH Yield Fund'!$A$8:$A$1010,0),MATCH(ES21,'ETH Yield Fund'!$A$8:$EI$8,0))</f>
        <v/>
      </c>
      <c r="EU23" s="183" t="inlineStr">
        <is>
          <t>Beginning Balance</t>
        </is>
      </c>
      <c r="EV23" s="184">
        <f t="array" ref="EV23">index('ETH Yield Fund'!$A$8:$EI$1010,MATCH(EU$10,'ETH Yield Fund'!$A$8:$A$1010,0),MATCH(IF(EY21&gt;$D$2,EY21,$D$2),'ETH Yield Fund'!$A$8:$EI$8,0))</f>
        <v/>
      </c>
      <c r="EW23" s="184">
        <f t="array" ref="EW23">index('ETH Yield Fund'!$A$8:$EI$1010,MATCH(EU$10,'ETH Yield Fund'!$A$8:$A$1010,0),MATCH(IF(EY21&gt;$D$3,EY21,$D$3),'ETH Yield Fund'!$A$8:$EI$8,0))</f>
        <v/>
      </c>
      <c r="EX23" s="184">
        <f t="array" ref="EX23">index('ETH Yield Fund'!$A$8:$EI$1010,MATCH(EU$10,'ETH Yield Fund'!$A$8:$A$1010,0),MATCH(IF(EY21&gt;$D$4,EY21,$D$4),'ETH Yield Fund'!$A$8:$EI$8,0))</f>
        <v/>
      </c>
      <c r="EY23" s="185">
        <f t="array" ref="EY23">index('ETH Yield Fund'!$A$8:$EI$1010,MATCH(EU$10,'ETH Yield Fund'!$A$8:$A$1010,0),MATCH(EY21,'ETH Yield Fund'!$A$8:$EI$8,0))</f>
        <v/>
      </c>
      <c r="FA23" s="183" t="inlineStr">
        <is>
          <t>Beginning Balance</t>
        </is>
      </c>
      <c r="FB23" s="184">
        <f t="array" ref="FB23">index('ETH Yield Fund'!$A$8:$EI$1010,MATCH(FA$10,'ETH Yield Fund'!$A$8:$A$1010,0),MATCH(IF(FE21&gt;$D$2,FE21,$D$2),'ETH Yield Fund'!$A$8:$EI$8,0))</f>
        <v/>
      </c>
      <c r="FC23" s="184">
        <f t="array" ref="FC23">index('ETH Yield Fund'!$A$8:$EI$1010,MATCH(FA$10,'ETH Yield Fund'!$A$8:$A$1010,0),MATCH(IF(FE21&gt;$D$3,FE21,$D$3),'ETH Yield Fund'!$A$8:$EI$8,0))</f>
        <v/>
      </c>
      <c r="FD23" s="184">
        <f t="array" ref="FD23">index('ETH Yield Fund'!$A$8:$EI$1010,MATCH(FA$10,'ETH Yield Fund'!$A$8:$A$1010,0),MATCH(IF(FE21&gt;$D$4,FE21,$D$4),'ETH Yield Fund'!$A$8:$EI$8,0))</f>
        <v/>
      </c>
      <c r="FE23" s="185">
        <f t="array" ref="FE23">index('ETH Yield Fund'!$A$8:$EI$1010,MATCH(FA$10,'ETH Yield Fund'!$A$8:$A$1010,0),MATCH(FE21,'ETH Yield Fund'!$A$8:$EI$8,0))</f>
        <v/>
      </c>
      <c r="FG23" s="183" t="inlineStr">
        <is>
          <t>Beginning Balance</t>
        </is>
      </c>
      <c r="FH23" s="184">
        <f t="array" ref="FH23">index('ETH Yield Fund'!$A$8:$EI$1010,MATCH(FG$10,'ETH Yield Fund'!$A$8:$A$1010,0),MATCH(IF(FK21&gt;$D$2,FK21,$D$2),'ETH Yield Fund'!$A$8:$EI$8,0))</f>
        <v/>
      </c>
      <c r="FI23" s="184">
        <f t="array" ref="FI23">index('ETH Yield Fund'!$A$8:$EI$1010,MATCH(FG$10,'ETH Yield Fund'!$A$8:$A$1010,0),MATCH(IF(FK21&gt;$D$3,FK21,$D$3),'ETH Yield Fund'!$A$8:$EI$8,0))</f>
        <v/>
      </c>
      <c r="FJ23" s="184">
        <f t="array" ref="FJ23">index('ETH Yield Fund'!$A$8:$EI$1010,MATCH(FG$10,'ETH Yield Fund'!$A$8:$A$1010,0),MATCH(IF(FK21&gt;$D$4,FK21,$D$4),'ETH Yield Fund'!$A$8:$EI$8,0))</f>
        <v/>
      </c>
      <c r="FK23" s="185">
        <f t="array" ref="FK23">index('ETH Yield Fund'!$A$8:$EI$1010,MATCH(FG$10,'ETH Yield Fund'!$A$8:$A$1010,0),MATCH(FK21,'ETH Yield Fund'!$A$8:$EI$8,0))</f>
        <v/>
      </c>
      <c r="FM23" s="183" t="n"/>
      <c r="FN23" s="184" t="n"/>
      <c r="FO23" s="184" t="n"/>
      <c r="FP23" s="184" t="n"/>
      <c r="FQ23" s="185" t="n"/>
      <c r="FS23" s="183" t="n"/>
      <c r="FT23" s="184" t="n"/>
      <c r="FU23" s="184" t="n"/>
      <c r="FV23" s="184" t="n"/>
      <c r="FW23" s="185" t="n"/>
      <c r="FY23" s="183" t="n"/>
      <c r="FZ23" s="184" t="n"/>
      <c r="GA23" s="184" t="n"/>
      <c r="GB23" s="184" t="n"/>
      <c r="GC23" s="185" t="n"/>
      <c r="GE23" s="183" t="n"/>
      <c r="GF23" s="184" t="n"/>
      <c r="GG23" s="184" t="n"/>
      <c r="GH23" s="184" t="n"/>
      <c r="GI23" s="185" t="n"/>
      <c r="GK23" s="183" t="inlineStr">
        <is>
          <t>Beginning Balance</t>
        </is>
      </c>
      <c r="GL23" s="184">
        <f t="array" ref="GL23">index('ETH Yield Fund'!$A$8:$EI$1010,MATCH(GK$10,'ETH Yield Fund'!$A$8:$A$1010,0),MATCH(IF(GO21&gt;$D$2,GO21,$D$2),'ETH Yield Fund'!$A$8:$EI$8,0))</f>
        <v/>
      </c>
      <c r="GM23" s="184">
        <f t="array" ref="GM23">index('ETH Yield Fund'!$A$8:$EI$1010,MATCH(GK$10,'ETH Yield Fund'!$A$8:$A$1010,0),MATCH(IF(GO21&gt;$D$3,GO21,$D$3),'ETH Yield Fund'!$A$8:$EI$8,0))</f>
        <v/>
      </c>
      <c r="GN23" s="184">
        <f t="array" ref="GN23">index('ETH Yield Fund'!$A$8:$EI$1010,MATCH(GK$10,'ETH Yield Fund'!$A$8:$A$1010,0),MATCH(IF(GO21&gt;$D$4,GO21,$D$4),'ETH Yield Fund'!$A$8:$EI$8,0))</f>
        <v/>
      </c>
      <c r="GO23" s="185">
        <f t="array" ref="GO23">index('ETH Yield Fund'!$A$8:$EI$1010,MATCH(GK$10,'ETH Yield Fund'!$A$8:$A$1010,0),MATCH(GO21,'ETH Yield Fund'!$A$8:$EI$8,0))</f>
        <v/>
      </c>
      <c r="GQ23" s="183" t="inlineStr">
        <is>
          <t>Beginning Balance</t>
        </is>
      </c>
      <c r="GR23" s="184">
        <f t="array" ref="GR23">index('ETH Yield Fund'!$A$8:$EI$1010,MATCH(GQ$10,'ETH Yield Fund'!$A$8:$A$1010,0),MATCH(IF(GU21&gt;$D$2,GU21,$D$2),'ETH Yield Fund'!$A$8:$EI$8,0))</f>
        <v/>
      </c>
      <c r="GS23" s="184">
        <f t="array" ref="GS23">index('ETH Yield Fund'!$A$8:$EI$1010,MATCH(GQ$10,'ETH Yield Fund'!$A$8:$A$1010,0),MATCH(IF(GU21&gt;$D$3,GU21,$D$3),'ETH Yield Fund'!$A$8:$EI$8,0))</f>
        <v/>
      </c>
      <c r="GT23" s="184">
        <f t="array" ref="GT23">index('ETH Yield Fund'!$A$8:$EI$1010,MATCH(GQ$10,'ETH Yield Fund'!$A$8:$A$1010,0),MATCH(IF(GU21&gt;$D$4,GU21,$D$4),'ETH Yield Fund'!$A$8:$EI$8,0))</f>
        <v/>
      </c>
      <c r="GU23" s="185">
        <f t="array" ref="GU23">index('ETH Yield Fund'!$A$8:$EI$1010,MATCH(GQ$10,'ETH Yield Fund'!$A$8:$A$1010,0),MATCH(GU21,'ETH Yield Fund'!$A$8:$EI$8,0))</f>
        <v/>
      </c>
      <c r="GW23" s="183" t="n"/>
      <c r="GX23" s="184" t="n"/>
      <c r="GY23" s="184" t="n"/>
      <c r="GZ23" s="184" t="n"/>
      <c r="HA23" s="185" t="n"/>
      <c r="HC23" s="183" t="n"/>
      <c r="HD23" s="184" t="n"/>
      <c r="HE23" s="184" t="n"/>
      <c r="HF23" s="184" t="n"/>
      <c r="HG23" s="185" t="n"/>
      <c r="HI23" s="183" t="n"/>
      <c r="HJ23" s="184" t="n"/>
      <c r="HK23" s="184" t="n"/>
      <c r="HL23" s="184" t="n"/>
      <c r="HM23" s="185" t="n"/>
      <c r="HO23" s="183" t="n"/>
      <c r="HP23" s="184" t="n"/>
      <c r="HQ23" s="184" t="n"/>
      <c r="HR23" s="184" t="n"/>
      <c r="HS23" s="185" t="n"/>
      <c r="HU23" s="183" t="inlineStr">
        <is>
          <t>Beginning Balance</t>
        </is>
      </c>
      <c r="HV23" s="184">
        <f t="array" ref="HV23">index('ETH Yield Fund'!$A$8:$EI$1010,MATCH(HU$10,'ETH Yield Fund'!$A$8:$A$1010,0),MATCH(IF(HY21&gt;$D$2,HY21,$D$2),'ETH Yield Fund'!$A$8:$EI$8,0))</f>
        <v/>
      </c>
      <c r="HW23" s="184">
        <f t="array" ref="HW23">index('ETH Yield Fund'!$A$8:$EI$1010,MATCH(HU$10,'ETH Yield Fund'!$A$8:$A$1010,0),MATCH(IF(HY21&gt;$D$3,HY21,$D$3),'ETH Yield Fund'!$A$8:$EI$8,0))</f>
        <v/>
      </c>
      <c r="HX23" s="184">
        <f t="array" ref="HX23">index('ETH Yield Fund'!$A$8:$EI$1010,MATCH(HU$10,'ETH Yield Fund'!$A$8:$A$1010,0),MATCH(IF(HY21&gt;$D$4,HY21,$D$4),'ETH Yield Fund'!$A$8:$EI$8,0))</f>
        <v/>
      </c>
      <c r="HY23" s="185">
        <f t="array" ref="HY23">index('ETH Yield Fund'!$A$8:$EI$1010,MATCH(HU$10,'ETH Yield Fund'!$A$8:$A$1010,0),MATCH(HY21,'ETH Yield Fund'!$A$8:$EI$8,0))</f>
        <v/>
      </c>
      <c r="IA23" s="183" t="inlineStr">
        <is>
          <t>Beginning Balance</t>
        </is>
      </c>
      <c r="IB23" s="184">
        <f t="array" ref="IB23">index('ETH Yield Fund'!$A$8:$EI$1010,MATCH(IA$10,'ETH Yield Fund'!$A$8:$A$1010,0),MATCH(IF(IE21&gt;$D$2,IE21,$D$2),'ETH Yield Fund'!$A$8:$EI$8,0))</f>
        <v/>
      </c>
      <c r="IC23" s="184">
        <f t="array" ref="IC23">index('ETH Yield Fund'!$A$8:$EI$1010,MATCH(IA$10,'ETH Yield Fund'!$A$8:$A$1010,0),MATCH(IF(IE21&gt;$D$3,IE21,$D$3),'ETH Yield Fund'!$A$8:$EI$8,0))</f>
        <v/>
      </c>
      <c r="ID23" s="184">
        <f t="array" ref="ID23">index('ETH Yield Fund'!$A$8:$EI$1010,MATCH(IA$10,'ETH Yield Fund'!$A$8:$A$1010,0),MATCH(IF(IE21&gt;$D$4,IE21,$D$4),'ETH Yield Fund'!$A$8:$EI$8,0))</f>
        <v/>
      </c>
      <c r="IE23" s="185">
        <f t="array" ref="IE23">index('ETH Yield Fund'!$A$8:$EI$1010,MATCH(IA$10,'ETH Yield Fund'!$A$8:$A$1010,0),MATCH(IE21,'ETH Yield Fund'!$A$8:$EI$8,0))</f>
        <v/>
      </c>
      <c r="IG23" s="183" t="inlineStr">
        <is>
          <t>Beginning Balance</t>
        </is>
      </c>
      <c r="IH23" s="184">
        <f t="array" ref="IH23">index('ETH Yield Fund'!$A$8:$EI$1010,MATCH(IG$10,'ETH Yield Fund'!$A$8:$A$1010,0),MATCH(IF(IK21&gt;$D$2,IK21,$D$2),'ETH Yield Fund'!$A$8:$EI$8,0))</f>
        <v/>
      </c>
      <c r="II23" s="184">
        <f t="array" ref="II23">index('ETH Yield Fund'!$A$8:$EI$1010,MATCH(IG$10,'ETH Yield Fund'!$A$8:$A$1010,0),MATCH(IF(IK21&gt;$D$3,IK21,$D$3),'ETH Yield Fund'!$A$8:$EI$8,0))</f>
        <v/>
      </c>
      <c r="IJ23" s="184">
        <f t="array" ref="IJ23">index('ETH Yield Fund'!$A$8:$EI$1010,MATCH(IG$10,'ETH Yield Fund'!$A$8:$A$1010,0),MATCH(IF(IK21&gt;$D$4,IK21,$D$4),'ETH Yield Fund'!$A$8:$EI$8,0))</f>
        <v/>
      </c>
      <c r="IK23" s="185">
        <f t="array" ref="IK23">index('ETH Yield Fund'!$A$8:$EI$1010,MATCH(IG$10,'ETH Yield Fund'!$A$8:$A$1010,0),MATCH(IK21,'ETH Yield Fund'!$A$8:$EI$8,0))</f>
        <v/>
      </c>
      <c r="IM23" s="183" t="n"/>
      <c r="IN23" s="184" t="n"/>
      <c r="IO23" s="184" t="n"/>
      <c r="IP23" s="184" t="n"/>
      <c r="IQ23" s="185" t="n"/>
      <c r="IS23" s="183" t="n"/>
      <c r="IT23" s="184" t="n"/>
      <c r="IU23" s="184" t="n"/>
      <c r="IV23" s="184" t="n"/>
      <c r="IW23" s="185" t="n"/>
      <c r="IY23" s="183" t="n"/>
      <c r="IZ23" s="184" t="n"/>
      <c r="JA23" s="184" t="n"/>
      <c r="JB23" s="184" t="n"/>
      <c r="JC23" s="185" t="n"/>
    </row>
    <row r="24" ht="15.75" customHeight="1" s="252">
      <c r="A24" s="188" t="inlineStr">
        <is>
          <t xml:space="preserve">Additions </t>
        </is>
      </c>
      <c r="B24" s="189">
        <f>SUMIFS(Investments!$D:$D,Investments!$B:$B,A$10,Investments!$C:$C,$A$2,Investments!$A:$A,"&gt;"&amp;IF(E21&gt;$D$2,E21,$D$2),Investments!$A:$A,"&lt;="&amp;$E$2,Investments!$D:$D,"&gt;"&amp;0)</f>
        <v/>
      </c>
      <c r="C24" s="189">
        <f>SUMIFS(Investments!$D:$D,Investments!$B:$B,A$10,Investments!$C:$C,$A$2,Investments!$A:$A,"&gt;"&amp;IF(E21&gt;$D$3,E21,$D$3),Investments!$A:$A,"&lt;="&amp;$E$3,Investments!$D:$D,"&gt;"&amp;0)</f>
        <v/>
      </c>
      <c r="D24" s="189">
        <f>SUMIFS(Investments!$D:$D,Investments!$B:$B,A$10,Investments!$C:$C,$A$2,Investments!$A:$A,"&gt;"&amp;IF(E21&gt;$D$4,E21,$D$4),Investments!$A:$A,"&lt;="&amp;$E$4,Investments!$D:$D,"&gt;"&amp;0)</f>
        <v/>
      </c>
      <c r="E24" s="190">
        <f>SUMIFS(Investments!$D:$D,Investments!$B:$B,A$10,Investments!$C:$C,$A$2,Investments!$A:$A,"&gt;"&amp;E21,Investments!$A:$A,"&lt;="&amp;$E$4,Investments!$D:$D,"&gt;"&amp;0)</f>
        <v/>
      </c>
      <c r="G24" s="188" t="n"/>
      <c r="H24" s="189" t="n"/>
      <c r="I24" s="189" t="n"/>
      <c r="J24" s="189" t="n"/>
      <c r="K24" s="190" t="n"/>
      <c r="M24" s="188" t="n"/>
      <c r="N24" s="189" t="n"/>
      <c r="O24" s="189" t="n"/>
      <c r="P24" s="189" t="n"/>
      <c r="Q24" s="190" t="n"/>
      <c r="S24" s="188" t="n"/>
      <c r="T24" s="189" t="n"/>
      <c r="U24" s="189" t="n"/>
      <c r="V24" s="189" t="n"/>
      <c r="W24" s="190" t="n"/>
      <c r="Y24" s="188" t="n"/>
      <c r="Z24" s="189" t="n"/>
      <c r="AA24" s="189" t="n"/>
      <c r="AB24" s="189" t="n"/>
      <c r="AC24" s="190" t="n"/>
      <c r="AE24" s="188" t="inlineStr">
        <is>
          <t xml:space="preserve">Additions </t>
        </is>
      </c>
      <c r="AF24" s="189">
        <f>SUMIFS(Investments!$D:$D,Investments!$B:$B,AE$10,Investments!$C:$C,$A$2,Investments!$A:$A,"&gt;"&amp;IF(AI21&gt;$D$2,AI21,$D$2),Investments!$A:$A,"&lt;="&amp;$E$2,Investments!$D:$D,"&gt;"&amp;0)</f>
        <v/>
      </c>
      <c r="AG24" s="189">
        <f>SUMIFS(Investments!$D:$D,Investments!$B:$B,AE$10,Investments!$C:$C,$A$2,Investments!$A:$A,"&gt;"&amp;IF(AI21&gt;$D$3,AI21,$D$3),Investments!$A:$A,"&lt;="&amp;$E$3,Investments!$D:$D,"&gt;"&amp;0)</f>
        <v/>
      </c>
      <c r="AH24" s="189">
        <f>SUMIFS(Investments!$D:$D,Investments!$B:$B,AE$10,Investments!$C:$C,$A$2,Investments!$A:$A,"&gt;"&amp;IF(AI21&gt;$D$4,AI21,$D$4),Investments!$A:$A,"&lt;="&amp;$E$4,Investments!$D:$D,"&gt;"&amp;0)</f>
        <v/>
      </c>
      <c r="AI24" s="190">
        <f>SUMIFS(Investments!$D:$D,Investments!$B:$B,AE$10,Investments!$C:$C,$A$2,Investments!$A:$A,"&gt;"&amp;AI21,Investments!$A:$A,"&lt;="&amp;$E$4,Investments!$D:$D,"&gt;"&amp;0)</f>
        <v/>
      </c>
      <c r="AK24" s="188" t="inlineStr">
        <is>
          <t xml:space="preserve">Additions </t>
        </is>
      </c>
      <c r="AL24" s="189">
        <f>SUMIFS(Investments!$D:$D,Investments!$B:$B,AK$10,Investments!$C:$C,$A$2,Investments!$A:$A,"&gt;"&amp;IF(AO21&gt;$D$2,AO21,$D$2),Investments!$A:$A,"&lt;="&amp;$E$2,Investments!$D:$D,"&gt;"&amp;0)</f>
        <v/>
      </c>
      <c r="AM24" s="189">
        <f>SUMIFS(Investments!$D:$D,Investments!$B:$B,AK$10,Investments!$C:$C,$A$2,Investments!$A:$A,"&gt;"&amp;IF(AO21&gt;$D$3,AO21,$D$3),Investments!$A:$A,"&lt;="&amp;$E$3,Investments!$D:$D,"&gt;"&amp;0)</f>
        <v/>
      </c>
      <c r="AN24" s="189">
        <f>SUMIFS(Investments!$D:$D,Investments!$B:$B,AK$10,Investments!$C:$C,$A$2,Investments!$A:$A,"&gt;"&amp;IF(AO21&gt;$D$4,AO21,$D$4),Investments!$A:$A,"&lt;="&amp;$E$4,Investments!$D:$D,"&gt;"&amp;0)</f>
        <v/>
      </c>
      <c r="AO24" s="190">
        <f>SUMIFS(Investments!$D:$D,Investments!$B:$B,AK$10,Investments!$C:$C,$A$2,Investments!$A:$A,"&gt;"&amp;AO21,Investments!$A:$A,"&lt;="&amp;$E$4,Investments!$D:$D,"&gt;"&amp;0)</f>
        <v/>
      </c>
      <c r="AQ24" s="188" t="n"/>
      <c r="AR24" s="189" t="n"/>
      <c r="AS24" s="189" t="n"/>
      <c r="AT24" s="189" t="n"/>
      <c r="AU24" s="190" t="n"/>
      <c r="AW24" s="188" t="inlineStr">
        <is>
          <t xml:space="preserve">Additions </t>
        </is>
      </c>
      <c r="AX24" s="189">
        <f>SUMIFS(Investments!$D:$D,Investments!$B:$B,AW$10,Investments!$C:$C,$A$2,Investments!$A:$A,"&gt;"&amp;IF(BA21&gt;$D$2,BA21,$D$2),Investments!$A:$A,"&lt;="&amp;$E$2,Investments!$D:$D,"&gt;"&amp;0)</f>
        <v/>
      </c>
      <c r="AY24" s="189">
        <f>SUMIFS(Investments!$D:$D,Investments!$B:$B,AW$10,Investments!$C:$C,$A$2,Investments!$A:$A,"&gt;"&amp;IF(BA21&gt;$D$3,BA21,$D$3),Investments!$A:$A,"&lt;="&amp;$E$3,Investments!$D:$D,"&gt;"&amp;0)</f>
        <v/>
      </c>
      <c r="AZ24" s="189">
        <f>SUMIFS(Investments!$D:$D,Investments!$B:$B,AW$10,Investments!$C:$C,$A$2,Investments!$A:$A,"&gt;"&amp;IF(BA21&gt;$D$4,BA21,$D$4),Investments!$A:$A,"&lt;="&amp;$E$4,Investments!$D:$D,"&gt;"&amp;0)</f>
        <v/>
      </c>
      <c r="BA24" s="190">
        <f>SUMIFS(Investments!$D:$D,Investments!$B:$B,AW$10,Investments!$C:$C,$A$2,Investments!$A:$A,"&gt;"&amp;BA21,Investments!$A:$A,"&lt;="&amp;$E$4,Investments!$D:$D,"&gt;"&amp;0)</f>
        <v/>
      </c>
      <c r="BC24" s="188" t="inlineStr">
        <is>
          <t xml:space="preserve">Additions </t>
        </is>
      </c>
      <c r="BD24" s="189">
        <f>SUMIFS(Investments!$D:$D,Investments!$B:$B,BC$10,Investments!$C:$C,$A$2,Investments!$A:$A,"&gt;"&amp;IF(BG21&gt;$D$2,BG21,$D$2),Investments!$A:$A,"&lt;="&amp;$E$2,Investments!$D:$D,"&gt;"&amp;0)</f>
        <v/>
      </c>
      <c r="BE24" s="189">
        <f>SUMIFS(Investments!$D:$D,Investments!$B:$B,BC$10,Investments!$C:$C,$A$2,Investments!$A:$A,"&gt;"&amp;IF(BG21&gt;$D$3,BG21,$D$3),Investments!$A:$A,"&lt;="&amp;$E$3,Investments!$D:$D,"&gt;"&amp;0)</f>
        <v/>
      </c>
      <c r="BF24" s="189">
        <f>SUMIFS(Investments!$D:$D,Investments!$B:$B,BC$10,Investments!$C:$C,$A$2,Investments!$A:$A,"&gt;"&amp;IF(BG21&gt;$D$4,BG21,$D$4),Investments!$A:$A,"&lt;="&amp;$E$4,Investments!$D:$D,"&gt;"&amp;0)</f>
        <v/>
      </c>
      <c r="BG24" s="190">
        <f>SUMIFS(Investments!$D:$D,Investments!$B:$B,BC$10,Investments!$C:$C,$A$2,Investments!$A:$A,"&gt;"&amp;BG21,Investments!$A:$A,"&lt;="&amp;$E$4,Investments!$D:$D,"&gt;"&amp;0)</f>
        <v/>
      </c>
      <c r="BI24" s="188" t="n"/>
      <c r="BJ24" s="189" t="n"/>
      <c r="BK24" s="189" t="n"/>
      <c r="BL24" s="189" t="n"/>
      <c r="BM24" s="190" t="n"/>
      <c r="BO24" s="188" t="n"/>
      <c r="BP24" s="189" t="n"/>
      <c r="BQ24" s="189" t="n"/>
      <c r="BR24" s="189" t="n"/>
      <c r="BS24" s="190" t="n"/>
      <c r="BU24" s="188" t="n"/>
      <c r="BV24" s="189" t="n"/>
      <c r="BW24" s="189" t="n"/>
      <c r="BX24" s="189" t="n"/>
      <c r="BY24" s="190" t="n"/>
      <c r="CA24" s="188" t="n"/>
      <c r="CB24" s="189" t="n"/>
      <c r="CC24" s="189" t="n"/>
      <c r="CD24" s="189" t="n"/>
      <c r="CE24" s="190" t="n"/>
      <c r="CG24" s="188" t="n"/>
      <c r="CH24" s="189" t="n"/>
      <c r="CI24" s="189" t="n"/>
      <c r="CJ24" s="189" t="n"/>
      <c r="CK24" s="190" t="n"/>
      <c r="CM24" s="188" t="n"/>
      <c r="CN24" s="189" t="n"/>
      <c r="CO24" s="189" t="n"/>
      <c r="CP24" s="189" t="n"/>
      <c r="CQ24" s="190" t="n"/>
      <c r="CS24" s="188" t="n"/>
      <c r="CT24" s="189" t="n"/>
      <c r="CU24" s="189" t="n"/>
      <c r="CV24" s="189" t="n"/>
      <c r="CW24" s="190" t="n"/>
      <c r="CY24" s="188" t="n"/>
      <c r="CZ24" s="189" t="n"/>
      <c r="DA24" s="189" t="n"/>
      <c r="DB24" s="189" t="n"/>
      <c r="DC24" s="190" t="n"/>
      <c r="DE24" s="188" t="n"/>
      <c r="DF24" s="189" t="n"/>
      <c r="DG24" s="189" t="n"/>
      <c r="DH24" s="189" t="n"/>
      <c r="DI24" s="190" t="n"/>
      <c r="DK24" s="188" t="n"/>
      <c r="DL24" s="189" t="n"/>
      <c r="DM24" s="189" t="n"/>
      <c r="DN24" s="189" t="n"/>
      <c r="DO24" s="190" t="n"/>
      <c r="DQ24" s="188" t="n"/>
      <c r="DR24" s="189" t="n"/>
      <c r="DS24" s="189" t="n"/>
      <c r="DT24" s="189" t="n"/>
      <c r="DU24" s="190" t="n"/>
      <c r="DW24" s="188" t="inlineStr">
        <is>
          <t xml:space="preserve">Additions </t>
        </is>
      </c>
      <c r="DX24" s="189">
        <f>SUMIFS(Investments!$D:$D,Investments!$B:$B,DW$10,Investments!$C:$C,$A$2,Investments!$A:$A,"&gt;"&amp;IF(EA21&gt;$D$2,EA21,$D$2),Investments!$A:$A,"&lt;="&amp;$E$2,Investments!$D:$D,"&gt;"&amp;0)</f>
        <v/>
      </c>
      <c r="DY24" s="189">
        <f>SUMIFS(Investments!$D:$D,Investments!$B:$B,DW$10,Investments!$C:$C,$A$2,Investments!$A:$A,"&gt;"&amp;IF(EA21&gt;$D$3,EA21,$D$3),Investments!$A:$A,"&lt;="&amp;$E$3,Investments!$D:$D,"&gt;"&amp;0)</f>
        <v/>
      </c>
      <c r="DZ24" s="189">
        <f>SUMIFS(Investments!$D:$D,Investments!$B:$B,DW$10,Investments!$C:$C,$A$2,Investments!$A:$A,"&gt;"&amp;IF(EA21&gt;$D$4,EA21,$D$4),Investments!$A:$A,"&lt;="&amp;$E$4,Investments!$D:$D,"&gt;"&amp;0)</f>
        <v/>
      </c>
      <c r="EA24" s="190">
        <f>SUMIFS(Investments!$D:$D,Investments!$B:$B,DW$10,Investments!$C:$C,$A$2,Investments!$A:$A,"&gt;"&amp;EA21,Investments!$A:$A,"&lt;="&amp;$E$4,Investments!$D:$D,"&gt;"&amp;0)</f>
        <v/>
      </c>
      <c r="EC24" s="188" t="inlineStr">
        <is>
          <t xml:space="preserve">Additions </t>
        </is>
      </c>
      <c r="ED24" s="189">
        <f>SUMIFS(Investments!$D:$D,Investments!$B:$B,EC$10,Investments!$C:$C,$A$2,Investments!$A:$A,"&gt;"&amp;IF(EG21&gt;$D$2,EG21,$D$2),Investments!$A:$A,"&lt;="&amp;$E$2,Investments!$D:$D,"&gt;"&amp;0)</f>
        <v/>
      </c>
      <c r="EE24" s="189">
        <f>SUMIFS(Investments!$D:$D,Investments!$B:$B,EC$10,Investments!$C:$C,$A$2,Investments!$A:$A,"&gt;"&amp;IF(EG21&gt;$D$3,EG21,$D$3),Investments!$A:$A,"&lt;="&amp;$E$3,Investments!$D:$D,"&gt;"&amp;0)</f>
        <v/>
      </c>
      <c r="EF24" s="189">
        <f>SUMIFS(Investments!$D:$D,Investments!$B:$B,EC$10,Investments!$C:$C,$A$2,Investments!$A:$A,"&gt;"&amp;IF(EG21&gt;$D$4,EG21,$D$4),Investments!$A:$A,"&lt;="&amp;$E$4,Investments!$D:$D,"&gt;"&amp;0)</f>
        <v/>
      </c>
      <c r="EG24" s="190">
        <f>SUMIFS(Investments!$D:$D,Investments!$B:$B,EC$10,Investments!$C:$C,$A$2,Investments!$A:$A,"&gt;"&amp;EG21,Investments!$A:$A,"&lt;="&amp;$E$4,Investments!$D:$D,"&gt;"&amp;0)</f>
        <v/>
      </c>
      <c r="EI24" s="188" t="n"/>
      <c r="EJ24" s="189" t="n"/>
      <c r="EK24" s="189" t="n"/>
      <c r="EL24" s="189" t="n"/>
      <c r="EM24" s="190" t="n"/>
      <c r="EO24" s="188" t="inlineStr">
        <is>
          <t xml:space="preserve">Additions </t>
        </is>
      </c>
      <c r="EP24" s="189">
        <f>SUMIFS(Investments!$D:$D,Investments!$B:$B,EO$10,Investments!$C:$C,$A$2,Investments!$A:$A,"&gt;"&amp;IF(ES21&gt;$D$2,ES21,$D$2),Investments!$A:$A,"&lt;="&amp;$E$2,Investments!$D:$D,"&gt;"&amp;0)</f>
        <v/>
      </c>
      <c r="EQ24" s="189">
        <f>SUMIFS(Investments!$D:$D,Investments!$B:$B,EO$10,Investments!$C:$C,$A$2,Investments!$A:$A,"&gt;"&amp;IF(ES21&gt;$D$3,ES21,$D$3),Investments!$A:$A,"&lt;="&amp;$E$3,Investments!$D:$D,"&gt;"&amp;0)</f>
        <v/>
      </c>
      <c r="ER24" s="189">
        <f>SUMIFS(Investments!$D:$D,Investments!$B:$B,EO$10,Investments!$C:$C,$A$2,Investments!$A:$A,"&gt;"&amp;IF(ES21&gt;$D$4,ES21,$D$4),Investments!$A:$A,"&lt;="&amp;$E$4,Investments!$D:$D,"&gt;"&amp;0)</f>
        <v/>
      </c>
      <c r="ES24" s="190">
        <f>SUMIFS(Investments!$D:$D,Investments!$B:$B,EO$10,Investments!$C:$C,$A$2,Investments!$A:$A,"&gt;"&amp;ES21,Investments!$A:$A,"&lt;="&amp;$E$4,Investments!$D:$D,"&gt;"&amp;0)</f>
        <v/>
      </c>
      <c r="EU24" s="188" t="inlineStr">
        <is>
          <t xml:space="preserve">Additions </t>
        </is>
      </c>
      <c r="EV24" s="189">
        <f>SUMIFS(Investments!$D:$D,Investments!$B:$B,EU$10,Investments!$C:$C,$A$2,Investments!$A:$A,"&gt;"&amp;IF(EY21&gt;$D$2,EY21,$D$2),Investments!$A:$A,"&lt;="&amp;$E$2,Investments!$D:$D,"&gt;"&amp;0)</f>
        <v/>
      </c>
      <c r="EW24" s="189">
        <f>SUMIFS(Investments!$D:$D,Investments!$B:$B,EU$10,Investments!$C:$C,$A$2,Investments!$A:$A,"&gt;"&amp;IF(EY21&gt;$D$3,EY21,$D$3),Investments!$A:$A,"&lt;="&amp;$E$3,Investments!$D:$D,"&gt;"&amp;0)</f>
        <v/>
      </c>
      <c r="EX24" s="189">
        <f>SUMIFS(Investments!$D:$D,Investments!$B:$B,EU$10,Investments!$C:$C,$A$2,Investments!$A:$A,"&gt;"&amp;IF(EY21&gt;$D$4,EY21,$D$4),Investments!$A:$A,"&lt;="&amp;$E$4,Investments!$D:$D,"&gt;"&amp;0)</f>
        <v/>
      </c>
      <c r="EY24" s="190">
        <f>SUMIFS(Investments!$D:$D,Investments!$B:$B,EU$10,Investments!$C:$C,$A$2,Investments!$A:$A,"&gt;"&amp;EY21,Investments!$A:$A,"&lt;="&amp;$E$4,Investments!$D:$D,"&gt;"&amp;0)</f>
        <v/>
      </c>
      <c r="FA24" s="188" t="inlineStr">
        <is>
          <t xml:space="preserve">Additions </t>
        </is>
      </c>
      <c r="FB24" s="189">
        <f>SUMIFS(Investments!$D:$D,Investments!$B:$B,FA$10,Investments!$C:$C,$A$2,Investments!$A:$A,"&gt;"&amp;IF(FE21&gt;$D$2,FE21,$D$2),Investments!$A:$A,"&lt;="&amp;$E$2,Investments!$D:$D,"&gt;"&amp;0)</f>
        <v/>
      </c>
      <c r="FC24" s="189">
        <f>SUMIFS(Investments!$D:$D,Investments!$B:$B,FA$10,Investments!$C:$C,$A$2,Investments!$A:$A,"&gt;"&amp;IF(FE21&gt;$D$3,FE21,$D$3),Investments!$A:$A,"&lt;="&amp;$E$3,Investments!$D:$D,"&gt;"&amp;0)</f>
        <v/>
      </c>
      <c r="FD24" s="189">
        <f>SUMIFS(Investments!$D:$D,Investments!$B:$B,FA$10,Investments!$C:$C,$A$2,Investments!$A:$A,"&gt;"&amp;IF(FE21&gt;$D$4,FE21,$D$4),Investments!$A:$A,"&lt;="&amp;$E$4,Investments!$D:$D,"&gt;"&amp;0)</f>
        <v/>
      </c>
      <c r="FE24" s="190">
        <f>SUMIFS(Investments!$D:$D,Investments!$B:$B,FA$10,Investments!$C:$C,$A$2,Investments!$A:$A,"&gt;"&amp;FE21,Investments!$A:$A,"&lt;="&amp;$E$4,Investments!$D:$D,"&gt;"&amp;0)</f>
        <v/>
      </c>
      <c r="FG24" s="188" t="inlineStr">
        <is>
          <t xml:space="preserve">Additions </t>
        </is>
      </c>
      <c r="FH24" s="189">
        <f>SUMIFS(Investments!$D:$D,Investments!$B:$B,FG$10,Investments!$C:$C,$A$2,Investments!$A:$A,"&gt;"&amp;IF(FK21&gt;$D$2,FK21,$D$2),Investments!$A:$A,"&lt;="&amp;$E$2,Investments!$D:$D,"&gt;"&amp;0)</f>
        <v/>
      </c>
      <c r="FI24" s="189">
        <f>SUMIFS(Investments!$D:$D,Investments!$B:$B,FG$10,Investments!$C:$C,$A$2,Investments!$A:$A,"&gt;"&amp;IF(FK21&gt;$D$3,FK21,$D$3),Investments!$A:$A,"&lt;="&amp;$E$3,Investments!$D:$D,"&gt;"&amp;0)</f>
        <v/>
      </c>
      <c r="FJ24" s="189">
        <f>SUMIFS(Investments!$D:$D,Investments!$B:$B,FG$10,Investments!$C:$C,$A$2,Investments!$A:$A,"&gt;"&amp;IF(FK21&gt;$D$4,FK21,$D$4),Investments!$A:$A,"&lt;="&amp;$E$4,Investments!$D:$D,"&gt;"&amp;0)</f>
        <v/>
      </c>
      <c r="FK24" s="190">
        <f>SUMIFS(Investments!$D:$D,Investments!$B:$B,FG$10,Investments!$C:$C,$A$2,Investments!$A:$A,"&gt;"&amp;FK21,Investments!$A:$A,"&lt;="&amp;$E$4,Investments!$D:$D,"&gt;"&amp;0)</f>
        <v/>
      </c>
      <c r="FM24" s="188" t="n"/>
      <c r="FN24" s="189" t="n"/>
      <c r="FO24" s="189" t="n"/>
      <c r="FP24" s="189" t="n"/>
      <c r="FQ24" s="190" t="n"/>
      <c r="FS24" s="188" t="n"/>
      <c r="FT24" s="189" t="n"/>
      <c r="FU24" s="189" t="n"/>
      <c r="FV24" s="189" t="n"/>
      <c r="FW24" s="190" t="n"/>
      <c r="FY24" s="188" t="n"/>
      <c r="FZ24" s="189" t="n"/>
      <c r="GA24" s="189" t="n"/>
      <c r="GB24" s="189" t="n"/>
      <c r="GC24" s="190" t="n"/>
      <c r="GE24" s="188" t="n"/>
      <c r="GF24" s="189" t="n"/>
      <c r="GG24" s="189" t="n"/>
      <c r="GH24" s="189" t="n"/>
      <c r="GI24" s="190" t="n"/>
      <c r="GK24" s="188" t="inlineStr">
        <is>
          <t xml:space="preserve">Additions </t>
        </is>
      </c>
      <c r="GL24" s="189">
        <f>SUMIFS(Investments!$D:$D,Investments!$B:$B,GK$10,Investments!$C:$C,$A$2,Investments!$A:$A,"&gt;"&amp;IF(GO21&gt;$D$2,GO21,$D$2),Investments!$A:$A,"&lt;="&amp;$E$2,Investments!$D:$D,"&gt;"&amp;0)</f>
        <v/>
      </c>
      <c r="GM24" s="189">
        <f>SUMIFS(Investments!$D:$D,Investments!$B:$B,GK$10,Investments!$C:$C,$A$2,Investments!$A:$A,"&gt;"&amp;IF(GO21&gt;$D$3,GO21,$D$3),Investments!$A:$A,"&lt;="&amp;$E$3,Investments!$D:$D,"&gt;"&amp;0)</f>
        <v/>
      </c>
      <c r="GN24" s="189">
        <f>SUMIFS(Investments!$D:$D,Investments!$B:$B,GK$10,Investments!$C:$C,$A$2,Investments!$A:$A,"&gt;"&amp;IF(GO21&gt;$D$4,GO21,$D$4),Investments!$A:$A,"&lt;="&amp;$E$4,Investments!$D:$D,"&gt;"&amp;0)</f>
        <v/>
      </c>
      <c r="GO24" s="190">
        <f>SUMIFS(Investments!$D:$D,Investments!$B:$B,GK$10,Investments!$C:$C,$A$2,Investments!$A:$A,"&gt;"&amp;GO21,Investments!$A:$A,"&lt;="&amp;$E$4,Investments!$D:$D,"&gt;"&amp;0)</f>
        <v/>
      </c>
      <c r="GQ24" s="188" t="inlineStr">
        <is>
          <t xml:space="preserve">Additions </t>
        </is>
      </c>
      <c r="GR24" s="189">
        <f>SUMIFS(Investments!$D:$D,Investments!$B:$B,GQ$10,Investments!$C:$C,$A$2,Investments!$A:$A,"&gt;"&amp;IF(GU21&gt;$D$2,GU21,$D$2),Investments!$A:$A,"&lt;="&amp;$E$2,Investments!$D:$D,"&gt;"&amp;0)</f>
        <v/>
      </c>
      <c r="GS24" s="189">
        <f>SUMIFS(Investments!$D:$D,Investments!$B:$B,GQ$10,Investments!$C:$C,$A$2,Investments!$A:$A,"&gt;"&amp;IF(GU21&gt;$D$3,GU21,$D$3),Investments!$A:$A,"&lt;="&amp;$E$3,Investments!$D:$D,"&gt;"&amp;0)</f>
        <v/>
      </c>
      <c r="GT24" s="189">
        <f>SUMIFS(Investments!$D:$D,Investments!$B:$B,GQ$10,Investments!$C:$C,$A$2,Investments!$A:$A,"&gt;"&amp;IF(GU21&gt;$D$4,GU21,$D$4),Investments!$A:$A,"&lt;="&amp;$E$4,Investments!$D:$D,"&gt;"&amp;0)</f>
        <v/>
      </c>
      <c r="GU24" s="190">
        <f>SUMIFS(Investments!$D:$D,Investments!$B:$B,GQ$10,Investments!$C:$C,$A$2,Investments!$A:$A,"&gt;"&amp;GU21,Investments!$A:$A,"&lt;="&amp;$E$4,Investments!$D:$D,"&gt;"&amp;0)</f>
        <v/>
      </c>
      <c r="GW24" s="188" t="n"/>
      <c r="GX24" s="189" t="n"/>
      <c r="GY24" s="189" t="n"/>
      <c r="GZ24" s="189" t="n"/>
      <c r="HA24" s="190" t="n"/>
      <c r="HC24" s="188" t="n"/>
      <c r="HD24" s="189" t="n"/>
      <c r="HE24" s="189" t="n"/>
      <c r="HF24" s="189" t="n"/>
      <c r="HG24" s="190" t="n"/>
      <c r="HI24" s="188" t="n"/>
      <c r="HJ24" s="189" t="n"/>
      <c r="HK24" s="189" t="n"/>
      <c r="HL24" s="189" t="n"/>
      <c r="HM24" s="190" t="n"/>
      <c r="HO24" s="188" t="n"/>
      <c r="HP24" s="189" t="n"/>
      <c r="HQ24" s="189" t="n"/>
      <c r="HR24" s="189" t="n"/>
      <c r="HS24" s="190" t="n"/>
      <c r="HU24" s="188" t="inlineStr">
        <is>
          <t xml:space="preserve">Additions </t>
        </is>
      </c>
      <c r="HV24" s="189">
        <f>SUMIFS(Investments!$D:$D,Investments!$B:$B,HU$10,Investments!$C:$C,$A$2,Investments!$A:$A,"&gt;"&amp;IF(HY21&gt;$D$2,HY21,$D$2),Investments!$A:$A,"&lt;="&amp;$E$2,Investments!$D:$D,"&gt;"&amp;0)</f>
        <v/>
      </c>
      <c r="HW24" s="189">
        <f>SUMIFS(Investments!$D:$D,Investments!$B:$B,HU$10,Investments!$C:$C,$A$2,Investments!$A:$A,"&gt;"&amp;IF(HY21&gt;$D$3,HY21,$D$3),Investments!$A:$A,"&lt;="&amp;$E$3,Investments!$D:$D,"&gt;"&amp;0)</f>
        <v/>
      </c>
      <c r="HX24" s="189">
        <f>SUMIFS(Investments!$D:$D,Investments!$B:$B,HU$10,Investments!$C:$C,$A$2,Investments!$A:$A,"&gt;"&amp;IF(HY21&gt;$D$4,HY21,$D$4),Investments!$A:$A,"&lt;="&amp;$E$4,Investments!$D:$D,"&gt;"&amp;0)</f>
        <v/>
      </c>
      <c r="HY24" s="190">
        <f>SUMIFS(Investments!$D:$D,Investments!$B:$B,HU$10,Investments!$C:$C,$A$2,Investments!$A:$A,"&gt;"&amp;HY21,Investments!$A:$A,"&lt;="&amp;$E$4,Investments!$D:$D,"&gt;"&amp;0)</f>
        <v/>
      </c>
      <c r="IA24" s="188" t="inlineStr">
        <is>
          <t xml:space="preserve">Additions </t>
        </is>
      </c>
      <c r="IB24" s="189">
        <f>SUMIFS(Investments!$D:$D,Investments!$B:$B,IA$10,Investments!$C:$C,$A$2,Investments!$A:$A,"&gt;"&amp;IF(IE21&gt;$D$2,IE21,$D$2),Investments!$A:$A,"&lt;="&amp;$E$2,Investments!$D:$D,"&gt;"&amp;0)</f>
        <v/>
      </c>
      <c r="IC24" s="189">
        <f>SUMIFS(Investments!$D:$D,Investments!$B:$B,IA$10,Investments!$C:$C,$A$2,Investments!$A:$A,"&gt;"&amp;IF(IE21&gt;$D$3,IE21,$D$3),Investments!$A:$A,"&lt;="&amp;$E$3,Investments!$D:$D,"&gt;"&amp;0)</f>
        <v/>
      </c>
      <c r="ID24" s="189">
        <f>SUMIFS(Investments!$D:$D,Investments!$B:$B,IA$10,Investments!$C:$C,$A$2,Investments!$A:$A,"&gt;"&amp;IF(IE21&gt;$D$4,IE21,$D$4),Investments!$A:$A,"&lt;="&amp;$E$4,Investments!$D:$D,"&gt;"&amp;0)</f>
        <v/>
      </c>
      <c r="IE24" s="190">
        <f>SUMIFS(Investments!$D:$D,Investments!$B:$B,IA$10,Investments!$C:$C,$A$2,Investments!$A:$A,"&gt;"&amp;IE21,Investments!$A:$A,"&lt;="&amp;$E$4,Investments!$D:$D,"&gt;"&amp;0)</f>
        <v/>
      </c>
      <c r="IG24" s="188" t="inlineStr">
        <is>
          <t xml:space="preserve">Additions </t>
        </is>
      </c>
      <c r="IH24" s="189">
        <f>SUMIFS(Investments!$D:$D,Investments!$B:$B,IG$10,Investments!$C:$C,$A$2,Investments!$A:$A,"&gt;"&amp;IF(IK21&gt;$D$2,IK21,$D$2),Investments!$A:$A,"&lt;="&amp;$E$2,Investments!$D:$D,"&gt;"&amp;0)</f>
        <v/>
      </c>
      <c r="II24" s="189">
        <f>SUMIFS(Investments!$D:$D,Investments!$B:$B,IG$10,Investments!$C:$C,$A$2,Investments!$A:$A,"&gt;"&amp;IF(IK21&gt;$D$3,IK21,$D$3),Investments!$A:$A,"&lt;="&amp;$E$3,Investments!$D:$D,"&gt;"&amp;0)</f>
        <v/>
      </c>
      <c r="IJ24" s="189">
        <f>SUMIFS(Investments!$D:$D,Investments!$B:$B,IG$10,Investments!$C:$C,$A$2,Investments!$A:$A,"&gt;"&amp;IF(IK21&gt;$D$4,IK21,$D$4),Investments!$A:$A,"&lt;="&amp;$E$4,Investments!$D:$D,"&gt;"&amp;0)</f>
        <v/>
      </c>
      <c r="IK24" s="190">
        <f>SUMIFS(Investments!$D:$D,Investments!$B:$B,IG$10,Investments!$C:$C,$A$2,Investments!$A:$A,"&gt;"&amp;IK21,Investments!$A:$A,"&lt;="&amp;$E$4,Investments!$D:$D,"&gt;"&amp;0)</f>
        <v/>
      </c>
      <c r="IM24" s="188" t="n"/>
      <c r="IN24" s="189" t="n"/>
      <c r="IO24" s="189" t="n"/>
      <c r="IP24" s="189" t="n"/>
      <c r="IQ24" s="190" t="n"/>
      <c r="IS24" s="188" t="n"/>
      <c r="IT24" s="189" t="n"/>
      <c r="IU24" s="189" t="n"/>
      <c r="IV24" s="189" t="n"/>
      <c r="IW24" s="190" t="n"/>
      <c r="IY24" s="188" t="n"/>
      <c r="IZ24" s="189" t="n"/>
      <c r="JA24" s="189" t="n"/>
      <c r="JB24" s="189" t="n"/>
      <c r="JC24" s="190" t="n"/>
    </row>
    <row r="25" ht="15.75" customHeight="1" s="252">
      <c r="A25" s="188" t="inlineStr">
        <is>
          <t>Redemptions</t>
        </is>
      </c>
      <c r="B25" s="189">
        <f>SUMIFS(Investments!$D:$D,Investments!$B:$B,A$10,Investments!$C:$C,$A$2,Investments!$A:$A,"&gt;"&amp;IF(E21&gt;$D$2,E21,$D$2),Investments!$A:$A,"&lt;"&amp;$E$2,Investments!$D:$D,"&lt;"&amp;0)</f>
        <v/>
      </c>
      <c r="C25" s="189">
        <f>SUMIFS(Investments!$D:$D,Investments!$B:$B,A$10,Investments!$C:$C,$A$2,Investments!$A:$A,"&gt;"&amp;IF(E21&gt;$D$3,E21,$D$3),Investments!$A:$A,"&lt;="&amp;$E$3,Investments!$D:$D,"&lt;"&amp;0)</f>
        <v/>
      </c>
      <c r="D25" s="189">
        <f>SUMIFS(Investments!$D:$D,Investments!$B:$B,A$10,Investments!$C:$C,$A$2,Investments!$A:$A,"&gt;"&amp;IF(E21&gt;$D$4,E21,$D$4),Investments!$A:$A,"&lt;="&amp;$E$4,Investments!$D:$D,"&lt;"&amp;0)</f>
        <v/>
      </c>
      <c r="E25" s="190">
        <f>SUMIFS(Investments!$D:$D,Investments!$B:$B,A$10,Investments!$C:$C,$A$2,Investments!$A:$A,"&gt;"&amp;E21,Investments!$A:$A,"&lt;="&amp;$E$4,Investments!$D:$D,"&lt;"&amp;0)</f>
        <v/>
      </c>
      <c r="G25" s="188" t="n"/>
      <c r="H25" s="189" t="n"/>
      <c r="I25" s="189" t="n"/>
      <c r="J25" s="189" t="n"/>
      <c r="K25" s="190" t="n"/>
      <c r="M25" s="188" t="n"/>
      <c r="N25" s="189" t="n"/>
      <c r="O25" s="189" t="n"/>
      <c r="P25" s="189" t="n"/>
      <c r="Q25" s="190" t="n"/>
      <c r="S25" s="188" t="n"/>
      <c r="T25" s="189" t="n"/>
      <c r="U25" s="189" t="n"/>
      <c r="V25" s="189" t="n"/>
      <c r="W25" s="190" t="n"/>
      <c r="Y25" s="188" t="n"/>
      <c r="Z25" s="189" t="n"/>
      <c r="AA25" s="189" t="n"/>
      <c r="AB25" s="189" t="n"/>
      <c r="AC25" s="190" t="n"/>
      <c r="AE25" s="188" t="inlineStr">
        <is>
          <t>Redemptions</t>
        </is>
      </c>
      <c r="AF25" s="189">
        <f>SUMIFS(Investments!$D:$D,Investments!$B:$B,AE$10,Investments!$C:$C,$A$2,Investments!$A:$A,"&gt;"&amp;IF(AI21&gt;$D$2,AI21,$D$2),Investments!$A:$A,"&lt;"&amp;$E$2,Investments!$D:$D,"&lt;"&amp;0)</f>
        <v/>
      </c>
      <c r="AG25" s="189">
        <f>SUMIFS(Investments!$D:$D,Investments!$B:$B,AE$10,Investments!$C:$C,$A$2,Investments!$A:$A,"&gt;"&amp;IF(AI21&gt;$D$3,AI21,$D$3),Investments!$A:$A,"&lt;="&amp;$E$3,Investments!$D:$D,"&lt;"&amp;0)</f>
        <v/>
      </c>
      <c r="AH25" s="189">
        <f>SUMIFS(Investments!$D:$D,Investments!$B:$B,AE$10,Investments!$C:$C,$A$2,Investments!$A:$A,"&gt;"&amp;IF(AI21&gt;$D$4,AI21,$D$4),Investments!$A:$A,"&lt;="&amp;$E$4,Investments!$D:$D,"&lt;"&amp;0)</f>
        <v/>
      </c>
      <c r="AI25" s="190">
        <f>SUMIFS(Investments!$D:$D,Investments!$B:$B,AE$10,Investments!$C:$C,$A$2,Investments!$A:$A,"&gt;"&amp;AI21,Investments!$A:$A,"&lt;="&amp;$E$4,Investments!$D:$D,"&lt;"&amp;0)</f>
        <v/>
      </c>
      <c r="AK25" s="188" t="inlineStr">
        <is>
          <t>Redemptions</t>
        </is>
      </c>
      <c r="AL25" s="189">
        <f>SUMIFS(Investments!$D:$D,Investments!$B:$B,AK$10,Investments!$C:$C,$A$2,Investments!$A:$A,"&gt;"&amp;IF(AO21&gt;$D$2,AO21,$D$2),Investments!$A:$A,"&lt;"&amp;$E$2,Investments!$D:$D,"&lt;"&amp;0)</f>
        <v/>
      </c>
      <c r="AM25" s="189">
        <f>SUMIFS(Investments!$D:$D,Investments!$B:$B,AK$10,Investments!$C:$C,$A$2,Investments!$A:$A,"&gt;"&amp;IF(AO21&gt;$D$3,AO21,$D$3),Investments!$A:$A,"&lt;="&amp;$E$3,Investments!$D:$D,"&lt;"&amp;0)</f>
        <v/>
      </c>
      <c r="AN25" s="189">
        <f>SUMIFS(Investments!$D:$D,Investments!$B:$B,AK$10,Investments!$C:$C,$A$2,Investments!$A:$A,"&gt;"&amp;IF(AO21&gt;$D$4,AO21,$D$4),Investments!$A:$A,"&lt;="&amp;$E$4,Investments!$D:$D,"&lt;"&amp;0)</f>
        <v/>
      </c>
      <c r="AO25" s="190">
        <f>SUMIFS(Investments!$D:$D,Investments!$B:$B,AK$10,Investments!$C:$C,$A$2,Investments!$A:$A,"&gt;"&amp;AO21,Investments!$A:$A,"&lt;="&amp;$E$4,Investments!$D:$D,"&lt;"&amp;0)</f>
        <v/>
      </c>
      <c r="AQ25" s="188" t="n"/>
      <c r="AR25" s="189" t="n"/>
      <c r="AS25" s="189" t="n"/>
      <c r="AT25" s="189" t="n"/>
      <c r="AU25" s="190" t="n"/>
      <c r="AW25" s="188" t="inlineStr">
        <is>
          <t>Redemptions</t>
        </is>
      </c>
      <c r="AX25" s="189">
        <f>SUMIFS(Investments!$D:$D,Investments!$B:$B,AW$10,Investments!$C:$C,$A$2,Investments!$A:$A,"&gt;"&amp;IF(BA21&gt;$D$2,BA21,$D$2),Investments!$A:$A,"&lt;"&amp;$E$2,Investments!$D:$D,"&lt;"&amp;0)</f>
        <v/>
      </c>
      <c r="AY25" s="189">
        <f>SUMIFS(Investments!$D:$D,Investments!$B:$B,AW$10,Investments!$C:$C,$A$2,Investments!$A:$A,"&gt;"&amp;IF(BA21&gt;$D$3,BA21,$D$3),Investments!$A:$A,"&lt;="&amp;$E$3,Investments!$D:$D,"&lt;"&amp;0)</f>
        <v/>
      </c>
      <c r="AZ25" s="189">
        <f>SUMIFS(Investments!$D:$D,Investments!$B:$B,AW$10,Investments!$C:$C,$A$2,Investments!$A:$A,"&gt;"&amp;IF(BA21&gt;$D$4,BA21,$D$4),Investments!$A:$A,"&lt;="&amp;$E$4,Investments!$D:$D,"&lt;"&amp;0)</f>
        <v/>
      </c>
      <c r="BA25" s="190">
        <f>SUMIFS(Investments!$D:$D,Investments!$B:$B,AW$10,Investments!$C:$C,$A$2,Investments!$A:$A,"&gt;"&amp;BA21,Investments!$A:$A,"&lt;="&amp;$E$4,Investments!$D:$D,"&lt;"&amp;0)</f>
        <v/>
      </c>
      <c r="BC25" s="188" t="inlineStr">
        <is>
          <t>Redemptions</t>
        </is>
      </c>
      <c r="BD25" s="189">
        <f>SUMIFS(Investments!$D:$D,Investments!$B:$B,BC$10,Investments!$C:$C,$A$2,Investments!$A:$A,"&gt;"&amp;IF(BG21&gt;$D$2,BG21,$D$2),Investments!$A:$A,"&lt;"&amp;$E$2,Investments!$D:$D,"&lt;"&amp;0)</f>
        <v/>
      </c>
      <c r="BE25" s="189">
        <f>SUMIFS(Investments!$D:$D,Investments!$B:$B,BC$10,Investments!$C:$C,$A$2,Investments!$A:$A,"&gt;"&amp;IF(BG21&gt;$D$3,BG21,$D$3),Investments!$A:$A,"&lt;="&amp;$E$3,Investments!$D:$D,"&lt;"&amp;0)</f>
        <v/>
      </c>
      <c r="BF25" s="189">
        <f>SUMIFS(Investments!$D:$D,Investments!$B:$B,BC$10,Investments!$C:$C,$A$2,Investments!$A:$A,"&gt;"&amp;IF(BG21&gt;$D$4,BG21,$D$4),Investments!$A:$A,"&lt;="&amp;$E$4,Investments!$D:$D,"&lt;"&amp;0)</f>
        <v/>
      </c>
      <c r="BG25" s="190">
        <f>SUMIFS(Investments!$D:$D,Investments!$B:$B,BC$10,Investments!$C:$C,$A$2,Investments!$A:$A,"&gt;"&amp;BG21,Investments!$A:$A,"&lt;="&amp;$E$4,Investments!$D:$D,"&lt;"&amp;0)</f>
        <v/>
      </c>
      <c r="BI25" s="188" t="n"/>
      <c r="BJ25" s="189" t="n"/>
      <c r="BK25" s="189" t="n"/>
      <c r="BL25" s="189" t="n"/>
      <c r="BM25" s="190" t="n"/>
      <c r="BO25" s="188" t="n"/>
      <c r="BP25" s="189" t="n"/>
      <c r="BQ25" s="189" t="n"/>
      <c r="BR25" s="189" t="n"/>
      <c r="BS25" s="190" t="n"/>
      <c r="BU25" s="188" t="n"/>
      <c r="BV25" s="189" t="n"/>
      <c r="BW25" s="189" t="n"/>
      <c r="BX25" s="189" t="n"/>
      <c r="BY25" s="190" t="n"/>
      <c r="CA25" s="188" t="n"/>
      <c r="CB25" s="189" t="n"/>
      <c r="CC25" s="189" t="n"/>
      <c r="CD25" s="189" t="n"/>
      <c r="CE25" s="190" t="n"/>
      <c r="CG25" s="188" t="n"/>
      <c r="CH25" s="189" t="n"/>
      <c r="CI25" s="189" t="n"/>
      <c r="CJ25" s="189" t="n"/>
      <c r="CK25" s="190" t="n"/>
      <c r="CM25" s="188" t="n"/>
      <c r="CN25" s="189" t="n"/>
      <c r="CO25" s="189" t="n"/>
      <c r="CP25" s="189" t="n"/>
      <c r="CQ25" s="190" t="n"/>
      <c r="CS25" s="188" t="n"/>
      <c r="CT25" s="189" t="n"/>
      <c r="CU25" s="189" t="n"/>
      <c r="CV25" s="189" t="n"/>
      <c r="CW25" s="190" t="n"/>
      <c r="CY25" s="188" t="n"/>
      <c r="CZ25" s="189" t="n"/>
      <c r="DA25" s="189" t="n"/>
      <c r="DB25" s="189" t="n"/>
      <c r="DC25" s="190" t="n"/>
      <c r="DE25" s="188" t="n"/>
      <c r="DF25" s="189" t="n"/>
      <c r="DG25" s="189" t="n"/>
      <c r="DH25" s="189" t="n"/>
      <c r="DI25" s="190" t="n"/>
      <c r="DK25" s="188" t="n"/>
      <c r="DL25" s="189" t="n"/>
      <c r="DM25" s="189" t="n"/>
      <c r="DN25" s="189" t="n"/>
      <c r="DO25" s="190" t="n"/>
      <c r="DQ25" s="188" t="n"/>
      <c r="DR25" s="189" t="n"/>
      <c r="DS25" s="189" t="n"/>
      <c r="DT25" s="189" t="n"/>
      <c r="DU25" s="190" t="n"/>
      <c r="DW25" s="188" t="inlineStr">
        <is>
          <t>Redemptions</t>
        </is>
      </c>
      <c r="DX25" s="189">
        <f>SUMIFS(Investments!$D:$D,Investments!$B:$B,DW$10,Investments!$C:$C,$A$2,Investments!$A:$A,"&gt;"&amp;IF(EA21&gt;$D$2,EA21,$D$2),Investments!$A:$A,"&lt;"&amp;$E$2,Investments!$D:$D,"&lt;"&amp;0)</f>
        <v/>
      </c>
      <c r="DY25" s="189">
        <f>SUMIFS(Investments!$D:$D,Investments!$B:$B,DW$10,Investments!$C:$C,$A$2,Investments!$A:$A,"&gt;"&amp;IF(EA21&gt;$D$3,EA21,$D$3),Investments!$A:$A,"&lt;="&amp;$E$3,Investments!$D:$D,"&lt;"&amp;0)</f>
        <v/>
      </c>
      <c r="DZ25" s="189">
        <f>SUMIFS(Investments!$D:$D,Investments!$B:$B,DW$10,Investments!$C:$C,$A$2,Investments!$A:$A,"&gt;"&amp;IF(EA21&gt;$D$4,EA21,$D$4),Investments!$A:$A,"&lt;="&amp;$E$4,Investments!$D:$D,"&lt;"&amp;0)</f>
        <v/>
      </c>
      <c r="EA25" s="190">
        <f>SUMIFS(Investments!$D:$D,Investments!$B:$B,DW$10,Investments!$C:$C,$A$2,Investments!$A:$A,"&gt;"&amp;EA21,Investments!$A:$A,"&lt;="&amp;$E$4,Investments!$D:$D,"&lt;"&amp;0)</f>
        <v/>
      </c>
      <c r="EC25" s="188" t="inlineStr">
        <is>
          <t>Redemptions</t>
        </is>
      </c>
      <c r="ED25" s="189">
        <f>SUMIFS(Investments!$D:$D,Investments!$B:$B,EC$10,Investments!$C:$C,$A$2,Investments!$A:$A,"&gt;"&amp;IF(EG21&gt;$D$2,EG21,$D$2),Investments!$A:$A,"&lt;"&amp;$E$2,Investments!$D:$D,"&lt;"&amp;0)</f>
        <v/>
      </c>
      <c r="EE25" s="189">
        <f>SUMIFS(Investments!$D:$D,Investments!$B:$B,EC$10,Investments!$C:$C,$A$2,Investments!$A:$A,"&gt;"&amp;IF(EG21&gt;$D$3,EG21,$D$3),Investments!$A:$A,"&lt;="&amp;$E$3,Investments!$D:$D,"&lt;"&amp;0)</f>
        <v/>
      </c>
      <c r="EF25" s="189">
        <f>SUMIFS(Investments!$D:$D,Investments!$B:$B,EC$10,Investments!$C:$C,$A$2,Investments!$A:$A,"&gt;"&amp;IF(EG21&gt;$D$4,EG21,$D$4),Investments!$A:$A,"&lt;="&amp;$E$4,Investments!$D:$D,"&lt;"&amp;0)</f>
        <v/>
      </c>
      <c r="EG25" s="190">
        <f>SUMIFS(Investments!$D:$D,Investments!$B:$B,EC$10,Investments!$C:$C,$A$2,Investments!$A:$A,"&gt;"&amp;EG21,Investments!$A:$A,"&lt;="&amp;$E$4,Investments!$D:$D,"&lt;"&amp;0)</f>
        <v/>
      </c>
      <c r="EI25" s="188" t="n"/>
      <c r="EJ25" s="189" t="n"/>
      <c r="EK25" s="189" t="n"/>
      <c r="EL25" s="189" t="n"/>
      <c r="EM25" s="190" t="n"/>
      <c r="EO25" s="188" t="inlineStr">
        <is>
          <t>Redemptions</t>
        </is>
      </c>
      <c r="EP25" s="189">
        <f>SUMIFS(Investments!$D:$D,Investments!$B:$B,EO$10,Investments!$C:$C,$A$2,Investments!$A:$A,"&gt;"&amp;IF(ES21&gt;$D$2,ES21,$D$2),Investments!$A:$A,"&lt;"&amp;$E$2,Investments!$D:$D,"&lt;"&amp;0)</f>
        <v/>
      </c>
      <c r="EQ25" s="189">
        <f>SUMIFS(Investments!$D:$D,Investments!$B:$B,EO$10,Investments!$C:$C,$A$2,Investments!$A:$A,"&gt;"&amp;IF(ES21&gt;$D$3,ES21,$D$3),Investments!$A:$A,"&lt;="&amp;$E$3,Investments!$D:$D,"&lt;"&amp;0)</f>
        <v/>
      </c>
      <c r="ER25" s="189">
        <f>SUMIFS(Investments!$D:$D,Investments!$B:$B,EO$10,Investments!$C:$C,$A$2,Investments!$A:$A,"&gt;"&amp;IF(ES21&gt;$D$4,ES21,$D$4),Investments!$A:$A,"&lt;="&amp;$E$4,Investments!$D:$D,"&lt;"&amp;0)</f>
        <v/>
      </c>
      <c r="ES25" s="190">
        <f>SUMIFS(Investments!$D:$D,Investments!$B:$B,EO$10,Investments!$C:$C,$A$2,Investments!$A:$A,"&gt;"&amp;ES21,Investments!$A:$A,"&lt;="&amp;$E$4,Investments!$D:$D,"&lt;"&amp;0)</f>
        <v/>
      </c>
      <c r="EU25" s="188" t="inlineStr">
        <is>
          <t>Redemptions</t>
        </is>
      </c>
      <c r="EV25" s="189">
        <f>SUMIFS(Investments!$D:$D,Investments!$B:$B,EU$10,Investments!$C:$C,$A$2,Investments!$A:$A,"&gt;"&amp;IF(EY21&gt;$D$2,EY21,$D$2),Investments!$A:$A,"&lt;"&amp;$E$2,Investments!$D:$D,"&lt;"&amp;0)</f>
        <v/>
      </c>
      <c r="EW25" s="189">
        <f>SUMIFS(Investments!$D:$D,Investments!$B:$B,EU$10,Investments!$C:$C,$A$2,Investments!$A:$A,"&gt;"&amp;IF(EY21&gt;$D$3,EY21,$D$3),Investments!$A:$A,"&lt;="&amp;$E$3,Investments!$D:$D,"&lt;"&amp;0)</f>
        <v/>
      </c>
      <c r="EX25" s="189">
        <f>SUMIFS(Investments!$D:$D,Investments!$B:$B,EU$10,Investments!$C:$C,$A$2,Investments!$A:$A,"&gt;"&amp;IF(EY21&gt;$D$4,EY21,$D$4),Investments!$A:$A,"&lt;="&amp;$E$4,Investments!$D:$D,"&lt;"&amp;0)</f>
        <v/>
      </c>
      <c r="EY25" s="190">
        <f>SUMIFS(Investments!$D:$D,Investments!$B:$B,EU$10,Investments!$C:$C,$A$2,Investments!$A:$A,"&gt;"&amp;EY21,Investments!$A:$A,"&lt;="&amp;$E$4,Investments!$D:$D,"&lt;"&amp;0)</f>
        <v/>
      </c>
      <c r="FA25" s="188" t="inlineStr">
        <is>
          <t>Redemptions</t>
        </is>
      </c>
      <c r="FB25" s="189">
        <f>SUMIFS(Investments!$D:$D,Investments!$B:$B,FA$10,Investments!$C:$C,$A$2,Investments!$A:$A,"&gt;"&amp;IF(FE21&gt;$D$2,FE21,$D$2),Investments!$A:$A,"&lt;"&amp;$E$2,Investments!$D:$D,"&lt;"&amp;0)</f>
        <v/>
      </c>
      <c r="FC25" s="189">
        <f>SUMIFS(Investments!$D:$D,Investments!$B:$B,FA$10,Investments!$C:$C,$A$2,Investments!$A:$A,"&gt;"&amp;IF(FE21&gt;$D$3,FE21,$D$3),Investments!$A:$A,"&lt;="&amp;$E$3,Investments!$D:$D,"&lt;"&amp;0)</f>
        <v/>
      </c>
      <c r="FD25" s="189">
        <f>SUMIFS(Investments!$D:$D,Investments!$B:$B,FA$10,Investments!$C:$C,$A$2,Investments!$A:$A,"&gt;"&amp;IF(FE21&gt;$D$4,FE21,$D$4),Investments!$A:$A,"&lt;="&amp;$E$4,Investments!$D:$D,"&lt;"&amp;0)</f>
        <v/>
      </c>
      <c r="FE25" s="190">
        <f>SUMIFS(Investments!$D:$D,Investments!$B:$B,FA$10,Investments!$C:$C,$A$2,Investments!$A:$A,"&gt;"&amp;FE21,Investments!$A:$A,"&lt;="&amp;$E$4,Investments!$D:$D,"&lt;"&amp;0)</f>
        <v/>
      </c>
      <c r="FG25" s="188" t="inlineStr">
        <is>
          <t>Redemptions</t>
        </is>
      </c>
      <c r="FH25" s="189">
        <f>SUMIFS(Investments!$D:$D,Investments!$B:$B,FG$10,Investments!$C:$C,$A$2,Investments!$A:$A,"&gt;"&amp;IF(FK21&gt;$D$2,FK21,$D$2),Investments!$A:$A,"&lt;"&amp;$E$2,Investments!$D:$D,"&lt;"&amp;0)</f>
        <v/>
      </c>
      <c r="FI25" s="189">
        <f>SUMIFS(Investments!$D:$D,Investments!$B:$B,FG$10,Investments!$C:$C,$A$2,Investments!$A:$A,"&gt;"&amp;IF(FK21&gt;$D$3,FK21,$D$3),Investments!$A:$A,"&lt;="&amp;$E$3,Investments!$D:$D,"&lt;"&amp;0)</f>
        <v/>
      </c>
      <c r="FJ25" s="189">
        <f>SUMIFS(Investments!$D:$D,Investments!$B:$B,FG$10,Investments!$C:$C,$A$2,Investments!$A:$A,"&gt;"&amp;IF(FK21&gt;$D$4,FK21,$D$4),Investments!$A:$A,"&lt;="&amp;$E$4,Investments!$D:$D,"&lt;"&amp;0)</f>
        <v/>
      </c>
      <c r="FK25" s="190">
        <f>SUMIFS(Investments!$D:$D,Investments!$B:$B,FG$10,Investments!$C:$C,$A$2,Investments!$A:$A,"&gt;"&amp;FK21,Investments!$A:$A,"&lt;="&amp;$E$4,Investments!$D:$D,"&lt;"&amp;0)</f>
        <v/>
      </c>
      <c r="FM25" s="188" t="n"/>
      <c r="FN25" s="189" t="n"/>
      <c r="FO25" s="189" t="n"/>
      <c r="FP25" s="189" t="n"/>
      <c r="FQ25" s="190" t="n"/>
      <c r="FS25" s="188" t="n"/>
      <c r="FT25" s="189" t="n"/>
      <c r="FU25" s="189" t="n"/>
      <c r="FV25" s="189" t="n"/>
      <c r="FW25" s="190" t="n"/>
      <c r="FY25" s="188" t="n"/>
      <c r="FZ25" s="189" t="n"/>
      <c r="GA25" s="189" t="n"/>
      <c r="GB25" s="189" t="n"/>
      <c r="GC25" s="190" t="n"/>
      <c r="GE25" s="188" t="n"/>
      <c r="GF25" s="189" t="n"/>
      <c r="GG25" s="189" t="n"/>
      <c r="GH25" s="189" t="n"/>
      <c r="GI25" s="190" t="n"/>
      <c r="GK25" s="188" t="inlineStr">
        <is>
          <t>Redemptions</t>
        </is>
      </c>
      <c r="GL25" s="189">
        <f>SUMIFS(Investments!$D:$D,Investments!$B:$B,GK$10,Investments!$C:$C,$A$2,Investments!$A:$A,"&gt;"&amp;IF(GO21&gt;$D$2,GO21,$D$2),Investments!$A:$A,"&lt;"&amp;$E$2,Investments!$D:$D,"&lt;"&amp;0)</f>
        <v/>
      </c>
      <c r="GM25" s="189">
        <f>SUMIFS(Investments!$D:$D,Investments!$B:$B,GK$10,Investments!$C:$C,$A$2,Investments!$A:$A,"&gt;"&amp;IF(GO21&gt;$D$3,GO21,$D$3),Investments!$A:$A,"&lt;="&amp;$E$3,Investments!$D:$D,"&lt;"&amp;0)</f>
        <v/>
      </c>
      <c r="GN25" s="189">
        <f>SUMIFS(Investments!$D:$D,Investments!$B:$B,GK$10,Investments!$C:$C,$A$2,Investments!$A:$A,"&gt;"&amp;IF(GO21&gt;$D$4,GO21,$D$4),Investments!$A:$A,"&lt;="&amp;$E$4,Investments!$D:$D,"&lt;"&amp;0)</f>
        <v/>
      </c>
      <c r="GO25" s="190">
        <f>SUMIFS(Investments!$D:$D,Investments!$B:$B,GK$10,Investments!$C:$C,$A$2,Investments!$A:$A,"&gt;"&amp;GO21,Investments!$A:$A,"&lt;="&amp;$E$4,Investments!$D:$D,"&lt;"&amp;0)</f>
        <v/>
      </c>
      <c r="GQ25" s="188" t="inlineStr">
        <is>
          <t>Redemptions</t>
        </is>
      </c>
      <c r="GR25" s="189">
        <f>SUMIFS(Investments!$D:$D,Investments!$B:$B,GQ$10,Investments!$C:$C,$A$2,Investments!$A:$A,"&gt;"&amp;IF(GU21&gt;$D$2,GU21,$D$2),Investments!$A:$A,"&lt;"&amp;$E$2,Investments!$D:$D,"&lt;"&amp;0)</f>
        <v/>
      </c>
      <c r="GS25" s="189">
        <f>SUMIFS(Investments!$D:$D,Investments!$B:$B,GQ$10,Investments!$C:$C,$A$2,Investments!$A:$A,"&gt;"&amp;IF(GU21&gt;$D$3,GU21,$D$3),Investments!$A:$A,"&lt;="&amp;$E$3,Investments!$D:$D,"&lt;"&amp;0)</f>
        <v/>
      </c>
      <c r="GT25" s="189">
        <f>SUMIFS(Investments!$D:$D,Investments!$B:$B,GQ$10,Investments!$C:$C,$A$2,Investments!$A:$A,"&gt;"&amp;IF(GU21&gt;$D$4,GU21,$D$4),Investments!$A:$A,"&lt;="&amp;$E$4,Investments!$D:$D,"&lt;"&amp;0)</f>
        <v/>
      </c>
      <c r="GU25" s="190">
        <f>SUMIFS(Investments!$D:$D,Investments!$B:$B,GQ$10,Investments!$C:$C,$A$2,Investments!$A:$A,"&gt;"&amp;GU21,Investments!$A:$A,"&lt;="&amp;$E$4,Investments!$D:$D,"&lt;"&amp;0)</f>
        <v/>
      </c>
      <c r="GW25" s="188" t="n"/>
      <c r="GX25" s="189" t="n"/>
      <c r="GY25" s="189" t="n"/>
      <c r="GZ25" s="189" t="n"/>
      <c r="HA25" s="190" t="n"/>
      <c r="HC25" s="188" t="n"/>
      <c r="HD25" s="189" t="n"/>
      <c r="HE25" s="189" t="n"/>
      <c r="HF25" s="189" t="n"/>
      <c r="HG25" s="190" t="n"/>
      <c r="HI25" s="188" t="n"/>
      <c r="HJ25" s="189" t="n"/>
      <c r="HK25" s="189" t="n"/>
      <c r="HL25" s="189" t="n"/>
      <c r="HM25" s="190" t="n"/>
      <c r="HO25" s="188" t="n"/>
      <c r="HP25" s="189" t="n"/>
      <c r="HQ25" s="189" t="n"/>
      <c r="HR25" s="189" t="n"/>
      <c r="HS25" s="190" t="n"/>
      <c r="HU25" s="188" t="inlineStr">
        <is>
          <t>Redemptions</t>
        </is>
      </c>
      <c r="HV25" s="189">
        <f>SUMIFS(Investments!$D:$D,Investments!$B:$B,HU$10,Investments!$C:$C,$A$2,Investments!$A:$A,"&gt;"&amp;IF(HY21&gt;$D$2,HY21,$D$2),Investments!$A:$A,"&lt;"&amp;$E$2,Investments!$D:$D,"&lt;"&amp;0)</f>
        <v/>
      </c>
      <c r="HW25" s="189">
        <f>SUMIFS(Investments!$D:$D,Investments!$B:$B,HU$10,Investments!$C:$C,$A$2,Investments!$A:$A,"&gt;"&amp;IF(HY21&gt;$D$3,HY21,$D$3),Investments!$A:$A,"&lt;="&amp;$E$3,Investments!$D:$D,"&lt;"&amp;0)</f>
        <v/>
      </c>
      <c r="HX25" s="189">
        <f>SUMIFS(Investments!$D:$D,Investments!$B:$B,HU$10,Investments!$C:$C,$A$2,Investments!$A:$A,"&gt;"&amp;IF(HY21&gt;$D$4,HY21,$D$4),Investments!$A:$A,"&lt;="&amp;$E$4,Investments!$D:$D,"&lt;"&amp;0)</f>
        <v/>
      </c>
      <c r="HY25" s="190">
        <f>SUMIFS(Investments!$D:$D,Investments!$B:$B,HU$10,Investments!$C:$C,$A$2,Investments!$A:$A,"&gt;"&amp;HY21,Investments!$A:$A,"&lt;="&amp;$E$4,Investments!$D:$D,"&lt;"&amp;0)</f>
        <v/>
      </c>
      <c r="IA25" s="188" t="inlineStr">
        <is>
          <t>Redemptions</t>
        </is>
      </c>
      <c r="IB25" s="189">
        <f>SUMIFS(Investments!$D:$D,Investments!$B:$B,IA$10,Investments!$C:$C,$A$2,Investments!$A:$A,"&gt;"&amp;IF(IE21&gt;$D$2,IE21,$D$2),Investments!$A:$A,"&lt;"&amp;$E$2,Investments!$D:$D,"&lt;"&amp;0)</f>
        <v/>
      </c>
      <c r="IC25" s="189">
        <f>SUMIFS(Investments!$D:$D,Investments!$B:$B,IA$10,Investments!$C:$C,$A$2,Investments!$A:$A,"&gt;"&amp;IF(IE21&gt;$D$3,IE21,$D$3),Investments!$A:$A,"&lt;="&amp;$E$3,Investments!$D:$D,"&lt;"&amp;0)</f>
        <v/>
      </c>
      <c r="ID25" s="189">
        <f>SUMIFS(Investments!$D:$D,Investments!$B:$B,IA$10,Investments!$C:$C,$A$2,Investments!$A:$A,"&gt;"&amp;IF(IE21&gt;$D$4,IE21,$D$4),Investments!$A:$A,"&lt;="&amp;$E$4,Investments!$D:$D,"&lt;"&amp;0)</f>
        <v/>
      </c>
      <c r="IE25" s="190">
        <f>SUMIFS(Investments!$D:$D,Investments!$B:$B,IA$10,Investments!$C:$C,$A$2,Investments!$A:$A,"&gt;"&amp;IE21,Investments!$A:$A,"&lt;="&amp;$E$4,Investments!$D:$D,"&lt;"&amp;0)</f>
        <v/>
      </c>
      <c r="IG25" s="188" t="inlineStr">
        <is>
          <t>Redemptions</t>
        </is>
      </c>
      <c r="IH25" s="189">
        <f>SUMIFS(Investments!$D:$D,Investments!$B:$B,IG$10,Investments!$C:$C,$A$2,Investments!$A:$A,"&gt;"&amp;IF(IK21&gt;$D$2,IK21,$D$2),Investments!$A:$A,"&lt;"&amp;$E$2,Investments!$D:$D,"&lt;"&amp;0)</f>
        <v/>
      </c>
      <c r="II25" s="189">
        <f>SUMIFS(Investments!$D:$D,Investments!$B:$B,IG$10,Investments!$C:$C,$A$2,Investments!$A:$A,"&gt;"&amp;IF(IK21&gt;$D$3,IK21,$D$3),Investments!$A:$A,"&lt;="&amp;$E$3,Investments!$D:$D,"&lt;"&amp;0)</f>
        <v/>
      </c>
      <c r="IJ25" s="189">
        <f>SUMIFS(Investments!$D:$D,Investments!$B:$B,IG$10,Investments!$C:$C,$A$2,Investments!$A:$A,"&gt;"&amp;IF(IK21&gt;$D$4,IK21,$D$4),Investments!$A:$A,"&lt;="&amp;$E$4,Investments!$D:$D,"&lt;"&amp;0)</f>
        <v/>
      </c>
      <c r="IK25" s="190">
        <f>SUMIFS(Investments!$D:$D,Investments!$B:$B,IG$10,Investments!$C:$C,$A$2,Investments!$A:$A,"&gt;"&amp;IK21,Investments!$A:$A,"&lt;="&amp;$E$4,Investments!$D:$D,"&lt;"&amp;0)</f>
        <v/>
      </c>
      <c r="IM25" s="188" t="n"/>
      <c r="IN25" s="189" t="n"/>
      <c r="IO25" s="189" t="n"/>
      <c r="IP25" s="189" t="n"/>
      <c r="IQ25" s="190" t="n"/>
      <c r="IS25" s="188" t="n"/>
      <c r="IT25" s="189" t="n"/>
      <c r="IU25" s="189" t="n"/>
      <c r="IV25" s="189" t="n"/>
      <c r="IW25" s="190" t="n"/>
      <c r="IY25" s="188" t="n"/>
      <c r="IZ25" s="189" t="n"/>
      <c r="JA25" s="189" t="n"/>
      <c r="JB25" s="189" t="n"/>
      <c r="JC25" s="190" t="n"/>
    </row>
    <row r="26" ht="15.75" customHeight="1" s="252">
      <c r="A26" s="188" t="inlineStr">
        <is>
          <t>Net Income</t>
        </is>
      </c>
      <c r="B26" s="189">
        <f>B27-B23-B25-B24</f>
        <v/>
      </c>
      <c r="C26" s="189">
        <f>C27-C23-C25-C24</f>
        <v/>
      </c>
      <c r="D26" s="189">
        <f>D27-D23-D25-D24</f>
        <v/>
      </c>
      <c r="E26" s="190">
        <f>E27-E23-E25-E24</f>
        <v/>
      </c>
      <c r="G26" s="188" t="n"/>
      <c r="H26" s="189" t="n"/>
      <c r="I26" s="189" t="n"/>
      <c r="J26" s="189" t="n"/>
      <c r="K26" s="190" t="n"/>
      <c r="M26" s="188" t="n"/>
      <c r="N26" s="189" t="n"/>
      <c r="O26" s="189" t="n"/>
      <c r="P26" s="189" t="n"/>
      <c r="Q26" s="190" t="n"/>
      <c r="S26" s="188" t="n"/>
      <c r="T26" s="189" t="n"/>
      <c r="U26" s="189" t="n"/>
      <c r="V26" s="189" t="n"/>
      <c r="W26" s="190" t="n"/>
      <c r="Y26" s="188" t="n"/>
      <c r="Z26" s="189" t="n"/>
      <c r="AA26" s="189" t="n"/>
      <c r="AB26" s="189" t="n"/>
      <c r="AC26" s="190" t="n"/>
      <c r="AE26" s="188" t="inlineStr">
        <is>
          <t>Net Income</t>
        </is>
      </c>
      <c r="AF26" s="189">
        <f>AF27-AF23-AF25-AF24</f>
        <v/>
      </c>
      <c r="AG26" s="189">
        <f>AG27-AG23-AG25-AG24</f>
        <v/>
      </c>
      <c r="AH26" s="189">
        <f>AH27-AH23-AH25-AH24</f>
        <v/>
      </c>
      <c r="AI26" s="190">
        <f>AI27-AI23-AI25-AI24</f>
        <v/>
      </c>
      <c r="AK26" s="188" t="inlineStr">
        <is>
          <t>Net Income</t>
        </is>
      </c>
      <c r="AL26" s="189">
        <f>AL27-AL23-AL25-AL24</f>
        <v/>
      </c>
      <c r="AM26" s="189">
        <f>AM27-AM23-AM25-AM24</f>
        <v/>
      </c>
      <c r="AN26" s="189">
        <f>AN27-AN23-AN25-AN24</f>
        <v/>
      </c>
      <c r="AO26" s="190">
        <f>AO27-AO23-AO25-AO24</f>
        <v/>
      </c>
      <c r="AQ26" s="188" t="n"/>
      <c r="AR26" s="189" t="n"/>
      <c r="AS26" s="189" t="n"/>
      <c r="AT26" s="189" t="n"/>
      <c r="AU26" s="190" t="n"/>
      <c r="AW26" s="188" t="inlineStr">
        <is>
          <t>Net Income</t>
        </is>
      </c>
      <c r="AX26" s="189">
        <f>AX27-AX23-AX25-AX24</f>
        <v/>
      </c>
      <c r="AY26" s="189">
        <f>AY27-AY23-AY25-AY24</f>
        <v/>
      </c>
      <c r="AZ26" s="189">
        <f>AZ27-AZ23-AZ25-AZ24</f>
        <v/>
      </c>
      <c r="BA26" s="190">
        <f>BA27-BA23-BA25-BA24</f>
        <v/>
      </c>
      <c r="BC26" s="188" t="inlineStr">
        <is>
          <t>Net Income</t>
        </is>
      </c>
      <c r="BD26" s="189">
        <f>BD27-BD23-BD25-BD24</f>
        <v/>
      </c>
      <c r="BE26" s="189">
        <f>BE27-BE23-BE25-BE24</f>
        <v/>
      </c>
      <c r="BF26" s="189">
        <f>BF27-BF23-BF25-BF24</f>
        <v/>
      </c>
      <c r="BG26" s="190">
        <f>BG27-BG23-BG25-BG24</f>
        <v/>
      </c>
      <c r="BI26" s="188" t="n"/>
      <c r="BJ26" s="189" t="n"/>
      <c r="BK26" s="189" t="n"/>
      <c r="BL26" s="189" t="n"/>
      <c r="BM26" s="190" t="n"/>
      <c r="BO26" s="188" t="n"/>
      <c r="BP26" s="189" t="n"/>
      <c r="BQ26" s="189" t="n"/>
      <c r="BR26" s="189" t="n"/>
      <c r="BS26" s="190" t="n"/>
      <c r="BU26" s="188" t="n"/>
      <c r="BV26" s="189" t="n"/>
      <c r="BW26" s="189" t="n"/>
      <c r="BX26" s="189" t="n"/>
      <c r="BY26" s="190" t="n"/>
      <c r="CA26" s="188" t="n"/>
      <c r="CB26" s="189" t="n"/>
      <c r="CC26" s="189" t="n"/>
      <c r="CD26" s="189" t="n"/>
      <c r="CE26" s="190" t="n"/>
      <c r="CG26" s="188" t="n"/>
      <c r="CH26" s="189" t="n"/>
      <c r="CI26" s="189" t="n"/>
      <c r="CJ26" s="189" t="n"/>
      <c r="CK26" s="190" t="n"/>
      <c r="CM26" s="188" t="n"/>
      <c r="CN26" s="189" t="n"/>
      <c r="CO26" s="189" t="n"/>
      <c r="CP26" s="189" t="n"/>
      <c r="CQ26" s="190" t="n"/>
      <c r="CS26" s="188" t="n"/>
      <c r="CT26" s="189" t="n"/>
      <c r="CU26" s="189" t="n"/>
      <c r="CV26" s="189" t="n"/>
      <c r="CW26" s="190" t="n"/>
      <c r="CY26" s="188" t="n"/>
      <c r="CZ26" s="189" t="n"/>
      <c r="DA26" s="189" t="n"/>
      <c r="DB26" s="189" t="n"/>
      <c r="DC26" s="190" t="n"/>
      <c r="DE26" s="188" t="n"/>
      <c r="DF26" s="189" t="n"/>
      <c r="DG26" s="189" t="n"/>
      <c r="DH26" s="189" t="n"/>
      <c r="DI26" s="190" t="n"/>
      <c r="DK26" s="188" t="n"/>
      <c r="DL26" s="189" t="n"/>
      <c r="DM26" s="189" t="n"/>
      <c r="DN26" s="189" t="n"/>
      <c r="DO26" s="190" t="n"/>
      <c r="DQ26" s="188" t="n"/>
      <c r="DR26" s="189" t="n"/>
      <c r="DS26" s="189" t="n"/>
      <c r="DT26" s="189" t="n"/>
      <c r="DU26" s="190" t="n"/>
      <c r="DW26" s="188" t="inlineStr">
        <is>
          <t>Net Income</t>
        </is>
      </c>
      <c r="DX26" s="189">
        <f>DX27-DX23-DX25-DX24</f>
        <v/>
      </c>
      <c r="DY26" s="189">
        <f>DY27-DY23-DY25-DY24</f>
        <v/>
      </c>
      <c r="DZ26" s="189">
        <f>DZ27-DZ23-DZ25-DZ24</f>
        <v/>
      </c>
      <c r="EA26" s="190">
        <f>EA27-EA23-EA25-EA24</f>
        <v/>
      </c>
      <c r="EC26" s="188" t="inlineStr">
        <is>
          <t>Net Income</t>
        </is>
      </c>
      <c r="ED26" s="189">
        <f>ED27-ED23-ED25-ED24</f>
        <v/>
      </c>
      <c r="EE26" s="189">
        <f>EE27-EE23-EE25-EE24</f>
        <v/>
      </c>
      <c r="EF26" s="189">
        <f>EF27-EF23-EF25-EF24</f>
        <v/>
      </c>
      <c r="EG26" s="190">
        <f>EG27-EG23-EG25-EG24</f>
        <v/>
      </c>
      <c r="EI26" s="188" t="n"/>
      <c r="EJ26" s="189" t="n"/>
      <c r="EK26" s="189" t="n"/>
      <c r="EL26" s="189" t="n"/>
      <c r="EM26" s="190" t="n"/>
      <c r="EO26" s="188" t="inlineStr">
        <is>
          <t>Net Income</t>
        </is>
      </c>
      <c r="EP26" s="189">
        <f>EP27-EP23-EP25-EP24</f>
        <v/>
      </c>
      <c r="EQ26" s="189">
        <f>EQ27-EQ23-EQ25-EQ24</f>
        <v/>
      </c>
      <c r="ER26" s="189">
        <f>ER27-ER23-ER25-ER24</f>
        <v/>
      </c>
      <c r="ES26" s="190">
        <f>ES27-ES23-ES25-ES24</f>
        <v/>
      </c>
      <c r="EU26" s="188" t="inlineStr">
        <is>
          <t>Net Income</t>
        </is>
      </c>
      <c r="EV26" s="189">
        <f>EV27-EV23-EV25-EV24</f>
        <v/>
      </c>
      <c r="EW26" s="189">
        <f>EW27-EW23-EW25-EW24</f>
        <v/>
      </c>
      <c r="EX26" s="189">
        <f>EX27-EX23-EX25-EX24</f>
        <v/>
      </c>
      <c r="EY26" s="190">
        <f>EY27-EY23-EY25-EY24</f>
        <v/>
      </c>
      <c r="FA26" s="188" t="inlineStr">
        <is>
          <t>Net Income</t>
        </is>
      </c>
      <c r="FB26" s="189">
        <f>FB27-FB23-FB25-FB24</f>
        <v/>
      </c>
      <c r="FC26" s="189">
        <f>FC27-FC23-FC25-FC24</f>
        <v/>
      </c>
      <c r="FD26" s="189">
        <f>FD27-FD23-FD25-FD24</f>
        <v/>
      </c>
      <c r="FE26" s="190">
        <f>FE27-FE23-FE25-FE24</f>
        <v/>
      </c>
      <c r="FG26" s="188" t="inlineStr">
        <is>
          <t>Net Income</t>
        </is>
      </c>
      <c r="FH26" s="189">
        <f>FH27-FH23-FH25-FH24</f>
        <v/>
      </c>
      <c r="FI26" s="189">
        <f>FI27-FI23-FI25-FI24</f>
        <v/>
      </c>
      <c r="FJ26" s="189">
        <f>FJ27-FJ23-FJ25-FJ24</f>
        <v/>
      </c>
      <c r="FK26" s="190">
        <f>FK27-FK23-FK25-FK24</f>
        <v/>
      </c>
      <c r="FM26" s="188" t="n"/>
      <c r="FN26" s="189" t="n"/>
      <c r="FO26" s="189" t="n"/>
      <c r="FP26" s="189" t="n"/>
      <c r="FQ26" s="190" t="n"/>
      <c r="FS26" s="188" t="n"/>
      <c r="FT26" s="189" t="n"/>
      <c r="FU26" s="189" t="n"/>
      <c r="FV26" s="189" t="n"/>
      <c r="FW26" s="190" t="n"/>
      <c r="FY26" s="188" t="n"/>
      <c r="FZ26" s="189" t="n"/>
      <c r="GA26" s="189" t="n"/>
      <c r="GB26" s="189" t="n"/>
      <c r="GC26" s="190" t="n"/>
      <c r="GE26" s="188" t="n"/>
      <c r="GF26" s="189" t="n"/>
      <c r="GG26" s="189" t="n"/>
      <c r="GH26" s="189" t="n"/>
      <c r="GI26" s="190" t="n"/>
      <c r="GK26" s="188" t="inlineStr">
        <is>
          <t>Net Income</t>
        </is>
      </c>
      <c r="GL26" s="189">
        <f>GL27-GL23-GL25-GL24</f>
        <v/>
      </c>
      <c r="GM26" s="189">
        <f>GM27-GM23-GM25-GM24</f>
        <v/>
      </c>
      <c r="GN26" s="189">
        <f>GN27-GN23-GN25-GN24</f>
        <v/>
      </c>
      <c r="GO26" s="190">
        <f>GO27-GO23-GO25-GO24</f>
        <v/>
      </c>
      <c r="GQ26" s="188" t="inlineStr">
        <is>
          <t>Net Income</t>
        </is>
      </c>
      <c r="GR26" s="189">
        <f>GR27-GR23-GR25-GR24</f>
        <v/>
      </c>
      <c r="GS26" s="189">
        <f>GS27-GS23-GS25-GS24</f>
        <v/>
      </c>
      <c r="GT26" s="189">
        <f>GT27-GT23-GT25-GT24</f>
        <v/>
      </c>
      <c r="GU26" s="190">
        <f>GU27-GU23-GU25-GU24</f>
        <v/>
      </c>
      <c r="GW26" s="188" t="n"/>
      <c r="GX26" s="189" t="n"/>
      <c r="GY26" s="189" t="n"/>
      <c r="GZ26" s="189" t="n"/>
      <c r="HA26" s="190" t="n"/>
      <c r="HC26" s="188" t="n"/>
      <c r="HD26" s="189" t="n"/>
      <c r="HE26" s="189" t="n"/>
      <c r="HF26" s="189" t="n"/>
      <c r="HG26" s="190" t="n"/>
      <c r="HI26" s="188" t="n"/>
      <c r="HJ26" s="189" t="n"/>
      <c r="HK26" s="189" t="n"/>
      <c r="HL26" s="189" t="n"/>
      <c r="HM26" s="190" t="n"/>
      <c r="HO26" s="188" t="n"/>
      <c r="HP26" s="189" t="n"/>
      <c r="HQ26" s="189" t="n"/>
      <c r="HR26" s="189" t="n"/>
      <c r="HS26" s="190" t="n"/>
      <c r="HU26" s="188" t="inlineStr">
        <is>
          <t>Net Income</t>
        </is>
      </c>
      <c r="HV26" s="189">
        <f>HV27-HV23-HV25-HV24</f>
        <v/>
      </c>
      <c r="HW26" s="189">
        <f>HW27-HW23-HW25-HW24</f>
        <v/>
      </c>
      <c r="HX26" s="189">
        <f>HX27-HX23-HX25-HX24</f>
        <v/>
      </c>
      <c r="HY26" s="190">
        <f>HY27-HY23-HY25-HY24</f>
        <v/>
      </c>
      <c r="IA26" s="188" t="inlineStr">
        <is>
          <t>Net Income</t>
        </is>
      </c>
      <c r="IB26" s="189">
        <f>IB27-IB23-IB25-IB24</f>
        <v/>
      </c>
      <c r="IC26" s="189">
        <f>IC27-IC23-IC25-IC24</f>
        <v/>
      </c>
      <c r="ID26" s="189">
        <f>ID27-ID23-ID25-ID24</f>
        <v/>
      </c>
      <c r="IE26" s="190">
        <f>IE27-IE23-IE25-IE24</f>
        <v/>
      </c>
      <c r="IG26" s="188" t="inlineStr">
        <is>
          <t>Net Income</t>
        </is>
      </c>
      <c r="IH26" s="189">
        <f>IH27-IH23-IH25-IH24</f>
        <v/>
      </c>
      <c r="II26" s="189">
        <f>II27-II23-II25-II24</f>
        <v/>
      </c>
      <c r="IJ26" s="189">
        <f>IJ27-IJ23-IJ25-IJ24</f>
        <v/>
      </c>
      <c r="IK26" s="190">
        <f>IK27-IK23-IK25-IK24</f>
        <v/>
      </c>
      <c r="IM26" s="188" t="n"/>
      <c r="IN26" s="189" t="n"/>
      <c r="IO26" s="189" t="n"/>
      <c r="IP26" s="189" t="n"/>
      <c r="IQ26" s="190" t="n"/>
      <c r="IS26" s="188" t="n"/>
      <c r="IT26" s="189" t="n"/>
      <c r="IU26" s="189" t="n"/>
      <c r="IV26" s="189" t="n"/>
      <c r="IW26" s="190" t="n"/>
      <c r="IY26" s="188" t="n"/>
      <c r="IZ26" s="189" t="n"/>
      <c r="JA26" s="189" t="n"/>
      <c r="JB26" s="189" t="n"/>
      <c r="JC26" s="190" t="n"/>
    </row>
    <row r="27" ht="15.75" customHeight="1" s="252">
      <c r="A27" s="193" t="inlineStr">
        <is>
          <t>Ending Balance</t>
        </is>
      </c>
      <c r="B27" s="194">
        <f t="array" ref="B27">index('ETH Yield Fund'!$A$8:$EI$1010,MATCH(A$10,'ETH Yield Fund'!$A$8:$A$1010,0),MATCH($E$2,'ETH Yield Fund'!$A$8:$EI$8,0))</f>
        <v/>
      </c>
      <c r="C27" s="194">
        <f>B27</f>
        <v/>
      </c>
      <c r="D27" s="194">
        <f>B27</f>
        <v/>
      </c>
      <c r="E27" s="195">
        <f>B27</f>
        <v/>
      </c>
      <c r="G27" s="193" t="n"/>
      <c r="H27" s="194" t="n"/>
      <c r="I27" s="194" t="n"/>
      <c r="J27" s="194" t="n"/>
      <c r="K27" s="195" t="n"/>
      <c r="M27" s="193" t="n"/>
      <c r="N27" s="194" t="n"/>
      <c r="O27" s="194" t="n"/>
      <c r="P27" s="194" t="n"/>
      <c r="Q27" s="195" t="n"/>
      <c r="S27" s="193" t="n"/>
      <c r="T27" s="194" t="n"/>
      <c r="U27" s="194" t="n"/>
      <c r="V27" s="194" t="n"/>
      <c r="W27" s="195" t="n"/>
      <c r="Y27" s="193" t="n"/>
      <c r="Z27" s="194" t="n"/>
      <c r="AA27" s="194" t="n"/>
      <c r="AB27" s="194" t="n"/>
      <c r="AC27" s="195" t="n"/>
      <c r="AE27" s="193" t="inlineStr">
        <is>
          <t>Ending Balance</t>
        </is>
      </c>
      <c r="AF27" s="194">
        <f t="array" ref="AF27">index('ETH Yield Fund'!$A$8:$EI$1010,MATCH(AE$10,'ETH Yield Fund'!$A$8:$A$1010,0),MATCH($E$2,'ETH Yield Fund'!$A$8:$EI$8,0))</f>
        <v/>
      </c>
      <c r="AG27" s="194">
        <f>AF27</f>
        <v/>
      </c>
      <c r="AH27" s="194">
        <f>AF27</f>
        <v/>
      </c>
      <c r="AI27" s="195">
        <f>AF27</f>
        <v/>
      </c>
      <c r="AK27" s="193" t="inlineStr">
        <is>
          <t>Ending Balance</t>
        </is>
      </c>
      <c r="AL27" s="194">
        <f t="array" ref="AL27">index('ETH Yield Fund'!$A$8:$EI$1010,MATCH(AK$10,'ETH Yield Fund'!$A$8:$A$1010,0),MATCH($E$2,'ETH Yield Fund'!$A$8:$EI$8,0))</f>
        <v/>
      </c>
      <c r="AM27" s="194">
        <f>AL27</f>
        <v/>
      </c>
      <c r="AN27" s="194">
        <f>AL27</f>
        <v/>
      </c>
      <c r="AO27" s="195">
        <f>AL27</f>
        <v/>
      </c>
      <c r="AQ27" s="193" t="n"/>
      <c r="AR27" s="194" t="n"/>
      <c r="AS27" s="194" t="n"/>
      <c r="AT27" s="194" t="n"/>
      <c r="AU27" s="195" t="n"/>
      <c r="AW27" s="193" t="inlineStr">
        <is>
          <t>Ending Balance</t>
        </is>
      </c>
      <c r="AX27" s="194">
        <f t="array" ref="AX27">index('ETH Yield Fund'!$A$8:$EI$1010,MATCH(AW$10,'ETH Yield Fund'!$A$8:$A$1010,0),MATCH($E$2,'ETH Yield Fund'!$A$8:$EI$8,0))</f>
        <v/>
      </c>
      <c r="AY27" s="194">
        <f>AX27</f>
        <v/>
      </c>
      <c r="AZ27" s="194">
        <f>AX27</f>
        <v/>
      </c>
      <c r="BA27" s="195">
        <f>AX27</f>
        <v/>
      </c>
      <c r="BC27" s="193" t="inlineStr">
        <is>
          <t>Ending Balance</t>
        </is>
      </c>
      <c r="BD27" s="194">
        <f t="array" ref="BD27">index('ETH Yield Fund'!$A$8:$EI$1010,MATCH(BC$10,'ETH Yield Fund'!$A$8:$A$1010,0),MATCH($E$2,'ETH Yield Fund'!$A$8:$EI$8,0))</f>
        <v/>
      </c>
      <c r="BE27" s="194">
        <f>BD27</f>
        <v/>
      </c>
      <c r="BF27" s="194">
        <f>BD27</f>
        <v/>
      </c>
      <c r="BG27" s="195">
        <f>BD27</f>
        <v/>
      </c>
      <c r="BI27" s="193" t="n"/>
      <c r="BJ27" s="194" t="n"/>
      <c r="BK27" s="194" t="n"/>
      <c r="BL27" s="194" t="n"/>
      <c r="BM27" s="195" t="n"/>
      <c r="BO27" s="193" t="n"/>
      <c r="BP27" s="194" t="n"/>
      <c r="BQ27" s="194" t="n"/>
      <c r="BR27" s="194" t="n"/>
      <c r="BS27" s="195" t="n"/>
      <c r="BU27" s="193" t="n"/>
      <c r="BV27" s="194" t="n"/>
      <c r="BW27" s="194" t="n"/>
      <c r="BX27" s="194" t="n"/>
      <c r="BY27" s="195" t="n"/>
      <c r="CA27" s="193" t="n"/>
      <c r="CB27" s="194" t="n"/>
      <c r="CC27" s="194" t="n"/>
      <c r="CD27" s="194" t="n"/>
      <c r="CE27" s="195" t="n"/>
      <c r="CG27" s="193" t="n"/>
      <c r="CH27" s="194" t="n"/>
      <c r="CI27" s="194" t="n"/>
      <c r="CJ27" s="194" t="n"/>
      <c r="CK27" s="195" t="n"/>
      <c r="CM27" s="193" t="n"/>
      <c r="CN27" s="194" t="n"/>
      <c r="CO27" s="194" t="n"/>
      <c r="CP27" s="194" t="n"/>
      <c r="CQ27" s="195" t="n"/>
      <c r="CS27" s="193" t="n"/>
      <c r="CT27" s="194" t="n"/>
      <c r="CU27" s="194" t="n"/>
      <c r="CV27" s="194" t="n"/>
      <c r="CW27" s="195" t="n"/>
      <c r="CY27" s="193" t="n"/>
      <c r="CZ27" s="194" t="n"/>
      <c r="DA27" s="194" t="n"/>
      <c r="DB27" s="194" t="n"/>
      <c r="DC27" s="195" t="n"/>
      <c r="DE27" s="193" t="n"/>
      <c r="DF27" s="194" t="n"/>
      <c r="DG27" s="194" t="n"/>
      <c r="DH27" s="194" t="n"/>
      <c r="DI27" s="195" t="n"/>
      <c r="DK27" s="193" t="n"/>
      <c r="DL27" s="194" t="n"/>
      <c r="DM27" s="194" t="n"/>
      <c r="DN27" s="194" t="n"/>
      <c r="DO27" s="195" t="n"/>
      <c r="DQ27" s="193" t="n"/>
      <c r="DR27" s="194" t="n"/>
      <c r="DS27" s="194" t="n"/>
      <c r="DT27" s="194" t="n"/>
      <c r="DU27" s="195" t="n"/>
      <c r="DW27" s="193" t="inlineStr">
        <is>
          <t>Ending Balance</t>
        </is>
      </c>
      <c r="DX27" s="194">
        <f t="array" ref="DX27">index('ETH Yield Fund'!$A$8:$EI$1010,MATCH(DW$10,'ETH Yield Fund'!$A$8:$A$1010,0),MATCH($E$2,'ETH Yield Fund'!$A$8:$EI$8,0))</f>
        <v/>
      </c>
      <c r="DY27" s="194">
        <f>DX27</f>
        <v/>
      </c>
      <c r="DZ27" s="194">
        <f>DX27</f>
        <v/>
      </c>
      <c r="EA27" s="195">
        <f>DX27</f>
        <v/>
      </c>
      <c r="EC27" s="193" t="inlineStr">
        <is>
          <t>Ending Balance</t>
        </is>
      </c>
      <c r="ED27" s="194">
        <f t="array" ref="ED27">index('ETH Yield Fund'!$A$8:$EI$1010,MATCH(EC$10,'ETH Yield Fund'!$A$8:$A$1010,0),MATCH($E$2,'ETH Yield Fund'!$A$8:$EI$8,0))</f>
        <v/>
      </c>
      <c r="EE27" s="194">
        <f>ED27</f>
        <v/>
      </c>
      <c r="EF27" s="194">
        <f>ED27</f>
        <v/>
      </c>
      <c r="EG27" s="195">
        <f>ED27</f>
        <v/>
      </c>
      <c r="EI27" s="193" t="n"/>
      <c r="EJ27" s="194" t="n"/>
      <c r="EK27" s="194" t="n"/>
      <c r="EL27" s="194" t="n"/>
      <c r="EM27" s="195" t="n"/>
      <c r="EO27" s="193" t="inlineStr">
        <is>
          <t>Ending Balance</t>
        </is>
      </c>
      <c r="EP27" s="194">
        <f t="array" ref="EP27">index('ETH Yield Fund'!$A$8:$EI$1010,MATCH(EO$10,'ETH Yield Fund'!$A$8:$A$1010,0),MATCH($E$2,'ETH Yield Fund'!$A$8:$EI$8,0))</f>
        <v/>
      </c>
      <c r="EQ27" s="194">
        <f>EP27</f>
        <v/>
      </c>
      <c r="ER27" s="194">
        <f>EP27</f>
        <v/>
      </c>
      <c r="ES27" s="195">
        <f>EP27</f>
        <v/>
      </c>
      <c r="EU27" s="193" t="inlineStr">
        <is>
          <t>Ending Balance</t>
        </is>
      </c>
      <c r="EV27" s="194">
        <f t="array" ref="EV27">index('ETH Yield Fund'!$A$8:$EI$1010,MATCH(EU$10,'ETH Yield Fund'!$A$8:$A$1010,0),MATCH($E$2,'ETH Yield Fund'!$A$8:$EI$8,0))</f>
        <v/>
      </c>
      <c r="EW27" s="194">
        <f>EV27</f>
        <v/>
      </c>
      <c r="EX27" s="194">
        <f>EV27</f>
        <v/>
      </c>
      <c r="EY27" s="195">
        <f>EV27</f>
        <v/>
      </c>
      <c r="FA27" s="193" t="inlineStr">
        <is>
          <t>Ending Balance</t>
        </is>
      </c>
      <c r="FB27" s="194">
        <f t="array" ref="FB27">index('ETH Yield Fund'!$A$8:$EI$1010,MATCH(FA$10,'ETH Yield Fund'!$A$8:$A$1010,0),MATCH($E$2,'ETH Yield Fund'!$A$8:$EI$8,0))</f>
        <v/>
      </c>
      <c r="FC27" s="194">
        <f>FB27</f>
        <v/>
      </c>
      <c r="FD27" s="194">
        <f>FB27</f>
        <v/>
      </c>
      <c r="FE27" s="195">
        <f>FB27</f>
        <v/>
      </c>
      <c r="FG27" s="193" t="inlineStr">
        <is>
          <t>Ending Balance</t>
        </is>
      </c>
      <c r="FH27" s="194">
        <f t="array" ref="FH27">index('ETH Yield Fund'!$A$8:$EI$1010,MATCH(FG$10,'ETH Yield Fund'!$A$8:$A$1010,0),MATCH($E$2,'ETH Yield Fund'!$A$8:$EI$8,0))</f>
        <v/>
      </c>
      <c r="FI27" s="194">
        <f>FH27</f>
        <v/>
      </c>
      <c r="FJ27" s="194">
        <f>FH27</f>
        <v/>
      </c>
      <c r="FK27" s="195">
        <f>FH27</f>
        <v/>
      </c>
      <c r="FM27" s="193" t="n"/>
      <c r="FN27" s="194" t="n"/>
      <c r="FO27" s="194" t="n"/>
      <c r="FP27" s="194" t="n"/>
      <c r="FQ27" s="195" t="n"/>
      <c r="FS27" s="193" t="n"/>
      <c r="FT27" s="194" t="n"/>
      <c r="FU27" s="194" t="n"/>
      <c r="FV27" s="194" t="n"/>
      <c r="FW27" s="195" t="n"/>
      <c r="FY27" s="193" t="n"/>
      <c r="FZ27" s="194" t="n"/>
      <c r="GA27" s="194" t="n"/>
      <c r="GB27" s="194" t="n"/>
      <c r="GC27" s="195" t="n"/>
      <c r="GE27" s="193" t="n"/>
      <c r="GF27" s="194" t="n"/>
      <c r="GG27" s="194" t="n"/>
      <c r="GH27" s="194" t="n"/>
      <c r="GI27" s="195" t="n"/>
      <c r="GK27" s="193" t="inlineStr">
        <is>
          <t>Ending Balance</t>
        </is>
      </c>
      <c r="GL27" s="194">
        <f t="array" ref="GL27">index('ETH Yield Fund'!$A$8:$EI$1010,MATCH(GK$10,'ETH Yield Fund'!$A$8:$A$1010,0),MATCH($E$2,'ETH Yield Fund'!$A$8:$EI$8,0))</f>
        <v/>
      </c>
      <c r="GM27" s="194">
        <f>GL27</f>
        <v/>
      </c>
      <c r="GN27" s="194">
        <f>GL27</f>
        <v/>
      </c>
      <c r="GO27" s="195">
        <f>GL27</f>
        <v/>
      </c>
      <c r="GQ27" s="193" t="inlineStr">
        <is>
          <t>Ending Balance</t>
        </is>
      </c>
      <c r="GR27" s="194">
        <f t="array" ref="GR27">index('ETH Yield Fund'!$A$8:$EI$1010,MATCH(GQ$10,'ETH Yield Fund'!$A$8:$A$1010,0),MATCH($E$2,'ETH Yield Fund'!$A$8:$EI$8,0))</f>
        <v/>
      </c>
      <c r="GS27" s="194">
        <f>GR27</f>
        <v/>
      </c>
      <c r="GT27" s="194">
        <f>GR27</f>
        <v/>
      </c>
      <c r="GU27" s="195">
        <f>GR27</f>
        <v/>
      </c>
      <c r="GW27" s="193" t="n"/>
      <c r="GX27" s="194" t="n"/>
      <c r="GY27" s="194" t="n"/>
      <c r="GZ27" s="194" t="n"/>
      <c r="HA27" s="195" t="n"/>
      <c r="HC27" s="193" t="n"/>
      <c r="HD27" s="194" t="n"/>
      <c r="HE27" s="194" t="n"/>
      <c r="HF27" s="194" t="n"/>
      <c r="HG27" s="195" t="n"/>
      <c r="HI27" s="193" t="n"/>
      <c r="HJ27" s="194" t="n"/>
      <c r="HK27" s="194" t="n"/>
      <c r="HL27" s="194" t="n"/>
      <c r="HM27" s="195" t="n"/>
      <c r="HO27" s="193" t="n"/>
      <c r="HP27" s="194" t="n"/>
      <c r="HQ27" s="194" t="n"/>
      <c r="HR27" s="194" t="n"/>
      <c r="HS27" s="195" t="n"/>
      <c r="HU27" s="193" t="inlineStr">
        <is>
          <t>Ending Balance</t>
        </is>
      </c>
      <c r="HV27" s="194">
        <f t="array" ref="HV27">index('ETH Yield Fund'!$A$8:$EI$1010,MATCH(HU$10,'ETH Yield Fund'!$A$8:$A$1010,0),MATCH($E$2,'ETH Yield Fund'!$A$8:$EI$8,0))</f>
        <v/>
      </c>
      <c r="HW27" s="194">
        <f>HV27</f>
        <v/>
      </c>
      <c r="HX27" s="194">
        <f>HV27</f>
        <v/>
      </c>
      <c r="HY27" s="195">
        <f>HV27</f>
        <v/>
      </c>
      <c r="IA27" s="193" t="inlineStr">
        <is>
          <t>Ending Balance</t>
        </is>
      </c>
      <c r="IB27" s="194">
        <f t="array" ref="IB27">index('ETH Yield Fund'!$A$8:$EI$1010,MATCH(IA$10,'ETH Yield Fund'!$A$8:$A$1010,0),MATCH($E$2,'ETH Yield Fund'!$A$8:$EI$8,0))</f>
        <v/>
      </c>
      <c r="IC27" s="194">
        <f>IB27</f>
        <v/>
      </c>
      <c r="ID27" s="194">
        <f>IB27</f>
        <v/>
      </c>
      <c r="IE27" s="195">
        <f>IB27</f>
        <v/>
      </c>
      <c r="IG27" s="193" t="inlineStr">
        <is>
          <t>Ending Balance</t>
        </is>
      </c>
      <c r="IH27" s="194">
        <f t="array" ref="IH27">index('ETH Yield Fund'!$A$8:$EI$1010,MATCH(IG$10,'ETH Yield Fund'!$A$8:$A$1010,0),MATCH($E$2,'ETH Yield Fund'!$A$8:$EI$8,0))</f>
        <v/>
      </c>
      <c r="II27" s="194">
        <f>IH27</f>
        <v/>
      </c>
      <c r="IJ27" s="194">
        <f>IH27</f>
        <v/>
      </c>
      <c r="IK27" s="195">
        <f>IH27</f>
        <v/>
      </c>
      <c r="IM27" s="193" t="n"/>
      <c r="IN27" s="194" t="n"/>
      <c r="IO27" s="194" t="n"/>
      <c r="IP27" s="194" t="n"/>
      <c r="IQ27" s="195" t="n"/>
      <c r="IS27" s="193" t="n"/>
      <c r="IT27" s="194" t="n"/>
      <c r="IU27" s="194" t="n"/>
      <c r="IV27" s="194" t="n"/>
      <c r="IW27" s="195" t="n"/>
      <c r="IY27" s="193" t="n"/>
      <c r="IZ27" s="194" t="n"/>
      <c r="JA27" s="194" t="n"/>
      <c r="JB27" s="194" t="n"/>
      <c r="JC27" s="195" t="n"/>
    </row>
    <row r="28" ht="15.75" customHeight="1" s="252">
      <c r="A28" s="198" t="inlineStr">
        <is>
          <t>Rate of Return</t>
        </is>
      </c>
      <c r="B28" s="199">
        <f>B26/B23</f>
        <v/>
      </c>
      <c r="C28" s="199">
        <f>C26/C23</f>
        <v/>
      </c>
      <c r="D28" s="199">
        <f>D26/D23</f>
        <v/>
      </c>
      <c r="E28" s="200">
        <f>E26/E23</f>
        <v/>
      </c>
      <c r="G28" s="198" t="n"/>
      <c r="H28" s="199" t="n"/>
      <c r="I28" s="199" t="n"/>
      <c r="J28" s="199" t="n"/>
      <c r="K28" s="200" t="n"/>
      <c r="M28" s="198" t="n"/>
      <c r="N28" s="199" t="n"/>
      <c r="O28" s="199" t="n"/>
      <c r="P28" s="199" t="n"/>
      <c r="Q28" s="200" t="n"/>
      <c r="S28" s="198" t="n"/>
      <c r="T28" s="199" t="n"/>
      <c r="U28" s="199" t="n"/>
      <c r="V28" s="199" t="n"/>
      <c r="W28" s="200" t="n"/>
      <c r="Y28" s="198" t="n"/>
      <c r="Z28" s="199" t="n"/>
      <c r="AA28" s="199" t="n"/>
      <c r="AB28" s="199" t="n"/>
      <c r="AC28" s="200" t="n"/>
      <c r="AE28" s="198" t="inlineStr">
        <is>
          <t>Rate of Return</t>
        </is>
      </c>
      <c r="AF28" s="199">
        <f>AF26/AF23</f>
        <v/>
      </c>
      <c r="AG28" s="199">
        <f>AG26/AG23</f>
        <v/>
      </c>
      <c r="AH28" s="199">
        <f>AH26/AH23</f>
        <v/>
      </c>
      <c r="AI28" s="200">
        <f>AI26/AI23</f>
        <v/>
      </c>
      <c r="AK28" s="198" t="inlineStr">
        <is>
          <t>Rate of Return</t>
        </is>
      </c>
      <c r="AL28" s="199">
        <f>AL26/AL23</f>
        <v/>
      </c>
      <c r="AM28" s="199">
        <f>AM26/AM23</f>
        <v/>
      </c>
      <c r="AN28" s="199">
        <f>AN26/AN23</f>
        <v/>
      </c>
      <c r="AO28" s="200">
        <f>AO26/AO23</f>
        <v/>
      </c>
      <c r="AQ28" s="198" t="n"/>
      <c r="AR28" s="199" t="n"/>
      <c r="AS28" s="199" t="n"/>
      <c r="AT28" s="199" t="n"/>
      <c r="AU28" s="200" t="n"/>
      <c r="AW28" s="198" t="inlineStr">
        <is>
          <t>Rate of Return</t>
        </is>
      </c>
      <c r="AX28" s="199">
        <f>AX26/AX23</f>
        <v/>
      </c>
      <c r="AY28" s="199">
        <f>AY26/AY23</f>
        <v/>
      </c>
      <c r="AZ28" s="199">
        <f>AZ26/AZ23</f>
        <v/>
      </c>
      <c r="BA28" s="200">
        <f>BA26/BA23</f>
        <v/>
      </c>
      <c r="BC28" s="198" t="inlineStr">
        <is>
          <t>Rate of Return</t>
        </is>
      </c>
      <c r="BD28" s="199">
        <f>BD26/BD23</f>
        <v/>
      </c>
      <c r="BE28" s="199">
        <f>BE26/BE23</f>
        <v/>
      </c>
      <c r="BF28" s="199">
        <f>BF26/BF23</f>
        <v/>
      </c>
      <c r="BG28" s="200">
        <f>BG26/BG23</f>
        <v/>
      </c>
      <c r="BI28" s="198" t="n"/>
      <c r="BJ28" s="199" t="n"/>
      <c r="BK28" s="199" t="n"/>
      <c r="BL28" s="199" t="n"/>
      <c r="BM28" s="200" t="n"/>
      <c r="BO28" s="198" t="n"/>
      <c r="BP28" s="199" t="n"/>
      <c r="BQ28" s="199" t="n"/>
      <c r="BR28" s="199" t="n"/>
      <c r="BS28" s="200" t="n"/>
      <c r="BU28" s="198" t="n"/>
      <c r="BV28" s="199" t="n"/>
      <c r="BW28" s="199" t="n"/>
      <c r="BX28" s="199" t="n"/>
      <c r="BY28" s="200" t="n"/>
      <c r="CA28" s="198" t="n"/>
      <c r="CB28" s="199" t="n"/>
      <c r="CC28" s="199" t="n"/>
      <c r="CD28" s="199" t="n"/>
      <c r="CE28" s="200" t="n"/>
      <c r="CG28" s="198" t="n"/>
      <c r="CH28" s="199" t="n"/>
      <c r="CI28" s="199" t="n"/>
      <c r="CJ28" s="199" t="n"/>
      <c r="CK28" s="200" t="n"/>
      <c r="CM28" s="198" t="n"/>
      <c r="CN28" s="199" t="n"/>
      <c r="CO28" s="199" t="n"/>
      <c r="CP28" s="199" t="n"/>
      <c r="CQ28" s="200" t="n"/>
      <c r="CS28" s="198" t="n"/>
      <c r="CT28" s="199" t="n"/>
      <c r="CU28" s="199" t="n"/>
      <c r="CV28" s="199" t="n"/>
      <c r="CW28" s="200" t="n"/>
      <c r="CY28" s="198" t="n"/>
      <c r="CZ28" s="199" t="n"/>
      <c r="DA28" s="199" t="n"/>
      <c r="DB28" s="199" t="n"/>
      <c r="DC28" s="200" t="n"/>
      <c r="DE28" s="198" t="n"/>
      <c r="DF28" s="199" t="n"/>
      <c r="DG28" s="199" t="n"/>
      <c r="DH28" s="199" t="n"/>
      <c r="DI28" s="200" t="n"/>
      <c r="DK28" s="198" t="n"/>
      <c r="DL28" s="199" t="n"/>
      <c r="DM28" s="199" t="n"/>
      <c r="DN28" s="199" t="n"/>
      <c r="DO28" s="200" t="n"/>
      <c r="DQ28" s="198" t="n"/>
      <c r="DR28" s="199" t="n"/>
      <c r="DS28" s="199" t="n"/>
      <c r="DT28" s="199" t="n"/>
      <c r="DU28" s="200" t="n"/>
      <c r="DW28" s="198" t="inlineStr">
        <is>
          <t>Rate of Return</t>
        </is>
      </c>
      <c r="DX28" s="199">
        <f>DX26/DX23</f>
        <v/>
      </c>
      <c r="DY28" s="199">
        <f>DY26/DY23</f>
        <v/>
      </c>
      <c r="DZ28" s="199">
        <f>DZ26/DZ23</f>
        <v/>
      </c>
      <c r="EA28" s="200">
        <f>EA26/EA23</f>
        <v/>
      </c>
      <c r="EC28" s="198" t="inlineStr">
        <is>
          <t>Rate of Return</t>
        </is>
      </c>
      <c r="ED28" s="199">
        <f>ED26/ED23</f>
        <v/>
      </c>
      <c r="EE28" s="199">
        <f>EE26/EE23</f>
        <v/>
      </c>
      <c r="EF28" s="199">
        <f>EF26/EF23</f>
        <v/>
      </c>
      <c r="EG28" s="200">
        <f>EG26/EG23</f>
        <v/>
      </c>
      <c r="EI28" s="198" t="n"/>
      <c r="EJ28" s="199" t="n"/>
      <c r="EK28" s="199" t="n"/>
      <c r="EL28" s="199" t="n"/>
      <c r="EM28" s="200" t="n"/>
      <c r="EO28" s="198" t="inlineStr">
        <is>
          <t>Rate of Return</t>
        </is>
      </c>
      <c r="EP28" s="199">
        <f>EP26/EP23</f>
        <v/>
      </c>
      <c r="EQ28" s="199">
        <f>EQ26/EQ23</f>
        <v/>
      </c>
      <c r="ER28" s="199">
        <f>ER26/ER23</f>
        <v/>
      </c>
      <c r="ES28" s="200">
        <f>ES26/ES23</f>
        <v/>
      </c>
      <c r="EU28" s="198" t="inlineStr">
        <is>
          <t>Rate of Return</t>
        </is>
      </c>
      <c r="EV28" s="199">
        <f>EV26/EV23</f>
        <v/>
      </c>
      <c r="EW28" s="199">
        <f>EW26/EW23</f>
        <v/>
      </c>
      <c r="EX28" s="199">
        <f>EX26/EX23</f>
        <v/>
      </c>
      <c r="EY28" s="200">
        <f>EY26/EY23</f>
        <v/>
      </c>
      <c r="FA28" s="198" t="inlineStr">
        <is>
          <t>Rate of Return</t>
        </is>
      </c>
      <c r="FB28" s="199">
        <f>FB26/FB23</f>
        <v/>
      </c>
      <c r="FC28" s="199">
        <f>FC26/FC23</f>
        <v/>
      </c>
      <c r="FD28" s="199">
        <f>FD26/FD23</f>
        <v/>
      </c>
      <c r="FE28" s="200">
        <f>FE26/FE23</f>
        <v/>
      </c>
      <c r="FG28" s="198" t="inlineStr">
        <is>
          <t>Rate of Return</t>
        </is>
      </c>
      <c r="FH28" s="199">
        <f>FH26/FH23</f>
        <v/>
      </c>
      <c r="FI28" s="199">
        <f>FI26/FI23</f>
        <v/>
      </c>
      <c r="FJ28" s="199">
        <f>FJ26/FJ23</f>
        <v/>
      </c>
      <c r="FK28" s="200">
        <f>FK26/FK23</f>
        <v/>
      </c>
      <c r="FM28" s="198" t="n"/>
      <c r="FN28" s="199" t="n"/>
      <c r="FO28" s="199" t="n"/>
      <c r="FP28" s="199" t="n"/>
      <c r="FQ28" s="200" t="n"/>
      <c r="FS28" s="198" t="n"/>
      <c r="FT28" s="199" t="n"/>
      <c r="FU28" s="199" t="n"/>
      <c r="FV28" s="199" t="n"/>
      <c r="FW28" s="200" t="n"/>
      <c r="FY28" s="198" t="n"/>
      <c r="FZ28" s="199" t="n"/>
      <c r="GA28" s="199" t="n"/>
      <c r="GB28" s="199" t="n"/>
      <c r="GC28" s="200" t="n"/>
      <c r="GE28" s="198" t="n"/>
      <c r="GF28" s="199" t="n"/>
      <c r="GG28" s="199" t="n"/>
      <c r="GH28" s="199" t="n"/>
      <c r="GI28" s="200" t="n"/>
      <c r="GK28" s="198" t="inlineStr">
        <is>
          <t>Rate of Return</t>
        </is>
      </c>
      <c r="GL28" s="199">
        <f>GL26/GL23</f>
        <v/>
      </c>
      <c r="GM28" s="199">
        <f>GM26/GM23</f>
        <v/>
      </c>
      <c r="GN28" s="199">
        <f>GN26/GN23</f>
        <v/>
      </c>
      <c r="GO28" s="200">
        <f>GO26/GO23</f>
        <v/>
      </c>
      <c r="GQ28" s="198" t="inlineStr">
        <is>
          <t>Rate of Return</t>
        </is>
      </c>
      <c r="GR28" s="199">
        <f>GR26/GR23</f>
        <v/>
      </c>
      <c r="GS28" s="199">
        <f>GS26/GS23</f>
        <v/>
      </c>
      <c r="GT28" s="199">
        <f>GT26/GT23</f>
        <v/>
      </c>
      <c r="GU28" s="200">
        <f>GU26/GU23</f>
        <v/>
      </c>
      <c r="GW28" s="198" t="n"/>
      <c r="GX28" s="199" t="n"/>
      <c r="GY28" s="199" t="n"/>
      <c r="GZ28" s="199" t="n"/>
      <c r="HA28" s="200" t="n"/>
      <c r="HC28" s="198" t="n"/>
      <c r="HD28" s="199" t="n"/>
      <c r="HE28" s="199" t="n"/>
      <c r="HF28" s="199" t="n"/>
      <c r="HG28" s="200" t="n"/>
      <c r="HI28" s="198" t="n"/>
      <c r="HJ28" s="199" t="n"/>
      <c r="HK28" s="199" t="n"/>
      <c r="HL28" s="199" t="n"/>
      <c r="HM28" s="200" t="n"/>
      <c r="HO28" s="198" t="n"/>
      <c r="HP28" s="199" t="n"/>
      <c r="HQ28" s="199" t="n"/>
      <c r="HR28" s="199" t="n"/>
      <c r="HS28" s="200" t="n"/>
      <c r="HU28" s="198" t="inlineStr">
        <is>
          <t>Rate of Return</t>
        </is>
      </c>
      <c r="HV28" s="199">
        <f>HV26/HV23</f>
        <v/>
      </c>
      <c r="HW28" s="199">
        <f>HW26/HW23</f>
        <v/>
      </c>
      <c r="HX28" s="199">
        <f>HX26/HX23</f>
        <v/>
      </c>
      <c r="HY28" s="200">
        <f>HY26/HY23</f>
        <v/>
      </c>
      <c r="IA28" s="198" t="inlineStr">
        <is>
          <t>Rate of Return</t>
        </is>
      </c>
      <c r="IB28" s="199">
        <f>IB26/IB23</f>
        <v/>
      </c>
      <c r="IC28" s="199">
        <f>IC26/IC23</f>
        <v/>
      </c>
      <c r="ID28" s="199">
        <f>ID26/ID23</f>
        <v/>
      </c>
      <c r="IE28" s="200">
        <f>IE26/IE23</f>
        <v/>
      </c>
      <c r="IG28" s="198" t="inlineStr">
        <is>
          <t>Rate of Return</t>
        </is>
      </c>
      <c r="IH28" s="199">
        <f>IH26/IH23</f>
        <v/>
      </c>
      <c r="II28" s="199">
        <f>II26/II23</f>
        <v/>
      </c>
      <c r="IJ28" s="199">
        <f>IJ26/IJ23</f>
        <v/>
      </c>
      <c r="IK28" s="200">
        <f>IK26/IK23</f>
        <v/>
      </c>
      <c r="IM28" s="198" t="n"/>
      <c r="IN28" s="199" t="n"/>
      <c r="IO28" s="199" t="n"/>
      <c r="IP28" s="199" t="n"/>
      <c r="IQ28" s="200" t="n"/>
      <c r="IS28" s="198" t="n"/>
      <c r="IT28" s="199" t="n"/>
      <c r="IU28" s="199" t="n"/>
      <c r="IV28" s="199" t="n"/>
      <c r="IW28" s="200" t="n"/>
      <c r="IY28" s="198" t="n"/>
      <c r="IZ28" s="199" t="n"/>
      <c r="JA28" s="199" t="n"/>
      <c r="JB28" s="199" t="n"/>
      <c r="JC28" s="200" t="n"/>
    </row>
    <row r="29" ht="15.75" customHeight="1" s="252">
      <c r="BC29" s="169" t="inlineStr">
        <is>
          <t>Out</t>
        </is>
      </c>
      <c r="CM29" s="169" t="inlineStr">
        <is>
          <t>Out</t>
        </is>
      </c>
      <c r="EI29" s="169" t="inlineStr">
        <is>
          <t>Out</t>
        </is>
      </c>
      <c r="GE29" s="169" t="inlineStr">
        <is>
          <t>Out</t>
        </is>
      </c>
    </row>
    <row r="30" ht="15.75" customHeight="1" s="252">
      <c r="A30" s="173" t="inlineStr">
        <is>
          <t xml:space="preserve">CAPITAL ACCOUNT SUMMARY FROM </t>
        </is>
      </c>
      <c r="B30" s="256" t="n"/>
      <c r="C30" s="256" t="n"/>
      <c r="D30" s="256" t="n"/>
      <c r="E30" s="175" t="n">
        <v>45953</v>
      </c>
      <c r="G30" s="257" t="n"/>
      <c r="H30" s="256" t="n"/>
      <c r="I30" s="256" t="n"/>
      <c r="J30" s="256" t="n"/>
      <c r="K30" s="258" t="n"/>
      <c r="M30" s="257" t="n"/>
      <c r="N30" s="256" t="n"/>
      <c r="O30" s="256" t="n"/>
      <c r="P30" s="256" t="n"/>
      <c r="Q30" s="258" t="n"/>
      <c r="S30" s="173" t="inlineStr">
        <is>
          <t xml:space="preserve">CAPITAL ACCOUNT SUMMARY FROM </t>
        </is>
      </c>
      <c r="T30" s="256" t="n"/>
      <c r="U30" s="256" t="n"/>
      <c r="V30" s="256" t="n"/>
      <c r="W30" s="175" t="n">
        <v>45999</v>
      </c>
      <c r="Y30" s="257" t="n"/>
      <c r="Z30" s="256" t="n"/>
      <c r="AA30" s="256" t="n"/>
      <c r="AB30" s="256" t="n"/>
      <c r="AC30" s="258" t="n"/>
      <c r="AE30" s="173" t="inlineStr">
        <is>
          <t xml:space="preserve">CAPITAL ACCOUNT SUMMARY FROM </t>
        </is>
      </c>
      <c r="AF30" s="256" t="n"/>
      <c r="AG30" s="256" t="n"/>
      <c r="AH30" s="256" t="n"/>
      <c r="AI30" s="175" t="n">
        <v>46066</v>
      </c>
      <c r="AK30" s="257" t="n"/>
      <c r="AL30" s="256" t="n"/>
      <c r="AM30" s="256" t="n"/>
      <c r="AN30" s="256" t="n"/>
      <c r="AO30" s="258" t="n"/>
      <c r="AQ30" s="257" t="n"/>
      <c r="AR30" s="256" t="n"/>
      <c r="AS30" s="256" t="n"/>
      <c r="AT30" s="256" t="n"/>
      <c r="AU30" s="258" t="n"/>
      <c r="AW30" s="173" t="inlineStr">
        <is>
          <t xml:space="preserve">CAPITAL ACCOUNT SUMMARY FROM </t>
        </is>
      </c>
      <c r="AX30" s="256" t="n"/>
      <c r="AY30" s="256" t="n"/>
      <c r="AZ30" s="256" t="n"/>
      <c r="BA30" s="175" t="n">
        <v>45824</v>
      </c>
      <c r="BC30" s="173" t="inlineStr">
        <is>
          <t xml:space="preserve">CAPITAL ACCOUNT SUMMARY FROM </t>
        </is>
      </c>
      <c r="BD30" s="256" t="n"/>
      <c r="BE30" s="256" t="n"/>
      <c r="BF30" s="256" t="n"/>
      <c r="BG30" s="175" t="n">
        <v>45888</v>
      </c>
      <c r="BI30" s="257" t="n"/>
      <c r="BJ30" s="256" t="n"/>
      <c r="BK30" s="256" t="n"/>
      <c r="BL30" s="256" t="n"/>
      <c r="BM30" s="258" t="n"/>
      <c r="BO30" s="173" t="inlineStr">
        <is>
          <t xml:space="preserve">CAPITAL ACCOUNT SUMMARY FROM </t>
        </is>
      </c>
      <c r="BP30" s="256" t="n"/>
      <c r="BQ30" s="256" t="n"/>
      <c r="BR30" s="256" t="n"/>
      <c r="BS30" s="175" t="n">
        <v>45852</v>
      </c>
      <c r="BU30" s="173" t="inlineStr">
        <is>
          <t xml:space="preserve">CAPITAL ACCOUNT SUMMARY FROM </t>
        </is>
      </c>
      <c r="BV30" s="256" t="n"/>
      <c r="BW30" s="256" t="n"/>
      <c r="BX30" s="256" t="n"/>
      <c r="BY30" s="175" t="n">
        <v>45852</v>
      </c>
      <c r="CA30" s="173" t="inlineStr">
        <is>
          <t xml:space="preserve">CAPITAL ACCOUNT SUMMARY FROM </t>
        </is>
      </c>
      <c r="CB30" s="256" t="n"/>
      <c r="CC30" s="256" t="n"/>
      <c r="CD30" s="256" t="n"/>
      <c r="CE30" s="175" t="n">
        <v>45852</v>
      </c>
      <c r="CG30" s="173" t="inlineStr">
        <is>
          <t xml:space="preserve">CAPITAL ACCOUNT SUMMARY FROM </t>
        </is>
      </c>
      <c r="CH30" s="256" t="n"/>
      <c r="CI30" s="256" t="n"/>
      <c r="CJ30" s="256" t="n"/>
      <c r="CK30" s="175" t="n">
        <v>45852</v>
      </c>
      <c r="CM30" s="173" t="inlineStr">
        <is>
          <t xml:space="preserve">CAPITAL ACCOUNT SUMMARY FROM </t>
        </is>
      </c>
      <c r="CN30" s="256" t="n"/>
      <c r="CO30" s="256" t="n"/>
      <c r="CP30" s="256" t="n"/>
      <c r="CQ30" s="175" t="n">
        <v>45852</v>
      </c>
      <c r="CS30" s="257" t="n"/>
      <c r="CT30" s="256" t="n"/>
      <c r="CU30" s="256" t="n"/>
      <c r="CV30" s="256" t="n"/>
      <c r="CW30" s="258" t="n"/>
      <c r="CY30" s="173" t="inlineStr">
        <is>
          <t xml:space="preserve">CAPITAL ACCOUNT SUMMARY FROM </t>
        </is>
      </c>
      <c r="CZ30" s="256" t="n"/>
      <c r="DA30" s="256" t="n"/>
      <c r="DB30" s="256" t="n"/>
      <c r="DC30" s="175" t="n">
        <v>45857</v>
      </c>
      <c r="DE30" s="173" t="inlineStr">
        <is>
          <t xml:space="preserve">CAPITAL ACCOUNT SUMMARY FROM </t>
        </is>
      </c>
      <c r="DF30" s="256" t="n"/>
      <c r="DG30" s="256" t="n"/>
      <c r="DH30" s="256" t="n"/>
      <c r="DI30" s="175" t="n">
        <v>45861</v>
      </c>
      <c r="DK30" s="173" t="inlineStr">
        <is>
          <t xml:space="preserve">CAPITAL ACCOUNT SUMMARY FROM </t>
        </is>
      </c>
      <c r="DL30" s="256" t="n"/>
      <c r="DM30" s="256" t="n"/>
      <c r="DN30" s="256" t="n"/>
      <c r="DO30" s="175" t="n">
        <v>45861</v>
      </c>
      <c r="DQ30" s="173" t="inlineStr">
        <is>
          <t xml:space="preserve">CAPITAL ACCOUNT SUMMARY FROM </t>
        </is>
      </c>
      <c r="DR30" s="256" t="n"/>
      <c r="DS30" s="256" t="n"/>
      <c r="DT30" s="256" t="n"/>
      <c r="DU30" s="175" t="n">
        <v>45861</v>
      </c>
      <c r="DW30" s="257" t="n"/>
      <c r="DX30" s="256" t="n"/>
      <c r="DY30" s="256" t="n"/>
      <c r="DZ30" s="256" t="n"/>
      <c r="EA30" s="258" t="n"/>
      <c r="EC30" s="257" t="n"/>
      <c r="ED30" s="256" t="n"/>
      <c r="EE30" s="256" t="n"/>
      <c r="EF30" s="256" t="n"/>
      <c r="EG30" s="258" t="n"/>
      <c r="EI30" s="173" t="inlineStr">
        <is>
          <t xml:space="preserve">CAPITAL ACCOUNT SUMMARY FROM </t>
        </is>
      </c>
      <c r="EJ30" s="256" t="n"/>
      <c r="EK30" s="256" t="n"/>
      <c r="EL30" s="256" t="n"/>
      <c r="EM30" s="175" t="n">
        <v>45873</v>
      </c>
      <c r="EO30" s="173" t="inlineStr">
        <is>
          <t xml:space="preserve">CAPITAL ACCOUNT SUMMARY FROM </t>
        </is>
      </c>
      <c r="EP30" s="256" t="n"/>
      <c r="EQ30" s="256" t="n"/>
      <c r="ER30" s="256" t="n"/>
      <c r="ES30" s="175" t="n">
        <v>45873</v>
      </c>
      <c r="EU30" s="257" t="n"/>
      <c r="EV30" s="256" t="n"/>
      <c r="EW30" s="256" t="n"/>
      <c r="EX30" s="256" t="n"/>
      <c r="EY30" s="258" t="n"/>
      <c r="FA30" s="257" t="n"/>
      <c r="FB30" s="256" t="n"/>
      <c r="FC30" s="256" t="n"/>
      <c r="FD30" s="256" t="n"/>
      <c r="FE30" s="258" t="n"/>
      <c r="FG30" s="257" t="n"/>
      <c r="FH30" s="256" t="n"/>
      <c r="FI30" s="256" t="n"/>
      <c r="FJ30" s="256" t="n"/>
      <c r="FK30" s="258" t="n"/>
      <c r="FM30" s="173" t="inlineStr">
        <is>
          <t xml:space="preserve">CAPITAL ACCOUNT SUMMARY FROM </t>
        </is>
      </c>
      <c r="FN30" s="256" t="n"/>
      <c r="FO30" s="256" t="n"/>
      <c r="FP30" s="256" t="n"/>
      <c r="FQ30" s="175" t="n">
        <v>45945</v>
      </c>
      <c r="FS30" s="173" t="inlineStr">
        <is>
          <t xml:space="preserve">CAPITAL ACCOUNT SUMMARY FROM </t>
        </is>
      </c>
      <c r="FT30" s="256" t="n"/>
      <c r="FU30" s="256" t="n"/>
      <c r="FV30" s="256" t="n"/>
      <c r="FW30" s="175" t="n">
        <v>45936</v>
      </c>
      <c r="FY30" s="173" t="inlineStr">
        <is>
          <t xml:space="preserve">CAPITAL ACCOUNT SUMMARY FROM </t>
        </is>
      </c>
      <c r="FZ30" s="256" t="n"/>
      <c r="GA30" s="256" t="n"/>
      <c r="GB30" s="256" t="n"/>
      <c r="GC30" s="175" t="n">
        <v>45968</v>
      </c>
      <c r="GE30" s="173" t="inlineStr">
        <is>
          <t xml:space="preserve">CAPITAL ACCOUNT SUMMARY FROM </t>
        </is>
      </c>
      <c r="GF30" s="256" t="n"/>
      <c r="GG30" s="256" t="n"/>
      <c r="GH30" s="256" t="n"/>
      <c r="GI30" s="175" t="n">
        <v>45974</v>
      </c>
      <c r="GK30" s="173" t="inlineStr">
        <is>
          <t xml:space="preserve">CAPITAL ACCOUNT SUMMARY FROM </t>
        </is>
      </c>
      <c r="GL30" s="256" t="n"/>
      <c r="GM30" s="256" t="n"/>
      <c r="GN30" s="256" t="n"/>
      <c r="GO30" s="175" t="n">
        <v>46041</v>
      </c>
      <c r="GQ30" s="173" t="inlineStr">
        <is>
          <t xml:space="preserve">CAPITAL ACCOUNT SUMMARY FROM </t>
        </is>
      </c>
      <c r="GR30" s="256" t="n"/>
      <c r="GS30" s="256" t="n"/>
      <c r="GT30" s="256" t="n"/>
      <c r="GU30" s="175" t="n">
        <v>46048</v>
      </c>
      <c r="GW30" s="207" t="inlineStr">
        <is>
          <t xml:space="preserve">CAPITAL ACCOUNT SUMMARY FROM </t>
        </is>
      </c>
      <c r="GX30" s="256" t="n"/>
      <c r="GY30" s="256" t="n"/>
      <c r="GZ30" s="256" t="n"/>
      <c r="HA30" s="208" t="n">
        <v>45986</v>
      </c>
      <c r="HC30" s="257" t="n"/>
      <c r="HD30" s="256" t="n"/>
      <c r="HE30" s="256" t="n"/>
      <c r="HF30" s="256" t="n"/>
      <c r="HG30" s="258" t="n"/>
      <c r="HI30" s="207" t="inlineStr">
        <is>
          <t xml:space="preserve">CAPITAL ACCOUNT SUMMARY FROM </t>
        </is>
      </c>
      <c r="HJ30" s="256" t="n"/>
      <c r="HK30" s="256" t="n"/>
      <c r="HL30" s="256" t="n"/>
      <c r="HM30" s="208" t="n">
        <v>45988</v>
      </c>
      <c r="HO30" s="207" t="inlineStr">
        <is>
          <t xml:space="preserve">CAPITAL ACCOUNT SUMMARY FROM </t>
        </is>
      </c>
      <c r="HP30" s="256" t="n"/>
      <c r="HQ30" s="256" t="n"/>
      <c r="HR30" s="256" t="n"/>
      <c r="HS30" s="208" t="n">
        <v>45991</v>
      </c>
      <c r="HU30" s="257" t="n"/>
      <c r="HV30" s="256" t="n"/>
      <c r="HW30" s="256" t="n"/>
      <c r="HX30" s="256" t="n"/>
      <c r="HY30" s="258" t="n"/>
      <c r="IA30" s="257" t="n"/>
      <c r="IB30" s="256" t="n"/>
      <c r="IC30" s="256" t="n"/>
      <c r="ID30" s="256" t="n"/>
      <c r="IE30" s="258" t="n"/>
      <c r="IG30" s="257" t="n"/>
      <c r="IH30" s="256" t="n"/>
      <c r="II30" s="256" t="n"/>
      <c r="IJ30" s="256" t="n"/>
      <c r="IK30" s="258" t="n"/>
      <c r="IM30" s="173" t="inlineStr">
        <is>
          <t xml:space="preserve">CAPITAL ACCOUNT SUMMARY FROM </t>
        </is>
      </c>
      <c r="IN30" s="256" t="n"/>
      <c r="IO30" s="256" t="n"/>
      <c r="IP30" s="256" t="n"/>
      <c r="IQ30" s="175" t="n">
        <v>46066</v>
      </c>
      <c r="IS30" s="173" t="inlineStr">
        <is>
          <t xml:space="preserve">CAPITAL ACCOUNT SUMMARY FROM </t>
        </is>
      </c>
      <c r="IT30" s="256" t="n"/>
      <c r="IU30" s="256" t="n"/>
      <c r="IV30" s="256" t="n"/>
      <c r="IW30" s="175" t="n">
        <v>46086</v>
      </c>
      <c r="IY30" s="257" t="n"/>
      <c r="IZ30" s="256" t="n"/>
      <c r="JA30" s="256" t="n"/>
      <c r="JB30" s="256" t="n"/>
      <c r="JC30" s="258" t="n"/>
    </row>
    <row r="31" ht="15.75" customHeight="1" s="252">
      <c r="A31" s="209" t="n"/>
      <c r="B31" s="210" t="inlineStr">
        <is>
          <t>MTD (USDT)</t>
        </is>
      </c>
      <c r="C31" s="210" t="inlineStr">
        <is>
          <t>QTD (USDT)</t>
        </is>
      </c>
      <c r="D31" s="210" t="inlineStr">
        <is>
          <t>YTD (USDT)</t>
        </is>
      </c>
      <c r="E31" s="211" t="inlineStr">
        <is>
          <t>ITD (USDT)</t>
        </is>
      </c>
      <c r="G31" s="209" t="n"/>
      <c r="H31" s="210" t="n"/>
      <c r="I31" s="210" t="n"/>
      <c r="J31" s="210" t="n"/>
      <c r="K31" s="211" t="n"/>
      <c r="M31" s="209" t="n"/>
      <c r="N31" s="210" t="n"/>
      <c r="O31" s="210" t="n"/>
      <c r="P31" s="210" t="n"/>
      <c r="Q31" s="211" t="n"/>
      <c r="S31" s="209" t="n"/>
      <c r="T31" s="210" t="inlineStr">
        <is>
          <t>MTD (USDT)</t>
        </is>
      </c>
      <c r="U31" s="210" t="inlineStr">
        <is>
          <t>QTD (USDT)</t>
        </is>
      </c>
      <c r="V31" s="210" t="inlineStr">
        <is>
          <t>YTD (USDT)</t>
        </is>
      </c>
      <c r="W31" s="211" t="inlineStr">
        <is>
          <t>ITD (USDT)</t>
        </is>
      </c>
      <c r="Y31" s="209" t="n"/>
      <c r="Z31" s="210" t="n"/>
      <c r="AA31" s="210" t="n"/>
      <c r="AB31" s="210" t="n"/>
      <c r="AC31" s="211" t="n"/>
      <c r="AE31" s="209" t="n"/>
      <c r="AF31" s="210" t="inlineStr">
        <is>
          <t>MTD (USDT)</t>
        </is>
      </c>
      <c r="AG31" s="210" t="inlineStr">
        <is>
          <t>QTD (USDT)</t>
        </is>
      </c>
      <c r="AH31" s="210" t="inlineStr">
        <is>
          <t>YTD (USDT)</t>
        </is>
      </c>
      <c r="AI31" s="211" t="inlineStr">
        <is>
          <t>ITD (USDT)</t>
        </is>
      </c>
      <c r="AK31" s="209" t="n"/>
      <c r="AL31" s="210" t="n"/>
      <c r="AM31" s="210" t="n"/>
      <c r="AN31" s="210" t="n"/>
      <c r="AO31" s="211" t="n"/>
      <c r="AQ31" s="209" t="n"/>
      <c r="AR31" s="210" t="n"/>
      <c r="AS31" s="210" t="n"/>
      <c r="AT31" s="210" t="n"/>
      <c r="AU31" s="211" t="n"/>
      <c r="AW31" s="209" t="n"/>
      <c r="AX31" s="210" t="inlineStr">
        <is>
          <t>MTD (USDT)</t>
        </is>
      </c>
      <c r="AY31" s="210" t="inlineStr">
        <is>
          <t>QTD (USDT)</t>
        </is>
      </c>
      <c r="AZ31" s="210" t="inlineStr">
        <is>
          <t>YTD (USDT)</t>
        </is>
      </c>
      <c r="BA31" s="211" t="inlineStr">
        <is>
          <t>ITD (USDT)</t>
        </is>
      </c>
      <c r="BC31" s="209" t="n"/>
      <c r="BD31" s="210" t="inlineStr">
        <is>
          <t>MTD (USDT)</t>
        </is>
      </c>
      <c r="BE31" s="210" t="inlineStr">
        <is>
          <t>QTD (USDT)</t>
        </is>
      </c>
      <c r="BF31" s="210" t="inlineStr">
        <is>
          <t>YTD (USDT)</t>
        </is>
      </c>
      <c r="BG31" s="211" t="inlineStr">
        <is>
          <t>ITD (USDT)</t>
        </is>
      </c>
      <c r="BI31" s="209" t="n"/>
      <c r="BJ31" s="210" t="n"/>
      <c r="BK31" s="210" t="n"/>
      <c r="BL31" s="210" t="n"/>
      <c r="BM31" s="211" t="n"/>
      <c r="BO31" s="209" t="n"/>
      <c r="BP31" s="210" t="inlineStr">
        <is>
          <t>MTD (USDT)</t>
        </is>
      </c>
      <c r="BQ31" s="210" t="inlineStr">
        <is>
          <t>QTD (USDT)</t>
        </is>
      </c>
      <c r="BR31" s="210" t="inlineStr">
        <is>
          <t>YTD (USDT)</t>
        </is>
      </c>
      <c r="BS31" s="211" t="inlineStr">
        <is>
          <t>ITD (USDT)</t>
        </is>
      </c>
      <c r="BU31" s="209" t="n"/>
      <c r="BV31" s="210" t="inlineStr">
        <is>
          <t>MTD (USDT)</t>
        </is>
      </c>
      <c r="BW31" s="210" t="inlineStr">
        <is>
          <t>QTD (USDT)</t>
        </is>
      </c>
      <c r="BX31" s="210" t="inlineStr">
        <is>
          <t>YTD (USDT)</t>
        </is>
      </c>
      <c r="BY31" s="211" t="inlineStr">
        <is>
          <t>ITD (USDT)</t>
        </is>
      </c>
      <c r="CA31" s="209" t="n"/>
      <c r="CB31" s="210" t="inlineStr">
        <is>
          <t>MTD (USDT)</t>
        </is>
      </c>
      <c r="CC31" s="210" t="inlineStr">
        <is>
          <t>QTD (USDT)</t>
        </is>
      </c>
      <c r="CD31" s="210" t="inlineStr">
        <is>
          <t>YTD (USDT)</t>
        </is>
      </c>
      <c r="CE31" s="211" t="inlineStr">
        <is>
          <t>ITD (USDT)</t>
        </is>
      </c>
      <c r="CG31" s="209" t="n"/>
      <c r="CH31" s="210" t="inlineStr">
        <is>
          <t>MTD (USDT)</t>
        </is>
      </c>
      <c r="CI31" s="210" t="inlineStr">
        <is>
          <t>QTD (USDT)</t>
        </is>
      </c>
      <c r="CJ31" s="210" t="inlineStr">
        <is>
          <t>YTD (USDT)</t>
        </is>
      </c>
      <c r="CK31" s="211" t="inlineStr">
        <is>
          <t>ITD (USDT)</t>
        </is>
      </c>
      <c r="CM31" s="209" t="n"/>
      <c r="CN31" s="210" t="inlineStr">
        <is>
          <t>MTD (USDT)</t>
        </is>
      </c>
      <c r="CO31" s="210" t="inlineStr">
        <is>
          <t>QTD (USDT)</t>
        </is>
      </c>
      <c r="CP31" s="210" t="inlineStr">
        <is>
          <t>YTD (USDT)</t>
        </is>
      </c>
      <c r="CQ31" s="211" t="inlineStr">
        <is>
          <t>ITD (USDT)</t>
        </is>
      </c>
      <c r="CS31" s="209" t="n"/>
      <c r="CT31" s="210" t="n"/>
      <c r="CU31" s="210" t="n"/>
      <c r="CV31" s="210" t="n"/>
      <c r="CW31" s="211" t="n"/>
      <c r="CY31" s="209" t="n"/>
      <c r="CZ31" s="210" t="inlineStr">
        <is>
          <t>MTD (USDT)</t>
        </is>
      </c>
      <c r="DA31" s="210" t="inlineStr">
        <is>
          <t>QTD (USDT)</t>
        </is>
      </c>
      <c r="DB31" s="210" t="inlineStr">
        <is>
          <t>YTD (USDT)</t>
        </is>
      </c>
      <c r="DC31" s="211" t="inlineStr">
        <is>
          <t>ITD (USDT)</t>
        </is>
      </c>
      <c r="DE31" s="209" t="n"/>
      <c r="DF31" s="210" t="inlineStr">
        <is>
          <t>MTD (USDT)</t>
        </is>
      </c>
      <c r="DG31" s="210" t="inlineStr">
        <is>
          <t>QTD (USDT)</t>
        </is>
      </c>
      <c r="DH31" s="210" t="inlineStr">
        <is>
          <t>YTD (USDT)</t>
        </is>
      </c>
      <c r="DI31" s="211" t="inlineStr">
        <is>
          <t>ITD (USDT)</t>
        </is>
      </c>
      <c r="DK31" s="209" t="n"/>
      <c r="DL31" s="210" t="inlineStr">
        <is>
          <t>MTD (USDT)</t>
        </is>
      </c>
      <c r="DM31" s="210" t="inlineStr">
        <is>
          <t>QTD (USDT)</t>
        </is>
      </c>
      <c r="DN31" s="210" t="inlineStr">
        <is>
          <t>YTD (USDT)</t>
        </is>
      </c>
      <c r="DO31" s="211" t="inlineStr">
        <is>
          <t>ITD (USDT)</t>
        </is>
      </c>
      <c r="DQ31" s="209" t="n"/>
      <c r="DR31" s="210" t="inlineStr">
        <is>
          <t>MTD (USDT)</t>
        </is>
      </c>
      <c r="DS31" s="210" t="inlineStr">
        <is>
          <t>QTD (USDT)</t>
        </is>
      </c>
      <c r="DT31" s="210" t="inlineStr">
        <is>
          <t>YTD (USDT)</t>
        </is>
      </c>
      <c r="DU31" s="211" t="inlineStr">
        <is>
          <t>ITD (USDT)</t>
        </is>
      </c>
      <c r="DW31" s="209" t="n"/>
      <c r="DX31" s="210" t="n"/>
      <c r="DY31" s="210" t="n"/>
      <c r="DZ31" s="210" t="n"/>
      <c r="EA31" s="211" t="n"/>
      <c r="EC31" s="209" t="n"/>
      <c r="ED31" s="210" t="n"/>
      <c r="EE31" s="210" t="n"/>
      <c r="EF31" s="210" t="n"/>
      <c r="EG31" s="211" t="n"/>
      <c r="EI31" s="209" t="n"/>
      <c r="EJ31" s="210" t="inlineStr">
        <is>
          <t>MTD (USDT)</t>
        </is>
      </c>
      <c r="EK31" s="210" t="inlineStr">
        <is>
          <t>QTD (USDT)</t>
        </is>
      </c>
      <c r="EL31" s="210" t="inlineStr">
        <is>
          <t>YTD (USDT)</t>
        </is>
      </c>
      <c r="EM31" s="211" t="inlineStr">
        <is>
          <t>ITD (USDT)</t>
        </is>
      </c>
      <c r="EO31" s="209" t="n"/>
      <c r="EP31" s="210" t="inlineStr">
        <is>
          <t>MTD (USDT)</t>
        </is>
      </c>
      <c r="EQ31" s="210" t="inlineStr">
        <is>
          <t>QTD (USDT)</t>
        </is>
      </c>
      <c r="ER31" s="210" t="inlineStr">
        <is>
          <t>YTD (USDT)</t>
        </is>
      </c>
      <c r="ES31" s="211" t="inlineStr">
        <is>
          <t>ITD (USDT)</t>
        </is>
      </c>
      <c r="EU31" s="209" t="n"/>
      <c r="EV31" s="210" t="n"/>
      <c r="EW31" s="210" t="n"/>
      <c r="EX31" s="210" t="n"/>
      <c r="EY31" s="211" t="n"/>
      <c r="FA31" s="209" t="n"/>
      <c r="FB31" s="210" t="n"/>
      <c r="FC31" s="210" t="n"/>
      <c r="FD31" s="210" t="n"/>
      <c r="FE31" s="211" t="n"/>
      <c r="FG31" s="209" t="n"/>
      <c r="FH31" s="210" t="n"/>
      <c r="FI31" s="210" t="n"/>
      <c r="FJ31" s="210" t="n"/>
      <c r="FK31" s="211" t="n"/>
      <c r="FM31" s="209" t="n"/>
      <c r="FN31" s="210" t="inlineStr">
        <is>
          <t>MTD (USDT)</t>
        </is>
      </c>
      <c r="FO31" s="210" t="inlineStr">
        <is>
          <t>QTD (USDT)</t>
        </is>
      </c>
      <c r="FP31" s="210" t="inlineStr">
        <is>
          <t>YTD (USDT)</t>
        </is>
      </c>
      <c r="FQ31" s="211" t="inlineStr">
        <is>
          <t>ITD (USDT)</t>
        </is>
      </c>
      <c r="FS31" s="209" t="n"/>
      <c r="FT31" s="210" t="inlineStr">
        <is>
          <t>MTD (USDT)</t>
        </is>
      </c>
      <c r="FU31" s="210" t="inlineStr">
        <is>
          <t>QTD (USDT)</t>
        </is>
      </c>
      <c r="FV31" s="210" t="inlineStr">
        <is>
          <t>YTD (USDT)</t>
        </is>
      </c>
      <c r="FW31" s="211" t="inlineStr">
        <is>
          <t>ITD (USDT)</t>
        </is>
      </c>
      <c r="FY31" s="209" t="n"/>
      <c r="FZ31" s="210" t="inlineStr">
        <is>
          <t>MTD (USDT)</t>
        </is>
      </c>
      <c r="GA31" s="210" t="inlineStr">
        <is>
          <t>QTD (USDT)</t>
        </is>
      </c>
      <c r="GB31" s="210" t="inlineStr">
        <is>
          <t>YTD (USDT)</t>
        </is>
      </c>
      <c r="GC31" s="211" t="inlineStr">
        <is>
          <t>ITD (USDT)</t>
        </is>
      </c>
      <c r="GE31" s="209" t="n"/>
      <c r="GF31" s="210" t="inlineStr">
        <is>
          <t>MTD (USDT)</t>
        </is>
      </c>
      <c r="GG31" s="210" t="inlineStr">
        <is>
          <t>QTD (USDT)</t>
        </is>
      </c>
      <c r="GH31" s="210" t="inlineStr">
        <is>
          <t>YTD (USDT)</t>
        </is>
      </c>
      <c r="GI31" s="211" t="inlineStr">
        <is>
          <t>ITD (USDT)</t>
        </is>
      </c>
      <c r="GK31" s="209" t="n"/>
      <c r="GL31" s="210" t="inlineStr">
        <is>
          <t>MTD (USDT)</t>
        </is>
      </c>
      <c r="GM31" s="210" t="inlineStr">
        <is>
          <t>QTD (USDT)</t>
        </is>
      </c>
      <c r="GN31" s="210" t="inlineStr">
        <is>
          <t>YTD (USDT)</t>
        </is>
      </c>
      <c r="GO31" s="211" t="inlineStr">
        <is>
          <t>ITD (USDT)</t>
        </is>
      </c>
      <c r="GQ31" s="209" t="n"/>
      <c r="GR31" s="210" t="inlineStr">
        <is>
          <t>MTD (USDT)</t>
        </is>
      </c>
      <c r="GS31" s="210" t="inlineStr">
        <is>
          <t>QTD (USDT)</t>
        </is>
      </c>
      <c r="GT31" s="210" t="inlineStr">
        <is>
          <t>YTD (USDT)</t>
        </is>
      </c>
      <c r="GU31" s="211" t="inlineStr">
        <is>
          <t>ITD (USDT)</t>
        </is>
      </c>
      <c r="GW31" s="212" t="n"/>
      <c r="GX31" s="213" t="inlineStr">
        <is>
          <t>MTD (USDT)</t>
        </is>
      </c>
      <c r="GY31" s="213" t="inlineStr">
        <is>
          <t>QTD (USDT)</t>
        </is>
      </c>
      <c r="GZ31" s="213" t="inlineStr">
        <is>
          <t>YTD (USDT)</t>
        </is>
      </c>
      <c r="HA31" s="214" t="inlineStr">
        <is>
          <t>ITD (USDT)</t>
        </is>
      </c>
      <c r="HC31" s="209" t="n"/>
      <c r="HD31" s="210" t="n"/>
      <c r="HE31" s="210" t="n"/>
      <c r="HF31" s="210" t="n"/>
      <c r="HG31" s="211" t="n"/>
      <c r="HI31" s="212" t="n"/>
      <c r="HJ31" s="213" t="inlineStr">
        <is>
          <t>MTD (USDT)</t>
        </is>
      </c>
      <c r="HK31" s="213" t="inlineStr">
        <is>
          <t>QTD (USDT)</t>
        </is>
      </c>
      <c r="HL31" s="213" t="inlineStr">
        <is>
          <t>YTD (USDT)</t>
        </is>
      </c>
      <c r="HM31" s="214" t="inlineStr">
        <is>
          <t>ITD (USDT)</t>
        </is>
      </c>
      <c r="HO31" s="212" t="n"/>
      <c r="HP31" s="213" t="inlineStr">
        <is>
          <t>MTD (USDT)</t>
        </is>
      </c>
      <c r="HQ31" s="213" t="inlineStr">
        <is>
          <t>QTD (USDT)</t>
        </is>
      </c>
      <c r="HR31" s="213" t="inlineStr">
        <is>
          <t>YTD (USDT)</t>
        </is>
      </c>
      <c r="HS31" s="214" t="inlineStr">
        <is>
          <t>ITD (USDT)</t>
        </is>
      </c>
      <c r="HU31" s="209" t="n"/>
      <c r="HV31" s="210" t="n"/>
      <c r="HW31" s="210" t="n"/>
      <c r="HX31" s="210" t="n"/>
      <c r="HY31" s="211" t="n"/>
      <c r="IA31" s="209" t="n"/>
      <c r="IB31" s="210" t="n"/>
      <c r="IC31" s="210" t="n"/>
      <c r="ID31" s="210" t="n"/>
      <c r="IE31" s="211" t="n"/>
      <c r="IG31" s="209" t="n"/>
      <c r="IH31" s="210" t="n"/>
      <c r="II31" s="210" t="n"/>
      <c r="IJ31" s="210" t="n"/>
      <c r="IK31" s="211" t="n"/>
      <c r="IM31" s="209" t="n"/>
      <c r="IN31" s="210" t="inlineStr">
        <is>
          <t>MTD (USDT)</t>
        </is>
      </c>
      <c r="IO31" s="210" t="inlineStr">
        <is>
          <t>QTD (USDT)</t>
        </is>
      </c>
      <c r="IP31" s="210" t="inlineStr">
        <is>
          <t>YTD (USDT)</t>
        </is>
      </c>
      <c r="IQ31" s="211" t="inlineStr">
        <is>
          <t>ITD (USDT)</t>
        </is>
      </c>
      <c r="IS31" s="209" t="n"/>
      <c r="IT31" s="210" t="inlineStr">
        <is>
          <t>MTD (USDT)</t>
        </is>
      </c>
      <c r="IU31" s="210" t="inlineStr">
        <is>
          <t>QTD (USDT)</t>
        </is>
      </c>
      <c r="IV31" s="210" t="inlineStr">
        <is>
          <t>YTD (USDT)</t>
        </is>
      </c>
      <c r="IW31" s="211" t="inlineStr">
        <is>
          <t>ITD (USDT)</t>
        </is>
      </c>
      <c r="IY31" s="209" t="n"/>
      <c r="IZ31" s="210" t="n"/>
      <c r="JA31" s="210" t="n"/>
      <c r="JB31" s="210" t="n"/>
      <c r="JC31" s="211" t="n"/>
    </row>
    <row r="32" ht="15.75" customHeight="1" s="252">
      <c r="A32" s="183" t="inlineStr">
        <is>
          <t>Beginning Balance</t>
        </is>
      </c>
      <c r="B32" s="215">
        <f t="array" ref="B32">index('USDT Yield Fund'!$A$8:$LC$1012,MATCH(A$10,'USDT Yield Fund'!$A$8:$A$1012,0),MATCH(IF(E30&gt;$D$2,E30,$D$2),'USDT Yield Fund'!$A$8:$LC$8,0))</f>
        <v/>
      </c>
      <c r="C32" s="215">
        <f t="array" ref="C32">index('USDT Yield Fund'!$A$8:$LC$1012,MATCH(A$10,'USDT Yield Fund'!$A$8:$A$1012,0),MATCH(IF(E30&gt;$D$3,E30,$D$3),'USDT Yield Fund'!$A$8:$LC$8,0))</f>
        <v/>
      </c>
      <c r="D32" s="215">
        <f t="array" ref="D32">index('USDT Yield Fund'!$A$8:$LC$1012,MATCH(A$10,'USDT Yield Fund'!$A$8:$A$1012,0),MATCH(IF(E30&gt;$D$4,E30,$D$4),'USDT Yield Fund'!$A$8:$LC$8,0))</f>
        <v/>
      </c>
      <c r="E32" s="216">
        <f t="array" ref="E32">index('USDT Yield Fund'!$A$8:$LC$1012,MATCH(A$10,'USDT Yield Fund'!$A$8:$A$1012,0),MATCH(E30,'USDT Yield Fund'!$A$8:$LC$8,0))</f>
        <v/>
      </c>
      <c r="G32" s="183" t="n"/>
      <c r="H32" s="215" t="n"/>
      <c r="I32" s="215" t="n"/>
      <c r="J32" s="215" t="n"/>
      <c r="K32" s="216" t="n"/>
      <c r="M32" s="183" t="n"/>
      <c r="N32" s="215" t="n"/>
      <c r="O32" s="215" t="n"/>
      <c r="P32" s="215" t="n"/>
      <c r="Q32" s="216" t="n"/>
      <c r="S32" s="183" t="inlineStr">
        <is>
          <t>Beginning Balance</t>
        </is>
      </c>
      <c r="T32" s="215">
        <f t="array" ref="T32">index('USDT Yield Fund'!$A$8:$LC$1012,MATCH(S$10,'USDT Yield Fund'!$A$8:$A$1012,0),MATCH(IF(W30&gt;$D$2,W30,$D$2),'USDT Yield Fund'!$A$8:$LC$8,0))</f>
        <v/>
      </c>
      <c r="U32" s="215">
        <f t="array" ref="U32">index('USDT Yield Fund'!$A$8:$LC$1012,MATCH(S$10,'USDT Yield Fund'!$A$8:$A$1012,0),MATCH(IF(W30&gt;$D$3,W30,$D$3),'USDT Yield Fund'!$A$8:$LC$8,0))</f>
        <v/>
      </c>
      <c r="V32" s="215">
        <f t="array" ref="V32">index('USDT Yield Fund'!$A$8:$LC$1012,MATCH(S$10,'USDT Yield Fund'!$A$8:$A$1012,0),MATCH(IF(W30&gt;$D$4,W30,$D$4),'USDT Yield Fund'!$A$8:$LC$8,0))</f>
        <v/>
      </c>
      <c r="W32" s="216">
        <f t="array" ref="W32">index('USDT Yield Fund'!$A$8:$LC$1012,MATCH(S$10,'USDT Yield Fund'!$A$8:$A$1012,0),MATCH(W30,'USDT Yield Fund'!$A$8:$LC$8,0))</f>
        <v/>
      </c>
      <c r="Y32" s="183" t="n"/>
      <c r="Z32" s="215" t="n"/>
      <c r="AA32" s="215" t="n"/>
      <c r="AB32" s="215" t="n"/>
      <c r="AC32" s="216" t="n"/>
      <c r="AE32" s="183" t="inlineStr">
        <is>
          <t>Beginning Balance</t>
        </is>
      </c>
      <c r="AF32" s="215">
        <f t="array" ref="AF32">index('USDT Yield Fund'!$A$8:$LC$1012,MATCH(AE$10,'USDT Yield Fund'!$A$8:$A$1012,0),MATCH(IF(AI30&gt;$D$2,AI30,$D$2),'USDT Yield Fund'!$A$8:$LC$8,0))</f>
        <v/>
      </c>
      <c r="AG32" s="215">
        <f t="array" ref="AG32">index('USDT Yield Fund'!$A$8:$LC$1012,MATCH(AE$10,'USDT Yield Fund'!$A$8:$A$1012,0),MATCH(IF(AI30&gt;$D$3,AI30,$D$3),'USDT Yield Fund'!$A$8:$LC$8,0))</f>
        <v/>
      </c>
      <c r="AH32" s="215">
        <f t="array" ref="AH32">index('USDT Yield Fund'!$A$8:$LC$1012,MATCH(AE$10,'USDT Yield Fund'!$A$8:$A$1012,0),MATCH(IF(AI30&gt;$D$4,AI30,$D$4),'USDT Yield Fund'!$A$8:$LC$8,0))</f>
        <v/>
      </c>
      <c r="AI32" s="216">
        <f t="array" ref="AI32">index('USDT Yield Fund'!$A$8:$LC$1012,MATCH(AE$10,'USDT Yield Fund'!$A$8:$A$1012,0),MATCH(AI30,'USDT Yield Fund'!$A$8:$LC$8,0))</f>
        <v/>
      </c>
      <c r="AK32" s="183" t="n"/>
      <c r="AL32" s="215" t="n"/>
      <c r="AM32" s="215" t="n"/>
      <c r="AN32" s="215" t="n"/>
      <c r="AO32" s="216" t="n"/>
      <c r="AQ32" s="183" t="n"/>
      <c r="AR32" s="215" t="n"/>
      <c r="AS32" s="215" t="n"/>
      <c r="AT32" s="215" t="n"/>
      <c r="AU32" s="216" t="n"/>
      <c r="AW32" s="183" t="inlineStr">
        <is>
          <t>Beginning Balance</t>
        </is>
      </c>
      <c r="AX32" s="215">
        <f t="array" ref="AX32">index('USDT Yield Fund'!$A$8:$LC$1012,MATCH(AW$10,'USDT Yield Fund'!$A$8:$A$1012,0),MATCH(IF(BA30&gt;$D$2,BA30,$D$2),'USDT Yield Fund'!$A$8:$LC$8,0))</f>
        <v/>
      </c>
      <c r="AY32" s="215">
        <f t="array" ref="AY32">index('USDT Yield Fund'!$A$8:$LC$1012,MATCH(AW$10,'USDT Yield Fund'!$A$8:$A$1012,0),MATCH(IF(BA30&gt;$D$3,BA30,$D$3),'USDT Yield Fund'!$A$8:$LC$8,0))</f>
        <v/>
      </c>
      <c r="AZ32" s="215">
        <f t="array" ref="AZ32">index('USDT Yield Fund'!$A$8:$LC$1012,MATCH(AW$10,'USDT Yield Fund'!$A$8:$A$1012,0),MATCH(IF(BA30&gt;$D$4,BA30,$D$4),'USDT Yield Fund'!$A$8:$LC$8,0))</f>
        <v/>
      </c>
      <c r="BA32" s="216">
        <f t="array" ref="BA32">index('USDT Yield Fund'!$A$8:$LC$1012,MATCH(AW$10,'USDT Yield Fund'!$A$8:$A$1012,0),MATCH(BA30,'USDT Yield Fund'!$A$8:$LC$8,0))</f>
        <v/>
      </c>
      <c r="BC32" s="183" t="inlineStr">
        <is>
          <t>Beginning Balance</t>
        </is>
      </c>
      <c r="BD32" s="215">
        <f t="array" ref="BD32">index('USDT Yield Fund'!$A$8:$LC$1012,MATCH(BC$10,'USDT Yield Fund'!$A$8:$A$1012,0),MATCH(IF(BG30&gt;$D$2,BG30,$D$2),'USDT Yield Fund'!$A$8:$LC$8,0))</f>
        <v/>
      </c>
      <c r="BE32" s="215">
        <f t="array" ref="BE32">index('USDT Yield Fund'!$A$8:$LC$1012,MATCH(BC$10,'USDT Yield Fund'!$A$8:$A$1012,0),MATCH(IF(BG30&gt;$D$3,BG30,$D$3),'USDT Yield Fund'!$A$8:$LC$8,0))</f>
        <v/>
      </c>
      <c r="BF32" s="215">
        <f t="array" ref="BF32">index('USDT Yield Fund'!$A$8:$LC$1012,MATCH(BC$10,'USDT Yield Fund'!$A$8:$A$1012,0),MATCH(IF(BG30&gt;$D$4,BG30,$D$4),'USDT Yield Fund'!$A$8:$LC$8,0))</f>
        <v/>
      </c>
      <c r="BG32" s="216">
        <f t="array" ref="BG32">index('USDT Yield Fund'!$A$8:$LC$1012,MATCH(BC$10,'USDT Yield Fund'!$A$8:$A$1012,0),MATCH(BG30,'USDT Yield Fund'!$A$8:$LC$8,0))</f>
        <v/>
      </c>
      <c r="BI32" s="183" t="n"/>
      <c r="BJ32" s="215" t="n"/>
      <c r="BK32" s="215" t="n"/>
      <c r="BL32" s="215" t="n"/>
      <c r="BM32" s="216" t="n"/>
      <c r="BO32" s="183" t="inlineStr">
        <is>
          <t>Beginning Balance</t>
        </is>
      </c>
      <c r="BP32" s="215">
        <f t="array" ref="BP32">index('USDT Yield Fund'!$A$8:$LC$1012,MATCH(BO$10,'USDT Yield Fund'!$A$8:$A$1012,0),MATCH(IF(BS30&gt;$D$2,BS30,$D$2),'USDT Yield Fund'!$A$8:$LC$8,0))</f>
        <v/>
      </c>
      <c r="BQ32" s="215">
        <f t="array" ref="BQ32">index('USDT Yield Fund'!$A$8:$LC$1012,MATCH(BO$10,'USDT Yield Fund'!$A$8:$A$1012,0),MATCH(IF(BS30&gt;$D$3,BS30,$D$3),'USDT Yield Fund'!$A$8:$LC$8,0))</f>
        <v/>
      </c>
      <c r="BR32" s="215">
        <f t="array" ref="BR32">index('USDT Yield Fund'!$A$8:$LC$1012,MATCH(BO$10,'USDT Yield Fund'!$A$8:$A$1012,0),MATCH(IF(BS30&gt;$D$4,BS30,$D$4),'USDT Yield Fund'!$A$8:$LC$8,0))</f>
        <v/>
      </c>
      <c r="BS32" s="216">
        <f t="array" ref="BS32">index('USDT Yield Fund'!$A$8:$LC$1012,MATCH(BO$10,'USDT Yield Fund'!$A$8:$A$1012,0),MATCH(BS30,'USDT Yield Fund'!$A$8:$LC$8,0))</f>
        <v/>
      </c>
      <c r="BU32" s="183" t="inlineStr">
        <is>
          <t>Beginning Balance</t>
        </is>
      </c>
      <c r="BV32" s="215">
        <f t="array" ref="BV32">index('USDT Yield Fund'!$A$8:$LC$1012,MATCH(BU$10,'USDT Yield Fund'!$A$8:$A$1012,0),MATCH(IF(BY30&gt;$D$2,BY30,$D$2),'USDT Yield Fund'!$A$8:$LC$8,0))</f>
        <v/>
      </c>
      <c r="BW32" s="215">
        <f t="array" ref="BW32">index('USDT Yield Fund'!$A$8:$LC$1012,MATCH(BU$10,'USDT Yield Fund'!$A$8:$A$1012,0),MATCH(IF(BY30&gt;$D$3,BY30,$D$3),'USDT Yield Fund'!$A$8:$LC$8,0))</f>
        <v/>
      </c>
      <c r="BX32" s="215">
        <f t="array" ref="BX32">index('USDT Yield Fund'!$A$8:$LC$1012,MATCH(BU$10,'USDT Yield Fund'!$A$8:$A$1012,0),MATCH(IF(BY30&gt;$D$4,BY30,$D$4),'USDT Yield Fund'!$A$8:$LC$8,0))</f>
        <v/>
      </c>
      <c r="BY32" s="216">
        <f t="array" ref="BY32">index('USDT Yield Fund'!$A$8:$LC$1012,MATCH(BU$10,'USDT Yield Fund'!$A$8:$A$1012,0),MATCH(BY30,'USDT Yield Fund'!$A$8:$LC$8,0))</f>
        <v/>
      </c>
      <c r="CA32" s="183" t="inlineStr">
        <is>
          <t>Beginning Balance</t>
        </is>
      </c>
      <c r="CB32" s="215">
        <f t="array" ref="CB32">index('USDT Yield Fund'!$A$8:$LC$1012,MATCH(CA$10,'USDT Yield Fund'!$A$8:$A$1012,0),MATCH(IF(CE30&gt;$D$2,CE30,$D$2),'USDT Yield Fund'!$A$8:$LC$8,0))</f>
        <v/>
      </c>
      <c r="CC32" s="215">
        <f t="array" ref="CC32">index('USDT Yield Fund'!$A$8:$LC$1012,MATCH(CA$10,'USDT Yield Fund'!$A$8:$A$1012,0),MATCH(IF(CE30&gt;$D$3,CE30,$D$3),'USDT Yield Fund'!$A$8:$LC$8,0))</f>
        <v/>
      </c>
      <c r="CD32" s="215">
        <f t="array" ref="CD32">index('USDT Yield Fund'!$A$8:$LC$1012,MATCH(CA$10,'USDT Yield Fund'!$A$8:$A$1012,0),MATCH(IF(CE30&gt;$D$4,CE30,$D$4),'USDT Yield Fund'!$A$8:$LC$8,0))</f>
        <v/>
      </c>
      <c r="CE32" s="216">
        <f t="array" ref="CE32">index('USDT Yield Fund'!$A$8:$LC$1012,MATCH(CA$10,'USDT Yield Fund'!$A$8:$A$1012,0),MATCH(CE30,'USDT Yield Fund'!$A$8:$LC$8,0))</f>
        <v/>
      </c>
      <c r="CG32" s="183" t="inlineStr">
        <is>
          <t>Beginning Balance</t>
        </is>
      </c>
      <c r="CH32" s="215">
        <f t="array" ref="CH32">index('USDT Yield Fund'!$A$8:$LC$1012,MATCH(CG$10,'USDT Yield Fund'!$A$8:$A$1012,0),MATCH(IF(CK30&gt;$D$2,CK30,$D$2),'USDT Yield Fund'!$A$8:$LC$8,0))</f>
        <v/>
      </c>
      <c r="CI32" s="215">
        <f t="array" ref="CI32">index('USDT Yield Fund'!$A$8:$LC$1012,MATCH(CG$10,'USDT Yield Fund'!$A$8:$A$1012,0),MATCH(IF(CK30&gt;$D$3,CK30,$D$3),'USDT Yield Fund'!$A$8:$LC$8,0))</f>
        <v/>
      </c>
      <c r="CJ32" s="215">
        <f t="array" ref="CJ32">index('USDT Yield Fund'!$A$8:$LC$1012,MATCH(CG$10,'USDT Yield Fund'!$A$8:$A$1012,0),MATCH(IF(CK30&gt;$D$4,CK30,$D$4),'USDT Yield Fund'!$A$8:$LC$8,0))</f>
        <v/>
      </c>
      <c r="CK32" s="216">
        <f t="array" ref="CK32">index('USDT Yield Fund'!$A$8:$LC$1012,MATCH(CG$10,'USDT Yield Fund'!$A$8:$A$1012,0),MATCH(CK30,'USDT Yield Fund'!$A$8:$LC$8,0))</f>
        <v/>
      </c>
      <c r="CM32" s="183" t="inlineStr">
        <is>
          <t>Beginning Balance</t>
        </is>
      </c>
      <c r="CN32" s="215">
        <f t="array" ref="CN32">index('USDT Yield Fund'!$A$8:$LC$1012,MATCH(CM$10,'USDT Yield Fund'!$A$8:$A$1012,0),MATCH(IF(CQ30&gt;$D$2,CQ30,$D$2),'USDT Yield Fund'!$A$8:$LC$8,0))</f>
        <v/>
      </c>
      <c r="CO32" s="215">
        <f t="array" ref="CO32">index('USDT Yield Fund'!$A$8:$LC$1012,MATCH(CM$10,'USDT Yield Fund'!$A$8:$A$1012,0),MATCH(IF(CQ30&gt;$D$3,CQ30,$D$3),'USDT Yield Fund'!$A$8:$LC$8,0))</f>
        <v/>
      </c>
      <c r="CP32" s="215">
        <f t="array" ref="CP32">index('USDT Yield Fund'!$A$8:$LC$1012,MATCH(CM$10,'USDT Yield Fund'!$A$8:$A$1012,0),MATCH(IF(CQ30&gt;$D$4,CQ30,$D$4),'USDT Yield Fund'!$A$8:$LC$8,0))</f>
        <v/>
      </c>
      <c r="CQ32" s="216">
        <f t="array" ref="CQ32">index('USDT Yield Fund'!$A$8:$LC$1012,MATCH(CM$10,'USDT Yield Fund'!$A$8:$A$1012,0),MATCH(CQ30,'USDT Yield Fund'!$A$8:$LC$8,0))</f>
        <v/>
      </c>
      <c r="CS32" s="183" t="n"/>
      <c r="CT32" s="215" t="n"/>
      <c r="CU32" s="215" t="n"/>
      <c r="CV32" s="215" t="n"/>
      <c r="CW32" s="216" t="n"/>
      <c r="CY32" s="183" t="inlineStr">
        <is>
          <t>Beginning Balance</t>
        </is>
      </c>
      <c r="CZ32" s="215">
        <f t="array" ref="CZ32">index('USDT Yield Fund'!$A$8:$LC$1012,MATCH(CY$10,'USDT Yield Fund'!$A$8:$A$1012,0),MATCH(IF(DC30&gt;$D$2,DC30,$D$2),'USDT Yield Fund'!$A$8:$LC$8,0))</f>
        <v/>
      </c>
      <c r="DA32" s="215">
        <f t="array" ref="DA32">index('USDT Yield Fund'!$A$8:$LC$1012,MATCH(CY$10,'USDT Yield Fund'!$A$8:$A$1012,0),MATCH(IF(DC30&gt;$D$3,DC30,$D$3),'USDT Yield Fund'!$A$8:$LC$8,0))</f>
        <v/>
      </c>
      <c r="DB32" s="215">
        <f t="array" ref="DB32">index('USDT Yield Fund'!$A$8:$LC$1012,MATCH(CY$10,'USDT Yield Fund'!$A$8:$A$1012,0),MATCH(IF(DC30&gt;$D$4,DC30,$D$4),'USDT Yield Fund'!$A$8:$LC$8,0))</f>
        <v/>
      </c>
      <c r="DC32" s="216">
        <f t="array" ref="DC32">index('USDT Yield Fund'!$A$8:$LC$1012,MATCH(CY$10,'USDT Yield Fund'!$A$8:$A$1012,0),MATCH(DC30,'USDT Yield Fund'!$A$8:$LC$8,0))</f>
        <v/>
      </c>
      <c r="DE32" s="183" t="inlineStr">
        <is>
          <t>Beginning Balance</t>
        </is>
      </c>
      <c r="DF32" s="215">
        <f t="array" ref="DF32">index('USDT Yield Fund'!$A$8:$LC$1012,MATCH(DE$10,'USDT Yield Fund'!$A$8:$A$1012,0),MATCH(IF(DI30&gt;$D$2,DI30,$D$2),'USDT Yield Fund'!$A$8:$LC$8,0))</f>
        <v/>
      </c>
      <c r="DG32" s="215">
        <f t="array" ref="DG32">index('USDT Yield Fund'!$A$8:$LC$1012,MATCH(DE$10,'USDT Yield Fund'!$A$8:$A$1012,0),MATCH(IF(DI30&gt;$D$3,DI30,$D$3),'USDT Yield Fund'!$A$8:$LC$8,0))</f>
        <v/>
      </c>
      <c r="DH32" s="215">
        <f t="array" ref="DH32">index('USDT Yield Fund'!$A$8:$LC$1012,MATCH(DE$10,'USDT Yield Fund'!$A$8:$A$1012,0),MATCH(IF(DI30&gt;$D$4,DI30,$D$4),'USDT Yield Fund'!$A$8:$LC$8,0))</f>
        <v/>
      </c>
      <c r="DI32" s="216">
        <f t="array" ref="DI32">index('USDT Yield Fund'!$A$8:$LC$1012,MATCH(DE$10,'USDT Yield Fund'!$A$8:$A$1012,0),MATCH(DI30,'USDT Yield Fund'!$A$8:$LC$8,0))</f>
        <v/>
      </c>
      <c r="DK32" s="183" t="inlineStr">
        <is>
          <t>Beginning Balance</t>
        </is>
      </c>
      <c r="DL32" s="215">
        <f t="array" ref="DL32">index('USDT Yield Fund'!$A$8:$LC$1012,MATCH(DK$10,'USDT Yield Fund'!$A$8:$A$1012,0),MATCH(IF(DO30&gt;$D$2,DO30,$D$2),'USDT Yield Fund'!$A$8:$LC$8,0))</f>
        <v/>
      </c>
      <c r="DM32" s="215">
        <f t="array" ref="DM32">index('USDT Yield Fund'!$A$8:$LC$1012,MATCH(DK$10,'USDT Yield Fund'!$A$8:$A$1012,0),MATCH(IF(DO30&gt;$D$3,DO30,$D$3),'USDT Yield Fund'!$A$8:$LC$8,0))</f>
        <v/>
      </c>
      <c r="DN32" s="215">
        <f t="array" ref="DN32">index('USDT Yield Fund'!$A$8:$LC$1012,MATCH(DK$10,'USDT Yield Fund'!$A$8:$A$1012,0),MATCH(IF(DO30&gt;$D$4,DO30,$D$4),'USDT Yield Fund'!$A$8:$LC$8,0))</f>
        <v/>
      </c>
      <c r="DO32" s="216">
        <f t="array" ref="DO32">index('USDT Yield Fund'!$A$8:$LC$1012,MATCH(DK$10,'USDT Yield Fund'!$A$8:$A$1012,0),MATCH(DO30,'USDT Yield Fund'!$A$8:$LC$8,0))</f>
        <v/>
      </c>
      <c r="DQ32" s="183" t="inlineStr">
        <is>
          <t>Beginning Balance</t>
        </is>
      </c>
      <c r="DR32" s="215">
        <f t="array" ref="DR32">index('USDT Yield Fund'!$A$8:$LC$1012,MATCH(DQ$10,'USDT Yield Fund'!$A$8:$A$1012,0),MATCH(IF(DU30&gt;$D$2,DU30,$D$2),'USDT Yield Fund'!$A$8:$LC$8,0))</f>
        <v/>
      </c>
      <c r="DS32" s="215">
        <f t="array" ref="DS32">index('USDT Yield Fund'!$A$8:$LC$1012,MATCH(DQ$10,'USDT Yield Fund'!$A$8:$A$1012,0),MATCH(IF(DU30&gt;$D$3,DU30,$D$3),'USDT Yield Fund'!$A$8:$LC$8,0))</f>
        <v/>
      </c>
      <c r="DT32" s="215">
        <f t="array" ref="DT32">index('USDT Yield Fund'!$A$8:$LC$1012,MATCH(DQ$10,'USDT Yield Fund'!$A$8:$A$1012,0),MATCH(IF(DU30&gt;$D$4,DU30,$D$4),'USDT Yield Fund'!$A$8:$LC$8,0))</f>
        <v/>
      </c>
      <c r="DU32" s="216">
        <f t="array" ref="DU32">index('USDT Yield Fund'!$A$8:$LC$1012,MATCH(DQ$10,'USDT Yield Fund'!$A$8:$A$1012,0),MATCH(DU30,'USDT Yield Fund'!$A$8:$LC$8,0))</f>
        <v/>
      </c>
      <c r="DW32" s="183" t="n"/>
      <c r="DX32" s="215" t="n"/>
      <c r="DY32" s="215" t="n"/>
      <c r="DZ32" s="215" t="n"/>
      <c r="EA32" s="216" t="n"/>
      <c r="EC32" s="183" t="n"/>
      <c r="ED32" s="215" t="n"/>
      <c r="EE32" s="215" t="n"/>
      <c r="EF32" s="215" t="n"/>
      <c r="EG32" s="216" t="n"/>
      <c r="EI32" s="183" t="inlineStr">
        <is>
          <t>Beginning Balance</t>
        </is>
      </c>
      <c r="EJ32" s="215">
        <f t="array" ref="EJ32">index('USDT Yield Fund'!$A$8:$LC$1012,MATCH(EI$10,'USDT Yield Fund'!$A$8:$A$1012,0),MATCH(IF(EM30&gt;$D$2,EM30,$D$2),'USDT Yield Fund'!$A$8:$LC$8,0))</f>
        <v/>
      </c>
      <c r="EK32" s="215">
        <f t="array" ref="EK32">index('USDT Yield Fund'!$A$8:$LC$1012,MATCH(EI$10,'USDT Yield Fund'!$A$8:$A$1012,0),MATCH(IF(EM30&gt;$D$3,EM30,$D$3),'USDT Yield Fund'!$A$8:$LC$8,0))</f>
        <v/>
      </c>
      <c r="EL32" s="215">
        <f t="array" ref="EL32">index('USDT Yield Fund'!$A$8:$LC$1012,MATCH(EI$10,'USDT Yield Fund'!$A$8:$A$1012,0),MATCH(IF(EM30&gt;$D$4,EM30,$D$4),'USDT Yield Fund'!$A$8:$LC$8,0))</f>
        <v/>
      </c>
      <c r="EM32" s="216">
        <f t="array" ref="EM32">index('USDT Yield Fund'!$A$8:$LC$1012,MATCH(EI$10,'USDT Yield Fund'!$A$8:$A$1012,0),MATCH(EM30,'USDT Yield Fund'!$A$8:$LC$8,0))</f>
        <v/>
      </c>
      <c r="EO32" s="183" t="inlineStr">
        <is>
          <t>Beginning Balance</t>
        </is>
      </c>
      <c r="EP32" s="215">
        <f t="array" ref="EP32">index('USDT Yield Fund'!$A$8:$LC$1012,MATCH(EO$10,'USDT Yield Fund'!$A$8:$A$1012,0),MATCH(IF(ES30&gt;$D$2,ES30,$D$2),'USDT Yield Fund'!$A$8:$LC$8,0))</f>
        <v/>
      </c>
      <c r="EQ32" s="215">
        <f t="array" ref="EQ32">index('USDT Yield Fund'!$A$8:$LC$1012,MATCH(EO$10,'USDT Yield Fund'!$A$8:$A$1012,0),MATCH(IF(ES30&gt;$D$3,ES30,$D$3),'USDT Yield Fund'!$A$8:$LC$8,0))</f>
        <v/>
      </c>
      <c r="ER32" s="215">
        <f t="array" ref="ER32">index('USDT Yield Fund'!$A$8:$LC$1012,MATCH(EO$10,'USDT Yield Fund'!$A$8:$A$1012,0),MATCH(IF(ES30&gt;$D$4,ES30,$D$4),'USDT Yield Fund'!$A$8:$LC$8,0))</f>
        <v/>
      </c>
      <c r="ES32" s="216">
        <f t="array" ref="ES32">index('USDT Yield Fund'!$A$8:$LC$1012,MATCH(EO$10,'USDT Yield Fund'!$A$8:$A$1012,0),MATCH(ES30,'USDT Yield Fund'!$A$8:$LC$8,0))</f>
        <v/>
      </c>
      <c r="EU32" s="183" t="n"/>
      <c r="EV32" s="215" t="n"/>
      <c r="EW32" s="215" t="n"/>
      <c r="EX32" s="215" t="n"/>
      <c r="EY32" s="216" t="n"/>
      <c r="FA32" s="183" t="n"/>
      <c r="FB32" s="215" t="n"/>
      <c r="FC32" s="215" t="n"/>
      <c r="FD32" s="215" t="n"/>
      <c r="FE32" s="216" t="n"/>
      <c r="FG32" s="183" t="n"/>
      <c r="FH32" s="215" t="n"/>
      <c r="FI32" s="215" t="n"/>
      <c r="FJ32" s="215" t="n"/>
      <c r="FK32" s="216" t="n"/>
      <c r="FM32" s="183" t="inlineStr">
        <is>
          <t>Beginning Balance</t>
        </is>
      </c>
      <c r="FN32" s="215">
        <f t="array" ref="FN32">index('USDT Yield Fund'!$A$8:$LC$1012,MATCH(FM$10,'USDT Yield Fund'!$A$8:$A$1012,0),MATCH(IF(FQ30&gt;$D$2,FQ30,$D$2),'USDT Yield Fund'!$A$8:$LC$8,0))</f>
        <v/>
      </c>
      <c r="FO32" s="215">
        <f t="array" ref="FO32">index('USDT Yield Fund'!$A$8:$LC$1012,MATCH(FM$10,'USDT Yield Fund'!$A$8:$A$1012,0),MATCH(IF(FQ30&gt;$D$3,FQ30,$D$3),'USDT Yield Fund'!$A$8:$LC$8,0))</f>
        <v/>
      </c>
      <c r="FP32" s="215">
        <f t="array" ref="FP32">index('USDT Yield Fund'!$A$8:$LC$1012,MATCH(FM$10,'USDT Yield Fund'!$A$8:$A$1012,0),MATCH(IF(FQ30&gt;$D$4,FQ30,$D$4),'USDT Yield Fund'!$A$8:$LC$8,0))</f>
        <v/>
      </c>
      <c r="FQ32" s="216">
        <f t="array" ref="FQ32">index('USDT Yield Fund'!$A$8:$LC$1012,MATCH(FM$10,'USDT Yield Fund'!$A$8:$A$1012,0),MATCH(FQ30,'USDT Yield Fund'!$A$8:$LC$8,0))</f>
        <v/>
      </c>
      <c r="FS32" s="183" t="inlineStr">
        <is>
          <t>Beginning Balance</t>
        </is>
      </c>
      <c r="FT32" s="215">
        <f t="array" ref="FT32">index('USDT Yield Fund'!$A$8:$LC$1012,MATCH(FS$10,'USDT Yield Fund'!$A$8:$A$1012,0),MATCH(IF(FW30&gt;$D$2,FW30,$D$2),'USDT Yield Fund'!$A$8:$LC$8,0))</f>
        <v/>
      </c>
      <c r="FU32" s="215">
        <f t="array" ref="FU32">index('USDT Yield Fund'!$A$8:$LC$1012,MATCH(FS$10,'USDT Yield Fund'!$A$8:$A$1012,0),MATCH(IF(FW30&gt;$D$3,FW30,$D$3),'USDT Yield Fund'!$A$8:$LC$8,0))</f>
        <v/>
      </c>
      <c r="FV32" s="215">
        <f t="array" ref="FV32">index('USDT Yield Fund'!$A$8:$LC$1012,MATCH(FS$10,'USDT Yield Fund'!$A$8:$A$1012,0),MATCH(IF(FW30&gt;$D$4,FW30,$D$4),'USDT Yield Fund'!$A$8:$LC$8,0))</f>
        <v/>
      </c>
      <c r="FW32" s="216">
        <f t="array" ref="FW32">index('USDT Yield Fund'!$A$8:$LC$1012,MATCH(FS$10,'USDT Yield Fund'!$A$8:$A$1012,0),MATCH(FW30,'USDT Yield Fund'!$A$8:$LC$8,0))</f>
        <v/>
      </c>
      <c r="FY32" s="183" t="inlineStr">
        <is>
          <t>Beginning Balance</t>
        </is>
      </c>
      <c r="FZ32" s="215">
        <f t="array" ref="FZ32">index('USDT Yield Fund'!$A$8:$LC$1012,MATCH(FY$10,'USDT Yield Fund'!$A$8:$A$1012,0),MATCH(IF(GC30&gt;$D$2,GC30,$D$2),'USDT Yield Fund'!$A$8:$LC$8,0))</f>
        <v/>
      </c>
      <c r="GA32" s="215">
        <f t="array" ref="GA32">index('USDT Yield Fund'!$A$8:$LC$1012,MATCH(FY$10,'USDT Yield Fund'!$A$8:$A$1012,0),MATCH(IF(GC30&gt;$D$3,GC30,$D$3),'USDT Yield Fund'!$A$8:$LC$8,0))</f>
        <v/>
      </c>
      <c r="GB32" s="215">
        <f t="array" ref="GB32">index('USDT Yield Fund'!$A$8:$LC$1012,MATCH(FY$10,'USDT Yield Fund'!$A$8:$A$1012,0),MATCH(IF(GC30&gt;$D$4,GC30,$D$4),'USDT Yield Fund'!$A$8:$LC$8,0))</f>
        <v/>
      </c>
      <c r="GC32" s="216">
        <f t="array" ref="GC32">index('USDT Yield Fund'!$A$8:$LC$1012,MATCH(FY$10,'USDT Yield Fund'!$A$8:$A$1012,0),MATCH(GC30,'USDT Yield Fund'!$A$8:$LC$8,0))</f>
        <v/>
      </c>
      <c r="GE32" s="183" t="inlineStr">
        <is>
          <t>Beginning Balance</t>
        </is>
      </c>
      <c r="GF32" s="215">
        <f t="array" ref="GF32">index('USDT Yield Fund'!$A$8:$LC$1012,MATCH(GE$10,'USDT Yield Fund'!$A$8:$A$1012,0),MATCH(IF(GI30&gt;$D$2,GI30,$D$2),'USDT Yield Fund'!$A$8:$LC$8,0))</f>
        <v/>
      </c>
      <c r="GG32" s="215">
        <f t="array" ref="GG32">index('USDT Yield Fund'!$A$8:$LC$1012,MATCH(GE$10,'USDT Yield Fund'!$A$8:$A$1012,0),MATCH(IF(GI30&gt;$D$3,GI30,$D$3),'USDT Yield Fund'!$A$8:$LC$8,0))</f>
        <v/>
      </c>
      <c r="GH32" s="215">
        <f t="array" ref="GH32">index('USDT Yield Fund'!$A$8:$LC$1012,MATCH(GE$10,'USDT Yield Fund'!$A$8:$A$1012,0),MATCH(IF(GI30&gt;$D$4,GI30,$D$4),'USDT Yield Fund'!$A$8:$LC$8,0))</f>
        <v/>
      </c>
      <c r="GI32" s="216">
        <f t="array" ref="GI32">index('USDT Yield Fund'!$A$8:$LC$1012,MATCH(GE$10,'USDT Yield Fund'!$A$8:$A$1012,0),MATCH(GI30,'USDT Yield Fund'!$A$8:$LC$8,0))</f>
        <v/>
      </c>
      <c r="GK32" s="183" t="inlineStr">
        <is>
          <t>Beginning Balance</t>
        </is>
      </c>
      <c r="GL32" s="215">
        <f t="array" ref="GL32">index('USDT Yield Fund'!$A$8:$LC$1012,MATCH(GK$10,'USDT Yield Fund'!$A$8:$A$1012,0),MATCH(IF(GO30&gt;$D$2,GO30,$D$2),'USDT Yield Fund'!$A$8:$LC$8,0))</f>
        <v/>
      </c>
      <c r="GM32" s="215">
        <f t="array" ref="GM32">index('USDT Yield Fund'!$A$8:$LC$1012,MATCH(GK$10,'USDT Yield Fund'!$A$8:$A$1012,0),MATCH(IF(GO30&gt;$D$3,GO30,$D$3),'USDT Yield Fund'!$A$8:$LC$8,0))</f>
        <v/>
      </c>
      <c r="GN32" s="215">
        <f t="array" ref="GN32">index('USDT Yield Fund'!$A$8:$LC$1012,MATCH(GK$10,'USDT Yield Fund'!$A$8:$A$1012,0),MATCH(IF(GO30&gt;$D$4,GO30,$D$4),'USDT Yield Fund'!$A$8:$LC$8,0))</f>
        <v/>
      </c>
      <c r="GO32" s="216">
        <f t="array" ref="GO32">index('USDT Yield Fund'!$A$8:$LC$1012,MATCH(GK$10,'USDT Yield Fund'!$A$8:$A$1012,0),MATCH(GO30,'USDT Yield Fund'!$A$8:$LC$8,0))</f>
        <v/>
      </c>
      <c r="GQ32" s="183" t="inlineStr">
        <is>
          <t>Beginning Balance</t>
        </is>
      </c>
      <c r="GR32" s="215">
        <f t="array" ref="GR32">index('USDT Yield Fund'!$A$8:$LC$1012,MATCH(GQ$10,'USDT Yield Fund'!$A$8:$A$1012,0),MATCH(IF(GU30&gt;$D$2,GU30,$D$2),'USDT Yield Fund'!$A$8:$LC$8,0))</f>
        <v/>
      </c>
      <c r="GS32" s="215">
        <f t="array" ref="GS32">index('USDT Yield Fund'!$A$8:$LC$1012,MATCH(GQ$10,'USDT Yield Fund'!$A$8:$A$1012,0),MATCH(IF(GU30&gt;$D$3,GU30,$D$3),'USDT Yield Fund'!$A$8:$LC$8,0))</f>
        <v/>
      </c>
      <c r="GT32" s="215">
        <f t="array" ref="GT32">index('USDT Yield Fund'!$A$8:$LC$1012,MATCH(GQ$10,'USDT Yield Fund'!$A$8:$A$1012,0),MATCH(IF(GU30&gt;$D$4,GU30,$D$4),'USDT Yield Fund'!$A$8:$LC$8,0))</f>
        <v/>
      </c>
      <c r="GU32" s="216">
        <f t="array" ref="GU32">index('USDT Yield Fund'!$A$8:$LC$1012,MATCH(GQ$10,'USDT Yield Fund'!$A$8:$A$1012,0),MATCH(GU30,'USDT Yield Fund'!$A$8:$LC$8,0))</f>
        <v/>
      </c>
      <c r="GW32" s="217" t="inlineStr">
        <is>
          <t>Beginning Balance</t>
        </is>
      </c>
      <c r="GX32" s="218">
        <f t="array" ref="GX32">index('USDT Yield Fund'!$A$8:$LC$1012,MATCH(GW$10,'USDT Yield Fund'!$A$8:$A$1012,0),MATCH(IF(HA30&gt;$D$2,HA30,$D$2),'USDT Yield Fund'!$A$8:$LC$8,0))</f>
        <v/>
      </c>
      <c r="GY32" s="218">
        <f t="array" ref="GY32">index('USDT Yield Fund'!$A$8:$LC$1012,MATCH(GW$10,'USDT Yield Fund'!$A$8:$A$1012,0),MATCH(IF(HA30&gt;$D$3,HA30,$D$3),'USDT Yield Fund'!$A$8:$LC$8,0))</f>
        <v/>
      </c>
      <c r="GZ32" s="218">
        <f t="array" ref="GZ32">index('USDT Yield Fund'!$A$8:$LC$1012,MATCH(GW$10,'USDT Yield Fund'!$A$8:$A$1012,0),MATCH(IF(HA30&gt;$D$4,HA30,$D$4),'USDT Yield Fund'!$A$8:$LC$8,0))</f>
        <v/>
      </c>
      <c r="HA32" s="219">
        <f t="array" ref="HA32">index('USDT Yield Fund'!$A$8:$LC$1012,MATCH(GW$10,'USDT Yield Fund'!$A$8:$A$1012,0),MATCH(HA30,'USDT Yield Fund'!$A$8:$LC$8,0))</f>
        <v/>
      </c>
      <c r="HC32" s="183" t="n"/>
      <c r="HD32" s="215" t="n"/>
      <c r="HE32" s="215" t="n"/>
      <c r="HF32" s="215" t="n"/>
      <c r="HG32" s="216" t="n"/>
      <c r="HI32" s="217" t="inlineStr">
        <is>
          <t>Beginning Balance</t>
        </is>
      </c>
      <c r="HJ32" s="218">
        <f t="array" ref="HJ32">index('USDT Yield Fund'!$A$8:$LC$1012,MATCH(HI$10,'USDT Yield Fund'!$A$8:$A$1012,0),MATCH(IF(HM30&gt;$D$2,HM30,$D$2),'USDT Yield Fund'!$A$8:$LC$8,0))</f>
        <v/>
      </c>
      <c r="HK32" s="218">
        <f t="array" ref="HK32">index('USDT Yield Fund'!$A$8:$LC$1012,MATCH(HI$10,'USDT Yield Fund'!$A$8:$A$1012,0),MATCH(IF(HM30&gt;$D$3,HM30,$D$3),'USDT Yield Fund'!$A$8:$LC$8,0))</f>
        <v/>
      </c>
      <c r="HL32" s="218">
        <f t="array" ref="HL32">index('USDT Yield Fund'!$A$8:$LC$1012,MATCH(HI$10,'USDT Yield Fund'!$A$8:$A$1012,0),MATCH(IF(HM30&gt;$D$4,HM30,$D$4),'USDT Yield Fund'!$A$8:$LC$8,0))</f>
        <v/>
      </c>
      <c r="HM32" s="219">
        <f t="array" ref="HM32">index('USDT Yield Fund'!$A$8:$LC$1012,MATCH(HI$10,'USDT Yield Fund'!$A$8:$A$1012,0),MATCH(HM30,'USDT Yield Fund'!$A$8:$LC$8,0))</f>
        <v/>
      </c>
      <c r="HO32" s="217" t="inlineStr">
        <is>
          <t>Beginning Balance</t>
        </is>
      </c>
      <c r="HP32" s="218">
        <f t="array" ref="HP32">index('USDT Yield Fund'!$A$8:$LC$1012,MATCH(HO$10,'USDT Yield Fund'!$A$8:$A$1012,0),MATCH(IF(HS30&gt;$D$2,HS30,$D$2),'USDT Yield Fund'!$A$8:$LC$8,0))</f>
        <v/>
      </c>
      <c r="HQ32" s="218">
        <f t="array" ref="HQ32">index('USDT Yield Fund'!$A$8:$LC$1012,MATCH(HO$10,'USDT Yield Fund'!$A$8:$A$1012,0),MATCH(IF(HS30&gt;$D$3,HS30,$D$3),'USDT Yield Fund'!$A$8:$LC$8,0))</f>
        <v/>
      </c>
      <c r="HR32" s="218">
        <f t="array" ref="HR32">index('USDT Yield Fund'!$A$8:$LC$1012,MATCH(HO$10,'USDT Yield Fund'!$A$8:$A$1012,0),MATCH(IF(HS30&gt;$D$4,HS30,$D$4),'USDT Yield Fund'!$A$8:$LC$8,0))</f>
        <v/>
      </c>
      <c r="HS32" s="219">
        <f t="array" ref="HS32">index('USDT Yield Fund'!$A$8:$LC$1012,MATCH(HO$10,'USDT Yield Fund'!$A$8:$A$1012,0),MATCH(HS30,'USDT Yield Fund'!$A$8:$LC$8,0))</f>
        <v/>
      </c>
      <c r="HU32" s="183" t="n"/>
      <c r="HV32" s="215" t="n"/>
      <c r="HW32" s="215" t="n"/>
      <c r="HX32" s="215" t="n"/>
      <c r="HY32" s="216" t="n"/>
      <c r="IA32" s="183" t="n"/>
      <c r="IB32" s="215" t="n"/>
      <c r="IC32" s="215" t="n"/>
      <c r="ID32" s="215" t="n"/>
      <c r="IE32" s="216" t="n"/>
      <c r="IG32" s="183" t="n"/>
      <c r="IH32" s="215" t="n"/>
      <c r="II32" s="215" t="n"/>
      <c r="IJ32" s="215" t="n"/>
      <c r="IK32" s="216" t="n"/>
      <c r="IM32" s="183" t="inlineStr">
        <is>
          <t>Beginning Balance</t>
        </is>
      </c>
      <c r="IN32" s="215">
        <f t="array" ref="IN32">index('USDT Yield Fund'!$A$8:$LC$1012,MATCH(IM$10,'USDT Yield Fund'!$A$8:$A$1012,0),MATCH(IF(IQ30&gt;$D$2,IQ30,$D$2),'USDT Yield Fund'!$A$8:$LC$8,0))</f>
        <v/>
      </c>
      <c r="IO32" s="215">
        <f t="array" ref="IO32">index('USDT Yield Fund'!$A$8:$LC$1012,MATCH(IM$10,'USDT Yield Fund'!$A$8:$A$1012,0),MATCH(IF(IQ30&gt;$D$3,IQ30,$D$3),'USDT Yield Fund'!$A$8:$LC$8,0))</f>
        <v/>
      </c>
      <c r="IP32" s="215">
        <f t="array" ref="IP32">index('USDT Yield Fund'!$A$8:$LC$1012,MATCH(IM$10,'USDT Yield Fund'!$A$8:$A$1012,0),MATCH(IF(IQ30&gt;$D$4,IQ30,$D$4),'USDT Yield Fund'!$A$8:$LC$8,0))</f>
        <v/>
      </c>
      <c r="IQ32" s="216">
        <f t="array" ref="IQ32">index('USDT Yield Fund'!$A$8:$LC$1012,MATCH(IM$10,'USDT Yield Fund'!$A$8:$A$1012,0),MATCH(IQ30,'USDT Yield Fund'!$A$8:$LC$8,0))</f>
        <v/>
      </c>
      <c r="IS32" s="183" t="inlineStr">
        <is>
          <t>Beginning Balance</t>
        </is>
      </c>
      <c r="IT32" s="215">
        <f t="array" ref="IT32">index('USDT Yield Fund'!$A$8:$LC$1012,MATCH(IS$10,'USDT Yield Fund'!$A$8:$A$1012,0),MATCH(IF(IW30&gt;$D$2,IW30,$D$2),'USDT Yield Fund'!$A$8:$LC$8,0))</f>
        <v/>
      </c>
      <c r="IU32" s="215">
        <f t="array" ref="IU32">index('USDT Yield Fund'!$A$8:$LC$1012,MATCH(IS$10,'USDT Yield Fund'!$A$8:$A$1012,0),MATCH(IF(IW30&gt;$D$3,IW30,$D$3),'USDT Yield Fund'!$A$8:$LC$8,0))</f>
        <v/>
      </c>
      <c r="IV32" s="215">
        <f t="array" ref="IV32">index('USDT Yield Fund'!$A$8:$LC$1012,MATCH(IS$10,'USDT Yield Fund'!$A$8:$A$1012,0),MATCH(IF(IW30&gt;$D$4,IW30,$D$4),'USDT Yield Fund'!$A$8:$LC$8,0))</f>
        <v/>
      </c>
      <c r="IW32" s="216">
        <f t="array" ref="IW32">index('USDT Yield Fund'!$A$8:$LC$1012,MATCH(IS$10,'USDT Yield Fund'!$A$8:$A$1012,0),MATCH(IW30,'USDT Yield Fund'!$A$8:$LC$8,0))</f>
        <v/>
      </c>
      <c r="IY32" s="183" t="n"/>
      <c r="IZ32" s="215" t="n"/>
      <c r="JA32" s="215" t="n"/>
      <c r="JB32" s="215" t="n"/>
      <c r="JC32" s="216" t="n"/>
    </row>
    <row r="33" ht="15.75" customHeight="1" s="252">
      <c r="A33" s="188" t="inlineStr">
        <is>
          <t xml:space="preserve">Additions </t>
        </is>
      </c>
      <c r="B33" s="220">
        <f>SUMIFS(Investments!$D:$D,Investments!$B:$B,A$10,Investments!$C:$C,$A$3,Investments!$A:$A,"&gt;"&amp;IF(E30&gt;$D$2,E30,$D$2),Investments!$A:$A,"&lt;="&amp;$E$2,Investments!$D:$D,"&gt;"&amp;0)</f>
        <v/>
      </c>
      <c r="C33" s="220">
        <f>SUMIFS(Investments!$D:$D,Investments!$B:$B,A$10,Investments!$C:$C,$A$3,Investments!$A:$A,"&gt;"&amp;IF(E30&gt;$D$3,E30,$D$3),Investments!$A:$A,"&lt;="&amp;$E$3,Investments!$D:$D,"&gt;"&amp;0)</f>
        <v/>
      </c>
      <c r="D33" s="220">
        <f>SUMIFS(Investments!$D:$D,Investments!$B:$B,A$10,Investments!$C:$C,$A$3,Investments!$A:$A,"&gt;"&amp;IF(E30&gt;$D$4,E30,$D$4),Investments!$A:$A,"&lt;="&amp;$E$4,Investments!$D:$D,"&gt;"&amp;0)</f>
        <v/>
      </c>
      <c r="E33" s="221">
        <f>SUMIFS(Investments!$D:$D,Investments!$B:$B,A$10,Investments!$C:$C,$A$3,Investments!$A:$A,"&gt;"&amp;E30,Investments!$A:$A,"&lt;="&amp;$E$4,Investments!$D:$D,"&gt;"&amp;0)</f>
        <v/>
      </c>
      <c r="G33" s="188" t="n"/>
      <c r="H33" s="220" t="n"/>
      <c r="I33" s="220" t="n"/>
      <c r="J33" s="220" t="n"/>
      <c r="K33" s="221" t="n"/>
      <c r="M33" s="188" t="n"/>
      <c r="N33" s="220" t="n"/>
      <c r="O33" s="220" t="n"/>
      <c r="P33" s="220" t="n"/>
      <c r="Q33" s="221" t="n"/>
      <c r="S33" s="188" t="inlineStr">
        <is>
          <t xml:space="preserve">Additions </t>
        </is>
      </c>
      <c r="T33" s="220">
        <f>SUMIFS(Investments!$D:$D,Investments!$B:$B,S$10,Investments!$C:$C,$A$3,Investments!$A:$A,"&gt;"&amp;IF(W30&gt;$D$2,W30,$D$2),Investments!$A:$A,"&lt;="&amp;$E$2,Investments!$D:$D,"&gt;"&amp;0)</f>
        <v/>
      </c>
      <c r="U33" s="220">
        <f>SUMIFS(Investments!$D:$D,Investments!$B:$B,S$10,Investments!$C:$C,$A$3,Investments!$A:$A,"&gt;"&amp;IF(W30&gt;$D$3,W30,$D$3),Investments!$A:$A,"&lt;="&amp;$E$3,Investments!$D:$D,"&gt;"&amp;0)</f>
        <v/>
      </c>
      <c r="V33" s="220">
        <f>SUMIFS(Investments!$D:$D,Investments!$B:$B,S$10,Investments!$C:$C,$A$3,Investments!$A:$A,"&gt;"&amp;IF(W30&gt;$D$4,W30,$D$4),Investments!$A:$A,"&lt;="&amp;$E$4,Investments!$D:$D,"&gt;"&amp;0)</f>
        <v/>
      </c>
      <c r="W33" s="221">
        <f>SUMIFS(Investments!$D:$D,Investments!$B:$B,S$10,Investments!$C:$C,$A$3,Investments!$A:$A,"&gt;"&amp;W30,Investments!$A:$A,"&lt;="&amp;$E$4,Investments!$D:$D,"&gt;"&amp;0)</f>
        <v/>
      </c>
      <c r="Y33" s="188" t="n"/>
      <c r="Z33" s="220" t="n"/>
      <c r="AA33" s="220" t="n"/>
      <c r="AB33" s="220" t="n"/>
      <c r="AC33" s="221" t="n"/>
      <c r="AE33" s="188" t="inlineStr">
        <is>
          <t xml:space="preserve">Additions </t>
        </is>
      </c>
      <c r="AF33" s="220">
        <f>SUMIFS(Investments!$D:$D,Investments!$B:$B,AE$10,Investments!$C:$C,$A$3,Investments!$A:$A,"&gt;"&amp;IF(AI30&gt;$D$2,AI30,$D$2),Investments!$A:$A,"&lt;="&amp;$E$2,Investments!$D:$D,"&gt;"&amp;0)</f>
        <v/>
      </c>
      <c r="AG33" s="220">
        <f>SUMIFS(Investments!$D:$D,Investments!$B:$B,AE$10,Investments!$C:$C,$A$3,Investments!$A:$A,"&gt;"&amp;IF(AI30&gt;$D$3,AI30,$D$3),Investments!$A:$A,"&lt;="&amp;$E$3,Investments!$D:$D,"&gt;"&amp;0)</f>
        <v/>
      </c>
      <c r="AH33" s="220">
        <f>SUMIFS(Investments!$D:$D,Investments!$B:$B,AE$10,Investments!$C:$C,$A$3,Investments!$A:$A,"&gt;"&amp;IF(AI30&gt;$D$4,AI30,$D$4),Investments!$A:$A,"&lt;="&amp;$E$4,Investments!$D:$D,"&gt;"&amp;0)</f>
        <v/>
      </c>
      <c r="AI33" s="221">
        <f>SUMIFS(Investments!$D:$D,Investments!$B:$B,AE$10,Investments!$C:$C,$A$3,Investments!$A:$A,"&gt;"&amp;AI30,Investments!$A:$A,"&lt;="&amp;$E$4,Investments!$D:$D,"&gt;"&amp;0)</f>
        <v/>
      </c>
      <c r="AK33" s="188" t="n"/>
      <c r="AL33" s="220" t="n"/>
      <c r="AM33" s="220" t="n"/>
      <c r="AN33" s="220" t="n"/>
      <c r="AO33" s="221" t="n"/>
      <c r="AQ33" s="188" t="n"/>
      <c r="AR33" s="220" t="n"/>
      <c r="AS33" s="220" t="n"/>
      <c r="AT33" s="220" t="n"/>
      <c r="AU33" s="221" t="n"/>
      <c r="AW33" s="188" t="inlineStr">
        <is>
          <t xml:space="preserve">Additions </t>
        </is>
      </c>
      <c r="AX33" s="220">
        <f>SUMIFS(Investments!$D:$D,Investments!$B:$B,AW$10,Investments!$C:$C,$A$3,Investments!$A:$A,"&gt;"&amp;IF(BA30&gt;$D$2,BA30,$D$2),Investments!$A:$A,"&lt;="&amp;$E$2,Investments!$D:$D,"&gt;"&amp;0)</f>
        <v/>
      </c>
      <c r="AY33" s="220">
        <f>SUMIFS(Investments!$D:$D,Investments!$B:$B,AW$10,Investments!$C:$C,$A$3,Investments!$A:$A,"&gt;"&amp;IF(BA30&gt;$D$3,BA30,$D$3),Investments!$A:$A,"&lt;="&amp;$E$3,Investments!$D:$D,"&gt;"&amp;0)</f>
        <v/>
      </c>
      <c r="AZ33" s="220">
        <f>SUMIFS(Investments!$D:$D,Investments!$B:$B,AW$10,Investments!$C:$C,$A$3,Investments!$A:$A,"&gt;"&amp;IF(BA30&gt;$D$4,BA30,$D$4),Investments!$A:$A,"&lt;="&amp;$E$4,Investments!$D:$D,"&gt;"&amp;0)</f>
        <v/>
      </c>
      <c r="BA33" s="221">
        <f>SUMIFS(Investments!$D:$D,Investments!$B:$B,AW$10,Investments!$C:$C,$A$3,Investments!$A:$A,"&gt;"&amp;BA30,Investments!$A:$A,"&lt;="&amp;$E$4,Investments!$D:$D,"&gt;"&amp;0)</f>
        <v/>
      </c>
      <c r="BC33" s="188" t="inlineStr">
        <is>
          <t xml:space="preserve">Additions </t>
        </is>
      </c>
      <c r="BD33" s="220">
        <f>SUMIFS(Investments!$D:$D,Investments!$B:$B,BC$10,Investments!$C:$C,$A$3,Investments!$A:$A,"&gt;"&amp;IF(BG30&gt;$D$2,BG30,$D$2),Investments!$A:$A,"&lt;="&amp;$E$2,Investments!$D:$D,"&gt;"&amp;0)</f>
        <v/>
      </c>
      <c r="BE33" s="220">
        <f>SUMIFS(Investments!$D:$D,Investments!$B:$B,BC$10,Investments!$C:$C,$A$3,Investments!$A:$A,"&gt;"&amp;IF(BG30&gt;$D$3,BG30,$D$3),Investments!$A:$A,"&lt;="&amp;$E$3,Investments!$D:$D,"&gt;"&amp;0)</f>
        <v/>
      </c>
      <c r="BF33" s="220">
        <f>SUMIFS(Investments!$D:$D,Investments!$B:$B,BC$10,Investments!$C:$C,$A$3,Investments!$A:$A,"&gt;"&amp;IF(BG30&gt;$D$4,BG30,$D$4),Investments!$A:$A,"&lt;="&amp;$E$4,Investments!$D:$D,"&gt;"&amp;0)</f>
        <v/>
      </c>
      <c r="BG33" s="221">
        <f>SUMIFS(Investments!$D:$D,Investments!$B:$B,BC$10,Investments!$C:$C,$A$3,Investments!$A:$A,"&gt;"&amp;BG30,Investments!$A:$A,"&lt;="&amp;$E$4,Investments!$D:$D,"&gt;"&amp;0)</f>
        <v/>
      </c>
      <c r="BI33" s="188" t="n"/>
      <c r="BJ33" s="220" t="n"/>
      <c r="BK33" s="220" t="n"/>
      <c r="BL33" s="220" t="n"/>
      <c r="BM33" s="221" t="n"/>
      <c r="BO33" s="188" t="inlineStr">
        <is>
          <t xml:space="preserve">Additions </t>
        </is>
      </c>
      <c r="BP33" s="220">
        <f>SUMIFS(Investments!$D:$D,Investments!$B:$B,BO$10,Investments!$C:$C,$A$3,Investments!$A:$A,"&gt;"&amp;IF(BS30&gt;$D$2,BS30,$D$2),Investments!$A:$A,"&lt;="&amp;$E$2,Investments!$D:$D,"&gt;"&amp;0)</f>
        <v/>
      </c>
      <c r="BQ33" s="220">
        <f>SUMIFS(Investments!$D:$D,Investments!$B:$B,BO$10,Investments!$C:$C,$A$3,Investments!$A:$A,"&gt;"&amp;IF(BS30&gt;$D$3,BS30,$D$3),Investments!$A:$A,"&lt;="&amp;$E$3,Investments!$D:$D,"&gt;"&amp;0)</f>
        <v/>
      </c>
      <c r="BR33" s="220">
        <f>SUMIFS(Investments!$D:$D,Investments!$B:$B,BO$10,Investments!$C:$C,$A$3,Investments!$A:$A,"&gt;"&amp;IF(BS30&gt;$D$4,BS30,$D$4),Investments!$A:$A,"&lt;="&amp;$E$4,Investments!$D:$D,"&gt;"&amp;0)</f>
        <v/>
      </c>
      <c r="BS33" s="221">
        <f>SUMIFS(Investments!$D:$D,Investments!$B:$B,BO$10,Investments!$C:$C,$A$3,Investments!$A:$A,"&gt;"&amp;BS30,Investments!$A:$A,"&lt;="&amp;$E$4,Investments!$D:$D,"&gt;"&amp;0)</f>
        <v/>
      </c>
      <c r="BU33" s="188" t="inlineStr">
        <is>
          <t xml:space="preserve">Additions </t>
        </is>
      </c>
      <c r="BV33" s="220">
        <f>SUMIFS(Investments!$D:$D,Investments!$B:$B,BU$10,Investments!$C:$C,$A$3,Investments!$A:$A,"&gt;"&amp;IF(BY30&gt;$D$2,BY30,$D$2),Investments!$A:$A,"&lt;="&amp;$E$2,Investments!$D:$D,"&gt;"&amp;0)</f>
        <v/>
      </c>
      <c r="BW33" s="220">
        <f>SUMIFS(Investments!$D:$D,Investments!$B:$B,BU$10,Investments!$C:$C,$A$3,Investments!$A:$A,"&gt;"&amp;IF(BY30&gt;$D$3,BY30,$D$3),Investments!$A:$A,"&lt;="&amp;$E$3,Investments!$D:$D,"&gt;"&amp;0)</f>
        <v/>
      </c>
      <c r="BX33" s="220">
        <f>SUMIFS(Investments!$D:$D,Investments!$B:$B,BU$10,Investments!$C:$C,$A$3,Investments!$A:$A,"&gt;"&amp;IF(BY30&gt;$D$4,BY30,$D$4),Investments!$A:$A,"&lt;="&amp;$E$4,Investments!$D:$D,"&gt;"&amp;0)</f>
        <v/>
      </c>
      <c r="BY33" s="221">
        <f>SUMIFS(Investments!$D:$D,Investments!$B:$B,BU$10,Investments!$C:$C,$A$3,Investments!$A:$A,"&gt;"&amp;BY30,Investments!$A:$A,"&lt;="&amp;$E$4,Investments!$D:$D,"&gt;"&amp;0)</f>
        <v/>
      </c>
      <c r="CA33" s="188" t="inlineStr">
        <is>
          <t xml:space="preserve">Additions </t>
        </is>
      </c>
      <c r="CB33" s="220">
        <f>SUMIFS(Investments!$D:$D,Investments!$B:$B,CA$10,Investments!$C:$C,$A$3,Investments!$A:$A,"&gt;"&amp;IF(CE30&gt;$D$2,CE30,$D$2),Investments!$A:$A,"&lt;="&amp;$E$2,Investments!$D:$D,"&gt;"&amp;0)</f>
        <v/>
      </c>
      <c r="CC33" s="220">
        <f>SUMIFS(Investments!$D:$D,Investments!$B:$B,CA$10,Investments!$C:$C,$A$3,Investments!$A:$A,"&gt;"&amp;IF(CE30&gt;$D$3,CE30,$D$3),Investments!$A:$A,"&lt;="&amp;$E$3,Investments!$D:$D,"&gt;"&amp;0)</f>
        <v/>
      </c>
      <c r="CD33" s="220">
        <f>SUMIFS(Investments!$D:$D,Investments!$B:$B,CA$10,Investments!$C:$C,$A$3,Investments!$A:$A,"&gt;"&amp;IF(CE30&gt;$D$4,CE30,$D$4),Investments!$A:$A,"&lt;="&amp;$E$4,Investments!$D:$D,"&gt;"&amp;0)</f>
        <v/>
      </c>
      <c r="CE33" s="221">
        <f>SUMIFS(Investments!$D:$D,Investments!$B:$B,CA$10,Investments!$C:$C,$A$3,Investments!$A:$A,"&gt;"&amp;CE30,Investments!$A:$A,"&lt;="&amp;$E$4,Investments!$D:$D,"&gt;"&amp;0)</f>
        <v/>
      </c>
      <c r="CG33" s="188" t="inlineStr">
        <is>
          <t xml:space="preserve">Additions </t>
        </is>
      </c>
      <c r="CH33" s="220">
        <f>SUMIFS(Investments!$D:$D,Investments!$B:$B,CG$10,Investments!$C:$C,$A$3,Investments!$A:$A,"&gt;"&amp;IF(CK30&gt;$D$2,CK30,$D$2),Investments!$A:$A,"&lt;="&amp;$E$2,Investments!$D:$D,"&gt;"&amp;0)</f>
        <v/>
      </c>
      <c r="CI33" s="220">
        <f>SUMIFS(Investments!$D:$D,Investments!$B:$B,CG$10,Investments!$C:$C,$A$3,Investments!$A:$A,"&gt;"&amp;IF(CK30&gt;$D$3,CK30,$D$3),Investments!$A:$A,"&lt;="&amp;$E$3,Investments!$D:$D,"&gt;"&amp;0)</f>
        <v/>
      </c>
      <c r="CJ33" s="220">
        <f>SUMIFS(Investments!$D:$D,Investments!$B:$B,CG$10,Investments!$C:$C,$A$3,Investments!$A:$A,"&gt;"&amp;IF(CK30&gt;$D$4,CK30,$D$4),Investments!$A:$A,"&lt;="&amp;$E$4,Investments!$D:$D,"&gt;"&amp;0)</f>
        <v/>
      </c>
      <c r="CK33" s="221">
        <f>SUMIFS(Investments!$D:$D,Investments!$B:$B,CG$10,Investments!$C:$C,$A$3,Investments!$A:$A,"&gt;"&amp;CK30,Investments!$A:$A,"&lt;="&amp;$E$4,Investments!$D:$D,"&gt;"&amp;0)</f>
        <v/>
      </c>
      <c r="CM33" s="188" t="inlineStr">
        <is>
          <t xml:space="preserve">Additions </t>
        </is>
      </c>
      <c r="CN33" s="220">
        <f>SUMIFS(Investments!$D:$D,Investments!$B:$B,CM$10,Investments!$C:$C,$A$3,Investments!$A:$A,"&gt;"&amp;IF(CQ30&gt;$D$2,CQ30,$D$2),Investments!$A:$A,"&lt;="&amp;$E$2,Investments!$D:$D,"&gt;"&amp;0)</f>
        <v/>
      </c>
      <c r="CO33" s="220">
        <f>SUMIFS(Investments!$D:$D,Investments!$B:$B,CM$10,Investments!$C:$C,$A$3,Investments!$A:$A,"&gt;"&amp;IF(CQ30&gt;$D$3,CQ30,$D$3),Investments!$A:$A,"&lt;="&amp;$E$3,Investments!$D:$D,"&gt;"&amp;0)</f>
        <v/>
      </c>
      <c r="CP33" s="220">
        <f>SUMIFS(Investments!$D:$D,Investments!$B:$B,CM$10,Investments!$C:$C,$A$3,Investments!$A:$A,"&gt;"&amp;IF(CQ30&gt;$D$4,CQ30,$D$4),Investments!$A:$A,"&lt;="&amp;$E$4,Investments!$D:$D,"&gt;"&amp;0)</f>
        <v/>
      </c>
      <c r="CQ33" s="221">
        <f>SUMIFS(Investments!$D:$D,Investments!$B:$B,CM$10,Investments!$C:$C,$A$3,Investments!$A:$A,"&gt;"&amp;CQ30,Investments!$A:$A,"&lt;="&amp;$E$4,Investments!$D:$D,"&gt;"&amp;0)</f>
        <v/>
      </c>
      <c r="CS33" s="188" t="n"/>
      <c r="CT33" s="220" t="n"/>
      <c r="CU33" s="220" t="n"/>
      <c r="CV33" s="220" t="n"/>
      <c r="CW33" s="221" t="n"/>
      <c r="CY33" s="188" t="inlineStr">
        <is>
          <t xml:space="preserve">Additions </t>
        </is>
      </c>
      <c r="CZ33" s="220">
        <f>SUMIFS(Investments!$D:$D,Investments!$B:$B,CY$10,Investments!$C:$C,$A$3,Investments!$A:$A,"&gt;"&amp;IF(DC30&gt;$D$2,DC30,$D$2),Investments!$A:$A,"&lt;="&amp;$E$2,Investments!$D:$D,"&gt;"&amp;0)</f>
        <v/>
      </c>
      <c r="DA33" s="220">
        <f>SUMIFS(Investments!$D:$D,Investments!$B:$B,CY$10,Investments!$C:$C,$A$3,Investments!$A:$A,"&gt;"&amp;IF(DC30&gt;$D$3,DC30,$D$3),Investments!$A:$A,"&lt;="&amp;$E$3,Investments!$D:$D,"&gt;"&amp;0)</f>
        <v/>
      </c>
      <c r="DB33" s="220">
        <f>SUMIFS(Investments!$D:$D,Investments!$B:$B,CY$10,Investments!$C:$C,$A$3,Investments!$A:$A,"&gt;"&amp;IF(DC30&gt;$D$4,DC30,$D$4),Investments!$A:$A,"&lt;="&amp;$E$4,Investments!$D:$D,"&gt;"&amp;0)</f>
        <v/>
      </c>
      <c r="DC33" s="221">
        <f>SUMIFS(Investments!$D:$D,Investments!$B:$B,CY$10,Investments!$C:$C,$A$3,Investments!$A:$A,"&gt;"&amp;DC30,Investments!$A:$A,"&lt;="&amp;$E$4,Investments!$D:$D,"&gt;"&amp;0)</f>
        <v/>
      </c>
      <c r="DE33" s="188" t="inlineStr">
        <is>
          <t xml:space="preserve">Additions </t>
        </is>
      </c>
      <c r="DF33" s="220">
        <f>SUMIFS(Investments!$D:$D,Investments!$B:$B,DE$10,Investments!$C:$C,$A$3,Investments!$A:$A,"&gt;"&amp;IF(DI30&gt;$D$2,DI30,$D$2),Investments!$A:$A,"&lt;="&amp;$E$2,Investments!$D:$D,"&gt;"&amp;0)</f>
        <v/>
      </c>
      <c r="DG33" s="220">
        <f>SUMIFS(Investments!$D:$D,Investments!$B:$B,DE$10,Investments!$C:$C,$A$3,Investments!$A:$A,"&gt;"&amp;IF(DI30&gt;$D$3,DI30,$D$3),Investments!$A:$A,"&lt;="&amp;$E$3,Investments!$D:$D,"&gt;"&amp;0)</f>
        <v/>
      </c>
      <c r="DH33" s="220">
        <f>SUMIFS(Investments!$D:$D,Investments!$B:$B,DE$10,Investments!$C:$C,$A$3,Investments!$A:$A,"&gt;"&amp;IF(DI30&gt;$D$4,DI30,$D$4),Investments!$A:$A,"&lt;="&amp;$E$4,Investments!$D:$D,"&gt;"&amp;0)</f>
        <v/>
      </c>
      <c r="DI33" s="221">
        <f>SUMIFS(Investments!$D:$D,Investments!$B:$B,DE$10,Investments!$C:$C,$A$3,Investments!$A:$A,"&gt;"&amp;DI30,Investments!$A:$A,"&lt;="&amp;$E$4,Investments!$D:$D,"&gt;"&amp;0)</f>
        <v/>
      </c>
      <c r="DK33" s="188" t="inlineStr">
        <is>
          <t xml:space="preserve">Additions </t>
        </is>
      </c>
      <c r="DL33" s="220">
        <f>SUMIFS(Investments!$D:$D,Investments!$B:$B,DK$10,Investments!$C:$C,$A$3,Investments!$A:$A,"&gt;"&amp;IF(DO30&gt;$D$2,DO30,$D$2),Investments!$A:$A,"&lt;="&amp;$E$2,Investments!$D:$D,"&gt;"&amp;0)</f>
        <v/>
      </c>
      <c r="DM33" s="220">
        <f>SUMIFS(Investments!$D:$D,Investments!$B:$B,DK$10,Investments!$C:$C,$A$3,Investments!$A:$A,"&gt;"&amp;IF(DO30&gt;$D$3,DO30,$D$3),Investments!$A:$A,"&lt;="&amp;$E$3,Investments!$D:$D,"&gt;"&amp;0)</f>
        <v/>
      </c>
      <c r="DN33" s="220">
        <f>SUMIFS(Investments!$D:$D,Investments!$B:$B,DK$10,Investments!$C:$C,$A$3,Investments!$A:$A,"&gt;"&amp;IF(DO30&gt;$D$4,DO30,$D$4),Investments!$A:$A,"&lt;="&amp;$E$4,Investments!$D:$D,"&gt;"&amp;0)</f>
        <v/>
      </c>
      <c r="DO33" s="221">
        <f>SUMIFS(Investments!$D:$D,Investments!$B:$B,DK$10,Investments!$C:$C,$A$3,Investments!$A:$A,"&gt;"&amp;DO30,Investments!$A:$A,"&lt;="&amp;$E$4,Investments!$D:$D,"&gt;"&amp;0)</f>
        <v/>
      </c>
      <c r="DQ33" s="188" t="inlineStr">
        <is>
          <t xml:space="preserve">Additions </t>
        </is>
      </c>
      <c r="DR33" s="220">
        <f>SUMIFS(Investments!$D:$D,Investments!$B:$B,DQ$10,Investments!$C:$C,$A$3,Investments!$A:$A,"&gt;"&amp;IF(DU30&gt;$D$2,DU30,$D$2),Investments!$A:$A,"&lt;="&amp;$E$2,Investments!$D:$D,"&gt;"&amp;0)</f>
        <v/>
      </c>
      <c r="DS33" s="220">
        <f>SUMIFS(Investments!$D:$D,Investments!$B:$B,DQ$10,Investments!$C:$C,$A$3,Investments!$A:$A,"&gt;"&amp;IF(DU30&gt;$D$3,DU30,$D$3),Investments!$A:$A,"&lt;="&amp;$E$3,Investments!$D:$D,"&gt;"&amp;0)</f>
        <v/>
      </c>
      <c r="DT33" s="220">
        <f>SUMIFS(Investments!$D:$D,Investments!$B:$B,DQ$10,Investments!$C:$C,$A$3,Investments!$A:$A,"&gt;"&amp;IF(DU30&gt;$D$4,DU30,$D$4),Investments!$A:$A,"&lt;="&amp;$E$4,Investments!$D:$D,"&gt;"&amp;0)</f>
        <v/>
      </c>
      <c r="DU33" s="221">
        <f>SUMIFS(Investments!$D:$D,Investments!$B:$B,DQ$10,Investments!$C:$C,$A$3,Investments!$A:$A,"&gt;"&amp;DU30,Investments!$A:$A,"&lt;="&amp;$E$4,Investments!$D:$D,"&gt;"&amp;0)</f>
        <v/>
      </c>
      <c r="DW33" s="188" t="n"/>
      <c r="DX33" s="220" t="n"/>
      <c r="DY33" s="220" t="n"/>
      <c r="DZ33" s="220" t="n"/>
      <c r="EA33" s="221" t="n"/>
      <c r="EC33" s="188" t="n"/>
      <c r="ED33" s="220" t="n"/>
      <c r="EE33" s="220" t="n"/>
      <c r="EF33" s="220" t="n"/>
      <c r="EG33" s="221" t="n"/>
      <c r="EI33" s="188" t="inlineStr">
        <is>
          <t xml:space="preserve">Additions </t>
        </is>
      </c>
      <c r="EJ33" s="220">
        <f>SUMIFS(Investments!$D:$D,Investments!$B:$B,EI$10,Investments!$C:$C,$A$3,Investments!$A:$A,"&gt;"&amp;IF(EM30&gt;$D$2,EM30,$D$2),Investments!$A:$A,"&lt;="&amp;$E$2,Investments!$D:$D,"&gt;"&amp;0)</f>
        <v/>
      </c>
      <c r="EK33" s="220">
        <f>SUMIFS(Investments!$D:$D,Investments!$B:$B,EI$10,Investments!$C:$C,$A$3,Investments!$A:$A,"&gt;"&amp;IF(EM30&gt;$D$3,EM30,$D$3),Investments!$A:$A,"&lt;="&amp;$E$3,Investments!$D:$D,"&gt;"&amp;0)</f>
        <v/>
      </c>
      <c r="EL33" s="220">
        <f>SUMIFS(Investments!$D:$D,Investments!$B:$B,EI$10,Investments!$C:$C,$A$3,Investments!$A:$A,"&gt;"&amp;IF(EM30&gt;$D$4,EM30,$D$4),Investments!$A:$A,"&lt;="&amp;$E$4,Investments!$D:$D,"&gt;"&amp;0)</f>
        <v/>
      </c>
      <c r="EM33" s="221">
        <f>SUMIFS(Investments!$D:$D,Investments!$B:$B,EI$10,Investments!$C:$C,$A$3,Investments!$A:$A,"&gt;"&amp;EM30,Investments!$A:$A,"&lt;="&amp;$E$4,Investments!$D:$D,"&gt;"&amp;0)</f>
        <v/>
      </c>
      <c r="EO33" s="188" t="inlineStr">
        <is>
          <t xml:space="preserve">Additions </t>
        </is>
      </c>
      <c r="EP33" s="220">
        <f>SUMIFS(Investments!$D:$D,Investments!$B:$B,EO$10,Investments!$C:$C,$A$3,Investments!$A:$A,"&gt;"&amp;IF(ES30&gt;$D$2,ES30,$D$2),Investments!$A:$A,"&lt;="&amp;$E$2,Investments!$D:$D,"&gt;"&amp;0)</f>
        <v/>
      </c>
      <c r="EQ33" s="220">
        <f>SUMIFS(Investments!$D:$D,Investments!$B:$B,EO$10,Investments!$C:$C,$A$3,Investments!$A:$A,"&gt;"&amp;IF(ES30&gt;$D$3,ES30,$D$3),Investments!$A:$A,"&lt;="&amp;$E$3,Investments!$D:$D,"&gt;"&amp;0)</f>
        <v/>
      </c>
      <c r="ER33" s="220">
        <f>SUMIFS(Investments!$D:$D,Investments!$B:$B,EO$10,Investments!$C:$C,$A$3,Investments!$A:$A,"&gt;"&amp;IF(ES30&gt;$D$4,ES30,$D$4),Investments!$A:$A,"&lt;="&amp;$E$4,Investments!$D:$D,"&gt;"&amp;0)</f>
        <v/>
      </c>
      <c r="ES33" s="221">
        <f>SUMIFS(Investments!$D:$D,Investments!$B:$B,EO$10,Investments!$C:$C,$A$3,Investments!$A:$A,"&gt;"&amp;ES30,Investments!$A:$A,"&lt;="&amp;$E$4,Investments!$D:$D,"&gt;"&amp;0)</f>
        <v/>
      </c>
      <c r="EU33" s="188" t="n"/>
      <c r="EV33" s="220" t="n"/>
      <c r="EW33" s="220" t="n"/>
      <c r="EX33" s="220" t="n"/>
      <c r="EY33" s="221" t="n"/>
      <c r="FA33" s="188" t="n"/>
      <c r="FB33" s="220" t="n"/>
      <c r="FC33" s="220" t="n"/>
      <c r="FD33" s="220" t="n"/>
      <c r="FE33" s="221" t="n"/>
      <c r="FG33" s="188" t="n"/>
      <c r="FH33" s="220" t="n"/>
      <c r="FI33" s="220" t="n"/>
      <c r="FJ33" s="220" t="n"/>
      <c r="FK33" s="221" t="n"/>
      <c r="FM33" s="188" t="inlineStr">
        <is>
          <t xml:space="preserve">Additions </t>
        </is>
      </c>
      <c r="FN33" s="220">
        <f>SUMIFS(Investments!$D:$D,Investments!$B:$B,FM$10,Investments!$C:$C,$A$3,Investments!$A:$A,"&gt;"&amp;IF(FQ30&gt;$D$2,FQ30,$D$2),Investments!$A:$A,"&lt;="&amp;$E$2,Investments!$D:$D,"&gt;"&amp;0)</f>
        <v/>
      </c>
      <c r="FO33" s="220">
        <f>SUMIFS(Investments!$D:$D,Investments!$B:$B,FM$10,Investments!$C:$C,$A$3,Investments!$A:$A,"&gt;"&amp;IF(FQ30&gt;$D$3,FQ30,$D$3),Investments!$A:$A,"&lt;="&amp;$E$3,Investments!$D:$D,"&gt;"&amp;0)</f>
        <v/>
      </c>
      <c r="FP33" s="220">
        <f>SUMIFS(Investments!$D:$D,Investments!$B:$B,FM$10,Investments!$C:$C,$A$3,Investments!$A:$A,"&gt;"&amp;IF(FQ30&gt;$D$4,FQ30,$D$4),Investments!$A:$A,"&lt;="&amp;$E$4,Investments!$D:$D,"&gt;"&amp;0)</f>
        <v/>
      </c>
      <c r="FQ33" s="221">
        <f>SUMIFS(Investments!$D:$D,Investments!$B:$B,FM$10,Investments!$C:$C,$A$3,Investments!$A:$A,"&gt;"&amp;FQ30,Investments!$A:$A,"&lt;="&amp;$E$4,Investments!$D:$D,"&gt;"&amp;0)</f>
        <v/>
      </c>
      <c r="FS33" s="188" t="inlineStr">
        <is>
          <t xml:space="preserve">Additions </t>
        </is>
      </c>
      <c r="FT33" s="220">
        <f>SUMIFS(Investments!$D:$D,Investments!$B:$B,FS$10,Investments!$C:$C,$A$3,Investments!$A:$A,"&gt;"&amp;IF(FW30&gt;$D$2,FW30,$D$2),Investments!$A:$A,"&lt;="&amp;$E$2,Investments!$D:$D,"&gt;"&amp;0)</f>
        <v/>
      </c>
      <c r="FU33" s="220">
        <f>SUMIFS(Investments!$D:$D,Investments!$B:$B,FS$10,Investments!$C:$C,$A$3,Investments!$A:$A,"&gt;"&amp;IF(FW30&gt;$D$3,FW30,$D$3),Investments!$A:$A,"&lt;="&amp;$E$3,Investments!$D:$D,"&gt;"&amp;0)</f>
        <v/>
      </c>
      <c r="FV33" s="220">
        <f>SUMIFS(Investments!$D:$D,Investments!$B:$B,FS$10,Investments!$C:$C,$A$3,Investments!$A:$A,"&gt;"&amp;IF(FW30&gt;$D$4,FW30,$D$4),Investments!$A:$A,"&lt;="&amp;$E$4,Investments!$D:$D,"&gt;"&amp;0)</f>
        <v/>
      </c>
      <c r="FW33" s="221">
        <f>SUMIFS(Investments!$D:$D,Investments!$B:$B,FS$10,Investments!$C:$C,$A$3,Investments!$A:$A,"&gt;"&amp;FW30,Investments!$A:$A,"&lt;="&amp;$E$4,Investments!$D:$D,"&gt;"&amp;0)</f>
        <v/>
      </c>
      <c r="FY33" s="188" t="inlineStr">
        <is>
          <t xml:space="preserve">Additions </t>
        </is>
      </c>
      <c r="FZ33" s="220">
        <f>SUMIFS(Investments!$D:$D,Investments!$B:$B,FY$10,Investments!$C:$C,$A$3,Investments!$A:$A,"&gt;"&amp;IF(GC30&gt;$D$2,GC30,$D$2),Investments!$A:$A,"&lt;="&amp;$E$2,Investments!$D:$D,"&gt;"&amp;0)</f>
        <v/>
      </c>
      <c r="GA33" s="220">
        <f>SUMIFS(Investments!$D:$D,Investments!$B:$B,FY$10,Investments!$C:$C,$A$3,Investments!$A:$A,"&gt;"&amp;IF(GC30&gt;$D$3,GC30,$D$3),Investments!$A:$A,"&lt;="&amp;$E$3,Investments!$D:$D,"&gt;"&amp;0)</f>
        <v/>
      </c>
      <c r="GB33" s="220">
        <f>SUMIFS(Investments!$D:$D,Investments!$B:$B,FY$10,Investments!$C:$C,$A$3,Investments!$A:$A,"&gt;"&amp;IF(GC30&gt;$D$4,GC30,$D$4),Investments!$A:$A,"&lt;="&amp;$E$4,Investments!$D:$D,"&gt;"&amp;0)</f>
        <v/>
      </c>
      <c r="GC33" s="221">
        <f>SUMIFS(Investments!$D:$D,Investments!$B:$B,FY$10,Investments!$C:$C,$A$3,Investments!$A:$A,"&gt;"&amp;GC30,Investments!$A:$A,"&lt;="&amp;$E$4,Investments!$D:$D,"&gt;"&amp;0)</f>
        <v/>
      </c>
      <c r="GE33" s="188" t="inlineStr">
        <is>
          <t xml:space="preserve">Additions </t>
        </is>
      </c>
      <c r="GF33" s="220">
        <f>SUMIFS(Investments!$D:$D,Investments!$B:$B,GE$10,Investments!$C:$C,$A$3,Investments!$A:$A,"&gt;"&amp;IF(GI30&gt;$D$2,GI30,$D$2),Investments!$A:$A,"&lt;="&amp;$E$2,Investments!$D:$D,"&gt;"&amp;0)</f>
        <v/>
      </c>
      <c r="GG33" s="220">
        <f>SUMIFS(Investments!$D:$D,Investments!$B:$B,GE$10,Investments!$C:$C,$A$3,Investments!$A:$A,"&gt;"&amp;IF(GI30&gt;$D$3,GI30,$D$3),Investments!$A:$A,"&lt;="&amp;$E$3,Investments!$D:$D,"&gt;"&amp;0)</f>
        <v/>
      </c>
      <c r="GH33" s="220">
        <f>SUMIFS(Investments!$D:$D,Investments!$B:$B,GE$10,Investments!$C:$C,$A$3,Investments!$A:$A,"&gt;"&amp;IF(GI30&gt;$D$4,GI30,$D$4),Investments!$A:$A,"&lt;="&amp;$E$4,Investments!$D:$D,"&gt;"&amp;0)</f>
        <v/>
      </c>
      <c r="GI33" s="221">
        <f>SUMIFS(Investments!$D:$D,Investments!$B:$B,GE$10,Investments!$C:$C,$A$3,Investments!$A:$A,"&gt;"&amp;GI30,Investments!$A:$A,"&lt;="&amp;$E$4,Investments!$D:$D,"&gt;"&amp;0)</f>
        <v/>
      </c>
      <c r="GK33" s="188" t="inlineStr">
        <is>
          <t xml:space="preserve">Additions </t>
        </is>
      </c>
      <c r="GL33" s="220">
        <f>SUMIFS(Investments!$D:$D,Investments!$B:$B,GK$10,Investments!$C:$C,$A$3,Investments!$A:$A,"&gt;"&amp;IF(GO30&gt;$D$2,GO30,$D$2),Investments!$A:$A,"&lt;="&amp;$E$2,Investments!$D:$D,"&gt;"&amp;0)</f>
        <v/>
      </c>
      <c r="GM33" s="220">
        <f>SUMIFS(Investments!$D:$D,Investments!$B:$B,GK$10,Investments!$C:$C,$A$3,Investments!$A:$A,"&gt;"&amp;IF(GO30&gt;$D$3,GO30,$D$3),Investments!$A:$A,"&lt;="&amp;$E$3,Investments!$D:$D,"&gt;"&amp;0)</f>
        <v/>
      </c>
      <c r="GN33" s="220">
        <f>SUMIFS(Investments!$D:$D,Investments!$B:$B,GK$10,Investments!$C:$C,$A$3,Investments!$A:$A,"&gt;"&amp;IF(GO30&gt;$D$4,GO30,$D$4),Investments!$A:$A,"&lt;="&amp;$E$4,Investments!$D:$D,"&gt;"&amp;0)</f>
        <v/>
      </c>
      <c r="GO33" s="221">
        <f>SUMIFS(Investments!$D:$D,Investments!$B:$B,GK$10,Investments!$C:$C,$A$3,Investments!$A:$A,"&gt;"&amp;GO30,Investments!$A:$A,"&lt;="&amp;$E$4,Investments!$D:$D,"&gt;"&amp;0)</f>
        <v/>
      </c>
      <c r="GQ33" s="188" t="inlineStr">
        <is>
          <t xml:space="preserve">Additions </t>
        </is>
      </c>
      <c r="GR33" s="220">
        <f>SUMIFS(Investments!$D:$D,Investments!$B:$B,GQ$10,Investments!$C:$C,$A$3,Investments!$A:$A,"&gt;"&amp;IF(GU30&gt;$D$2,GU30,$D$2),Investments!$A:$A,"&lt;="&amp;$E$2,Investments!$D:$D,"&gt;"&amp;0)</f>
        <v/>
      </c>
      <c r="GS33" s="220">
        <f>SUMIFS(Investments!$D:$D,Investments!$B:$B,GQ$10,Investments!$C:$C,$A$3,Investments!$A:$A,"&gt;"&amp;IF(GU30&gt;$D$3,GU30,$D$3),Investments!$A:$A,"&lt;="&amp;$E$3,Investments!$D:$D,"&gt;"&amp;0)</f>
        <v/>
      </c>
      <c r="GT33" s="220">
        <f>SUMIFS(Investments!$D:$D,Investments!$B:$B,GQ$10,Investments!$C:$C,$A$3,Investments!$A:$A,"&gt;"&amp;IF(GU30&gt;$D$4,GU30,$D$4),Investments!$A:$A,"&lt;="&amp;$E$4,Investments!$D:$D,"&gt;"&amp;0)</f>
        <v/>
      </c>
      <c r="GU33" s="221">
        <f>SUMIFS(Investments!$D:$D,Investments!$B:$B,GQ$10,Investments!$C:$C,$A$3,Investments!$A:$A,"&gt;"&amp;GU30,Investments!$A:$A,"&lt;="&amp;$E$4,Investments!$D:$D,"&gt;"&amp;0)</f>
        <v/>
      </c>
      <c r="GW33" s="222" t="inlineStr">
        <is>
          <t xml:space="preserve">Additions </t>
        </is>
      </c>
      <c r="GX33" s="223">
        <f>SUMIFS(Investments!$D:$D,Investments!$B:$B,GW$10,Investments!$C:$C,$A$3,Investments!$A:$A,"&gt;"&amp;IF(HA30&gt;$D$2,HA30,$D$2),Investments!$A:$A,"&lt;="&amp;$E$2,Investments!$D:$D,"&gt;"&amp;0)</f>
        <v/>
      </c>
      <c r="GY33" s="223">
        <f>SUMIFS(Investments!$D:$D,Investments!$B:$B,GW$10,Investments!$C:$C,$A$3,Investments!$A:$A,"&gt;"&amp;IF(HA30&gt;$D$3,HA30,$D$3),Investments!$A:$A,"&lt;="&amp;$E$3,Investments!$D:$D,"&gt;"&amp;0)</f>
        <v/>
      </c>
      <c r="GZ33" s="223">
        <f>SUMIFS(Investments!$D:$D,Investments!$B:$B,GW$10,Investments!$C:$C,$A$3,Investments!$A:$A,"&gt;"&amp;IF(HA30&gt;$D$4,HA30,$D$4),Investments!$A:$A,"&lt;="&amp;$E$4,Investments!$D:$D,"&gt;"&amp;0)</f>
        <v/>
      </c>
      <c r="HA33" s="224">
        <f>SUMIFS(Investments!$D:$D,Investments!$B:$B,GW$10,Investments!$C:$C,$A$3,Investments!$A:$A,"&gt;"&amp;HA30,Investments!$A:$A,"&lt;="&amp;$E$4,Investments!$D:$D,"&gt;"&amp;0)</f>
        <v/>
      </c>
      <c r="HC33" s="188" t="n"/>
      <c r="HD33" s="220" t="n"/>
      <c r="HE33" s="220" t="n"/>
      <c r="HF33" s="220" t="n"/>
      <c r="HG33" s="221" t="n"/>
      <c r="HI33" s="222" t="inlineStr">
        <is>
          <t xml:space="preserve">Additions </t>
        </is>
      </c>
      <c r="HJ33" s="223">
        <f>SUMIFS(Investments!$D:$D,Investments!$B:$B,HI$10,Investments!$C:$C,$A$3,Investments!$A:$A,"&gt;"&amp;IF(HM30&gt;$D$2,HM30,$D$2),Investments!$A:$A,"&lt;="&amp;$E$2,Investments!$D:$D,"&gt;"&amp;0)</f>
        <v/>
      </c>
      <c r="HK33" s="223">
        <f>SUMIFS(Investments!$D:$D,Investments!$B:$B,HI$10,Investments!$C:$C,$A$3,Investments!$A:$A,"&gt;"&amp;IF(HM30&gt;$D$3,HM30,$D$3),Investments!$A:$A,"&lt;="&amp;$E$3,Investments!$D:$D,"&gt;"&amp;0)</f>
        <v/>
      </c>
      <c r="HL33" s="223">
        <f>SUMIFS(Investments!$D:$D,Investments!$B:$B,HI$10,Investments!$C:$C,$A$3,Investments!$A:$A,"&gt;"&amp;IF(HM30&gt;$D$4,HM30,$D$4),Investments!$A:$A,"&lt;="&amp;$E$4,Investments!$D:$D,"&gt;"&amp;0)</f>
        <v/>
      </c>
      <c r="HM33" s="224">
        <f>SUMIFS(Investments!$D:$D,Investments!$B:$B,HI$10,Investments!$C:$C,$A$3,Investments!$A:$A,"&gt;"&amp;HM30,Investments!$A:$A,"&lt;="&amp;$E$4,Investments!$D:$D,"&gt;"&amp;0)</f>
        <v/>
      </c>
      <c r="HO33" s="222" t="inlineStr">
        <is>
          <t xml:space="preserve">Additions </t>
        </is>
      </c>
      <c r="HP33" s="223">
        <f>SUMIFS(Investments!$D:$D,Investments!$B:$B,HO$10,Investments!$C:$C,$A$3,Investments!$A:$A,"&gt;"&amp;IF(HS30&gt;$D$2,HS30,$D$2),Investments!$A:$A,"&lt;="&amp;$E$2,Investments!$D:$D,"&gt;"&amp;0)</f>
        <v/>
      </c>
      <c r="HQ33" s="223">
        <f>SUMIFS(Investments!$D:$D,Investments!$B:$B,HO$10,Investments!$C:$C,$A$3,Investments!$A:$A,"&gt;"&amp;IF(HS30&gt;$D$3,HS30,$D$3),Investments!$A:$A,"&lt;="&amp;$E$3,Investments!$D:$D,"&gt;"&amp;0)</f>
        <v/>
      </c>
      <c r="HR33" s="223">
        <f>SUMIFS(Investments!$D:$D,Investments!$B:$B,HO$10,Investments!$C:$C,$A$3,Investments!$A:$A,"&gt;"&amp;IF(HS30&gt;$D$4,HS30,$D$4),Investments!$A:$A,"&lt;="&amp;$E$4,Investments!$D:$D,"&gt;"&amp;0)</f>
        <v/>
      </c>
      <c r="HS33" s="224">
        <f>SUMIFS(Investments!$D:$D,Investments!$B:$B,HO$10,Investments!$C:$C,$A$3,Investments!$A:$A,"&gt;"&amp;HS30,Investments!$A:$A,"&lt;="&amp;$E$4,Investments!$D:$D,"&gt;"&amp;0)</f>
        <v/>
      </c>
      <c r="HU33" s="188" t="n"/>
      <c r="HV33" s="220" t="n"/>
      <c r="HW33" s="220" t="n"/>
      <c r="HX33" s="220" t="n"/>
      <c r="HY33" s="221" t="n"/>
      <c r="IA33" s="188" t="n"/>
      <c r="IB33" s="220" t="n"/>
      <c r="IC33" s="220" t="n"/>
      <c r="ID33" s="220" t="n"/>
      <c r="IE33" s="221" t="n"/>
      <c r="IG33" s="188" t="n"/>
      <c r="IH33" s="220" t="n"/>
      <c r="II33" s="220" t="n"/>
      <c r="IJ33" s="220" t="n"/>
      <c r="IK33" s="221" t="n"/>
      <c r="IM33" s="188" t="inlineStr">
        <is>
          <t xml:space="preserve">Additions </t>
        </is>
      </c>
      <c r="IN33" s="220">
        <f>SUMIFS(Investments!$D:$D,Investments!$B:$B,IM$10,Investments!$C:$C,$A$3,Investments!$A:$A,"&gt;"&amp;IF(IQ30&gt;$D$2,IQ30,$D$2),Investments!$A:$A,"&lt;="&amp;$E$2,Investments!$D:$D,"&gt;"&amp;0)</f>
        <v/>
      </c>
      <c r="IO33" s="220">
        <f>SUMIFS(Investments!$D:$D,Investments!$B:$B,IM$10,Investments!$C:$C,$A$3,Investments!$A:$A,"&gt;"&amp;IF(IQ30&gt;$D$3,IQ30,$D$3),Investments!$A:$A,"&lt;="&amp;$E$3,Investments!$D:$D,"&gt;"&amp;0)</f>
        <v/>
      </c>
      <c r="IP33" s="220">
        <f>SUMIFS(Investments!$D:$D,Investments!$B:$B,IM$10,Investments!$C:$C,$A$3,Investments!$A:$A,"&gt;"&amp;IF(IQ30&gt;$D$4,IQ30,$D$4),Investments!$A:$A,"&lt;="&amp;$E$4,Investments!$D:$D,"&gt;"&amp;0)</f>
        <v/>
      </c>
      <c r="IQ33" s="221">
        <f>SUMIFS(Investments!$D:$D,Investments!$B:$B,IM$10,Investments!$C:$C,$A$3,Investments!$A:$A,"&gt;"&amp;IQ30,Investments!$A:$A,"&lt;="&amp;$E$4,Investments!$D:$D,"&gt;"&amp;0)</f>
        <v/>
      </c>
      <c r="IS33" s="188" t="inlineStr">
        <is>
          <t xml:space="preserve">Additions </t>
        </is>
      </c>
      <c r="IT33" s="220">
        <f>SUMIFS(Investments!$D:$D,Investments!$B:$B,IS$10,Investments!$C:$C,$A$3,Investments!$A:$A,"&gt;"&amp;IF(IW30&gt;$D$2,IW30,$D$2),Investments!$A:$A,"&lt;="&amp;$E$2,Investments!$D:$D,"&gt;"&amp;0)</f>
        <v/>
      </c>
      <c r="IU33" s="220">
        <f>SUMIFS(Investments!$D:$D,Investments!$B:$B,IS$10,Investments!$C:$C,$A$3,Investments!$A:$A,"&gt;"&amp;IF(IW30&gt;$D$3,IW30,$D$3),Investments!$A:$A,"&lt;="&amp;$E$3,Investments!$D:$D,"&gt;"&amp;0)</f>
        <v/>
      </c>
      <c r="IV33" s="220">
        <f>SUMIFS(Investments!$D:$D,Investments!$B:$B,IS$10,Investments!$C:$C,$A$3,Investments!$A:$A,"&gt;"&amp;IF(IW30&gt;$D$4,IW30,$D$4),Investments!$A:$A,"&lt;="&amp;$E$4,Investments!$D:$D,"&gt;"&amp;0)</f>
        <v/>
      </c>
      <c r="IW33" s="221">
        <f>SUMIFS(Investments!$D:$D,Investments!$B:$B,IS$10,Investments!$C:$C,$A$3,Investments!$A:$A,"&gt;"&amp;IW30,Investments!$A:$A,"&lt;="&amp;$E$4,Investments!$D:$D,"&gt;"&amp;0)</f>
        <v/>
      </c>
      <c r="IY33" s="188" t="n"/>
      <c r="IZ33" s="220" t="n"/>
      <c r="JA33" s="220" t="n"/>
      <c r="JB33" s="220" t="n"/>
      <c r="JC33" s="221" t="n"/>
    </row>
    <row r="34" ht="15.75" customHeight="1" s="252">
      <c r="A34" s="188" t="inlineStr">
        <is>
          <t>Redemptions</t>
        </is>
      </c>
      <c r="B34" s="220">
        <f>SUMIFS(Investments!$D:$D,Investments!$B:$B,A$10,Investments!$C:$C,$A$3,Investments!$A:$A,"&gt;"&amp;IF(E30&gt;$D$2,E30,$D$2),Investments!$A:$A,"&lt;"&amp;$E$2,Investments!$D:$D,"&lt;"&amp;0)</f>
        <v/>
      </c>
      <c r="C34" s="220">
        <f>SUMIFS(Investments!$D:$D,Investments!$B:$B,A$10,Investments!$C:$C,$A$3,Investments!$A:$A,"&gt;"&amp;IF(E30&gt;$D$3,E30,$D$3),Investments!$A:$A,"&lt;="&amp;$E$3,Investments!$D:$D,"&lt;"&amp;0)</f>
        <v/>
      </c>
      <c r="D34" s="220">
        <f>SUMIFS(Investments!$D:$D,Investments!$B:$B,A$10,Investments!$C:$C,$A$3,Investments!$A:$A,"&gt;"&amp;IF(E30&gt;$D$4,E30,$D$4),Investments!$A:$A,"&lt;="&amp;$E$4,Investments!$D:$D,"&lt;"&amp;0)</f>
        <v/>
      </c>
      <c r="E34" s="221">
        <f>SUMIFS(Investments!$D:$D,Investments!$B:$B,A$10,Investments!$C:$C,$A$3,Investments!$A:$A,"&gt;"&amp;E30,Investments!$A:$A,"&lt;="&amp;$E$4,Investments!$D:$D,"&lt;"&amp;0)</f>
        <v/>
      </c>
      <c r="G34" s="188" t="n"/>
      <c r="H34" s="220" t="n"/>
      <c r="I34" s="220" t="n"/>
      <c r="J34" s="220" t="n"/>
      <c r="K34" s="221" t="n"/>
      <c r="M34" s="188" t="n"/>
      <c r="N34" s="220" t="n"/>
      <c r="O34" s="220" t="n"/>
      <c r="P34" s="220" t="n"/>
      <c r="Q34" s="221" t="n"/>
      <c r="S34" s="188" t="inlineStr">
        <is>
          <t>Redemptions</t>
        </is>
      </c>
      <c r="T34" s="220">
        <f>SUMIFS(Investments!$D:$D,Investments!$B:$B,S$10,Investments!$C:$C,$A$3,Investments!$A:$A,"&gt;"&amp;IF(W30&gt;$D$2,W30,$D$2),Investments!$A:$A,"&lt;"&amp;$E$2,Investments!$D:$D,"&lt;"&amp;0)</f>
        <v/>
      </c>
      <c r="U34" s="220">
        <f>SUMIFS(Investments!$D:$D,Investments!$B:$B,S$10,Investments!$C:$C,$A$3,Investments!$A:$A,"&gt;"&amp;IF(W30&gt;$D$3,W30,$D$3),Investments!$A:$A,"&lt;="&amp;$E$3,Investments!$D:$D,"&lt;"&amp;0)</f>
        <v/>
      </c>
      <c r="V34" s="220">
        <f>SUMIFS(Investments!$D:$D,Investments!$B:$B,S$10,Investments!$C:$C,$A$3,Investments!$A:$A,"&gt;"&amp;IF(W30&gt;$D$4,W30,$D$4),Investments!$A:$A,"&lt;="&amp;$E$4,Investments!$D:$D,"&lt;"&amp;0)</f>
        <v/>
      </c>
      <c r="W34" s="221">
        <f>SUMIFS(Investments!$D:$D,Investments!$B:$B,S$10,Investments!$C:$C,$A$3,Investments!$A:$A,"&gt;"&amp;W30,Investments!$A:$A,"&lt;="&amp;$E$4,Investments!$D:$D,"&lt;"&amp;0)</f>
        <v/>
      </c>
      <c r="Y34" s="188" t="n"/>
      <c r="Z34" s="220" t="n"/>
      <c r="AA34" s="220" t="n"/>
      <c r="AB34" s="220" t="n"/>
      <c r="AC34" s="221" t="n"/>
      <c r="AE34" s="188" t="inlineStr">
        <is>
          <t>Redemptions</t>
        </is>
      </c>
      <c r="AF34" s="220">
        <f>SUMIFS(Investments!$D:$D,Investments!$B:$B,AE$10,Investments!$C:$C,$A$3,Investments!$A:$A,"&gt;"&amp;IF(AI30&gt;$D$2,AI30,$D$2),Investments!$A:$A,"&lt;"&amp;$E$2,Investments!$D:$D,"&lt;"&amp;0)</f>
        <v/>
      </c>
      <c r="AG34" s="220">
        <f>SUMIFS(Investments!$D:$D,Investments!$B:$B,AE$10,Investments!$C:$C,$A$3,Investments!$A:$A,"&gt;"&amp;IF(AI30&gt;$D$3,AI30,$D$3),Investments!$A:$A,"&lt;="&amp;$E$3,Investments!$D:$D,"&lt;"&amp;0)</f>
        <v/>
      </c>
      <c r="AH34" s="220">
        <f>SUMIFS(Investments!$D:$D,Investments!$B:$B,AE$10,Investments!$C:$C,$A$3,Investments!$A:$A,"&gt;"&amp;IF(AI30&gt;$D$4,AI30,$D$4),Investments!$A:$A,"&lt;="&amp;$E$4,Investments!$D:$D,"&lt;"&amp;0)</f>
        <v/>
      </c>
      <c r="AI34" s="221">
        <f>SUMIFS(Investments!$D:$D,Investments!$B:$B,AE$10,Investments!$C:$C,$A$3,Investments!$A:$A,"&gt;"&amp;AI30,Investments!$A:$A,"&lt;="&amp;$E$4,Investments!$D:$D,"&lt;"&amp;0)</f>
        <v/>
      </c>
      <c r="AK34" s="188" t="n"/>
      <c r="AL34" s="220" t="n"/>
      <c r="AM34" s="220" t="n"/>
      <c r="AN34" s="220" t="n"/>
      <c r="AO34" s="221" t="n"/>
      <c r="AQ34" s="188" t="n"/>
      <c r="AR34" s="220" t="n"/>
      <c r="AS34" s="220" t="n"/>
      <c r="AT34" s="220" t="n"/>
      <c r="AU34" s="221" t="n"/>
      <c r="AW34" s="188" t="inlineStr">
        <is>
          <t>Redemptions</t>
        </is>
      </c>
      <c r="AX34" s="220">
        <f>SUMIFS(Investments!$D:$D,Investments!$B:$B,AW$10,Investments!$C:$C,$A$3,Investments!$A:$A,"&gt;"&amp;IF(BA30&gt;$D$2,BA30,$D$2),Investments!$A:$A,"&lt;"&amp;$E$2,Investments!$D:$D,"&lt;"&amp;0)</f>
        <v/>
      </c>
      <c r="AY34" s="220">
        <f>SUMIFS(Investments!$D:$D,Investments!$B:$B,AW$10,Investments!$C:$C,$A$3,Investments!$A:$A,"&gt;"&amp;IF(BA30&gt;$D$3,BA30,$D$3),Investments!$A:$A,"&lt;="&amp;$E$3,Investments!$D:$D,"&lt;"&amp;0)</f>
        <v/>
      </c>
      <c r="AZ34" s="220">
        <f>SUMIFS(Investments!$D:$D,Investments!$B:$B,AW$10,Investments!$C:$C,$A$3,Investments!$A:$A,"&gt;"&amp;IF(BA30&gt;$D$4,BA30,$D$4),Investments!$A:$A,"&lt;="&amp;$E$4,Investments!$D:$D,"&lt;"&amp;0)</f>
        <v/>
      </c>
      <c r="BA34" s="221">
        <f>SUMIFS(Investments!$D:$D,Investments!$B:$B,AW$10,Investments!$C:$C,$A$3,Investments!$A:$A,"&gt;"&amp;BA30,Investments!$A:$A,"&lt;="&amp;$E$4,Investments!$D:$D,"&lt;"&amp;0)</f>
        <v/>
      </c>
      <c r="BC34" s="188" t="inlineStr">
        <is>
          <t>Redemptions</t>
        </is>
      </c>
      <c r="BD34" s="220">
        <f>SUMIFS(Investments!$D:$D,Investments!$B:$B,BC$10,Investments!$C:$C,$A$3,Investments!$A:$A,"&gt;"&amp;IF(BG30&gt;$D$2,BG30,$D$2),Investments!$A:$A,"&lt;"&amp;$E$2,Investments!$D:$D,"&lt;"&amp;0)</f>
        <v/>
      </c>
      <c r="BE34" s="220">
        <f>SUMIFS(Investments!$D:$D,Investments!$B:$B,BC$10,Investments!$C:$C,$A$3,Investments!$A:$A,"&gt;"&amp;IF(BG30&gt;$D$3,BG30,$D$3),Investments!$A:$A,"&lt;="&amp;$E$3,Investments!$D:$D,"&lt;"&amp;0)</f>
        <v/>
      </c>
      <c r="BF34" s="220">
        <f>SUMIFS(Investments!$D:$D,Investments!$B:$B,BC$10,Investments!$C:$C,$A$3,Investments!$A:$A,"&gt;"&amp;IF(BG30&gt;$D$4,BG30,$D$4),Investments!$A:$A,"&lt;="&amp;$E$4,Investments!$D:$D,"&lt;"&amp;0)</f>
        <v/>
      </c>
      <c r="BG34" s="221">
        <f>SUMIFS(Investments!$D:$D,Investments!$B:$B,BC$10,Investments!$C:$C,$A$3,Investments!$A:$A,"&gt;"&amp;BG30,Investments!$A:$A,"&lt;="&amp;$E$4,Investments!$D:$D,"&lt;"&amp;0)</f>
        <v/>
      </c>
      <c r="BI34" s="188" t="n"/>
      <c r="BJ34" s="220" t="n"/>
      <c r="BK34" s="220" t="n"/>
      <c r="BL34" s="220" t="n"/>
      <c r="BM34" s="221" t="n"/>
      <c r="BO34" s="188" t="inlineStr">
        <is>
          <t>Redemptions</t>
        </is>
      </c>
      <c r="BP34" s="220">
        <f>SUMIFS(Investments!$D:$D,Investments!$B:$B,BO$10,Investments!$C:$C,$A$3,Investments!$A:$A,"&gt;"&amp;IF(BS30&gt;$D$2,BS30,$D$2),Investments!$A:$A,"&lt;"&amp;$E$2,Investments!$D:$D,"&lt;"&amp;0)</f>
        <v/>
      </c>
      <c r="BQ34" s="220">
        <f>SUMIFS(Investments!$D:$D,Investments!$B:$B,BO$10,Investments!$C:$C,$A$3,Investments!$A:$A,"&gt;"&amp;IF(BS30&gt;$D$3,BS30,$D$3),Investments!$A:$A,"&lt;="&amp;$E$3,Investments!$D:$D,"&lt;"&amp;0)</f>
        <v/>
      </c>
      <c r="BR34" s="220">
        <f>SUMIFS(Investments!$D:$D,Investments!$B:$B,BO$10,Investments!$C:$C,$A$3,Investments!$A:$A,"&gt;"&amp;IF(BS30&gt;$D$4,BS30,$D$4),Investments!$A:$A,"&lt;="&amp;$E$4,Investments!$D:$D,"&lt;"&amp;0)</f>
        <v/>
      </c>
      <c r="BS34" s="221">
        <f>SUMIFS(Investments!$D:$D,Investments!$B:$B,BO$10,Investments!$C:$C,$A$3,Investments!$A:$A,"&gt;"&amp;BS30,Investments!$A:$A,"&lt;="&amp;$E$4,Investments!$D:$D,"&lt;"&amp;0)</f>
        <v/>
      </c>
      <c r="BU34" s="188" t="inlineStr">
        <is>
          <t>Redemptions</t>
        </is>
      </c>
      <c r="BV34" s="220">
        <f>SUMIFS(Investments!$D:$D,Investments!$B:$B,BU$10,Investments!$C:$C,$A$3,Investments!$A:$A,"&gt;"&amp;IF(BY30&gt;$D$2,BY30,$D$2),Investments!$A:$A,"&lt;"&amp;$E$2,Investments!$D:$D,"&lt;"&amp;0)</f>
        <v/>
      </c>
      <c r="BW34" s="220">
        <f>SUMIFS(Investments!$D:$D,Investments!$B:$B,BU$10,Investments!$C:$C,$A$3,Investments!$A:$A,"&gt;"&amp;IF(BY30&gt;$D$3,BY30,$D$3),Investments!$A:$A,"&lt;="&amp;$E$3,Investments!$D:$D,"&lt;"&amp;0)</f>
        <v/>
      </c>
      <c r="BX34" s="220">
        <f>SUMIFS(Investments!$D:$D,Investments!$B:$B,BU$10,Investments!$C:$C,$A$3,Investments!$A:$A,"&gt;"&amp;IF(BY30&gt;$D$4,BY30,$D$4),Investments!$A:$A,"&lt;="&amp;$E$4,Investments!$D:$D,"&lt;"&amp;0)</f>
        <v/>
      </c>
      <c r="BY34" s="221">
        <f>SUMIFS(Investments!$D:$D,Investments!$B:$B,BU$10,Investments!$C:$C,$A$3,Investments!$A:$A,"&gt;"&amp;BY30,Investments!$A:$A,"&lt;="&amp;$E$4,Investments!$D:$D,"&lt;"&amp;0)</f>
        <v/>
      </c>
      <c r="CA34" s="188" t="inlineStr">
        <is>
          <t>Redemptions</t>
        </is>
      </c>
      <c r="CB34" s="220">
        <f>SUMIFS(Investments!$D:$D,Investments!$B:$B,CA$10,Investments!$C:$C,$A$3,Investments!$A:$A,"&gt;"&amp;IF(CE30&gt;$D$2,CE30,$D$2),Investments!$A:$A,"&lt;"&amp;$E$2,Investments!$D:$D,"&lt;"&amp;0)</f>
        <v/>
      </c>
      <c r="CC34" s="220">
        <f>SUMIFS(Investments!$D:$D,Investments!$B:$B,CA$10,Investments!$C:$C,$A$3,Investments!$A:$A,"&gt;"&amp;IF(CE30&gt;$D$3,CE30,$D$3),Investments!$A:$A,"&lt;="&amp;$E$3,Investments!$D:$D,"&lt;"&amp;0)</f>
        <v/>
      </c>
      <c r="CD34" s="220">
        <f>SUMIFS(Investments!$D:$D,Investments!$B:$B,CA$10,Investments!$C:$C,$A$3,Investments!$A:$A,"&gt;"&amp;IF(CE30&gt;$D$4,CE30,$D$4),Investments!$A:$A,"&lt;="&amp;$E$4,Investments!$D:$D,"&lt;"&amp;0)</f>
        <v/>
      </c>
      <c r="CE34" s="221">
        <f>SUMIFS(Investments!$D:$D,Investments!$B:$B,CA$10,Investments!$C:$C,$A$3,Investments!$A:$A,"&gt;"&amp;CE30,Investments!$A:$A,"&lt;="&amp;$E$4,Investments!$D:$D,"&lt;"&amp;0)</f>
        <v/>
      </c>
      <c r="CG34" s="188" t="inlineStr">
        <is>
          <t>Redemptions</t>
        </is>
      </c>
      <c r="CH34" s="220">
        <f>SUMIFS(Investments!$D:$D,Investments!$B:$B,CG$10,Investments!$C:$C,$A$3,Investments!$A:$A,"&gt;"&amp;IF(CK30&gt;$D$2,CK30,$D$2),Investments!$A:$A,"&lt;"&amp;$E$2,Investments!$D:$D,"&lt;"&amp;0)</f>
        <v/>
      </c>
      <c r="CI34" s="220">
        <f>SUMIFS(Investments!$D:$D,Investments!$B:$B,CG$10,Investments!$C:$C,$A$3,Investments!$A:$A,"&gt;"&amp;IF(CK30&gt;$D$3,CK30,$D$3),Investments!$A:$A,"&lt;="&amp;$E$3,Investments!$D:$D,"&lt;"&amp;0)</f>
        <v/>
      </c>
      <c r="CJ34" s="220">
        <f>SUMIFS(Investments!$D:$D,Investments!$B:$B,CG$10,Investments!$C:$C,$A$3,Investments!$A:$A,"&gt;"&amp;IF(CK30&gt;$D$4,CK30,$D$4),Investments!$A:$A,"&lt;="&amp;$E$4,Investments!$D:$D,"&lt;"&amp;0)</f>
        <v/>
      </c>
      <c r="CK34" s="221">
        <f>SUMIFS(Investments!$D:$D,Investments!$B:$B,CG$10,Investments!$C:$C,$A$3,Investments!$A:$A,"&gt;"&amp;CK30,Investments!$A:$A,"&lt;="&amp;$E$4,Investments!$D:$D,"&lt;"&amp;0)</f>
        <v/>
      </c>
      <c r="CM34" s="188" t="inlineStr">
        <is>
          <t>Redemptions</t>
        </is>
      </c>
      <c r="CN34" s="220">
        <f>SUMIFS(Investments!$D:$D,Investments!$B:$B,CM$10,Investments!$C:$C,$A$3,Investments!$A:$A,"&gt;"&amp;IF(CQ30&gt;$D$2,CQ30,$D$2),Investments!$A:$A,"&lt;"&amp;$E$2,Investments!$D:$D,"&lt;"&amp;0)</f>
        <v/>
      </c>
      <c r="CO34" s="220">
        <f>SUMIFS(Investments!$D:$D,Investments!$B:$B,CM$10,Investments!$C:$C,$A$3,Investments!$A:$A,"&gt;"&amp;IF(CQ30&gt;$D$3,CQ30,$D$3),Investments!$A:$A,"&lt;="&amp;$E$3,Investments!$D:$D,"&lt;"&amp;0)</f>
        <v/>
      </c>
      <c r="CP34" s="220">
        <f>SUMIFS(Investments!$D:$D,Investments!$B:$B,CM$10,Investments!$C:$C,$A$3,Investments!$A:$A,"&gt;"&amp;IF(CQ30&gt;$D$4,CQ30,$D$4),Investments!$A:$A,"&lt;="&amp;$E$4,Investments!$D:$D,"&lt;"&amp;0)</f>
        <v/>
      </c>
      <c r="CQ34" s="221">
        <f>SUMIFS(Investments!$D:$D,Investments!$B:$B,CM$10,Investments!$C:$C,$A$3,Investments!$A:$A,"&gt;"&amp;CQ30,Investments!$A:$A,"&lt;="&amp;$E$4,Investments!$D:$D,"&lt;"&amp;0)</f>
        <v/>
      </c>
      <c r="CS34" s="188" t="n"/>
      <c r="CT34" s="220" t="n"/>
      <c r="CU34" s="220" t="n"/>
      <c r="CV34" s="220" t="n"/>
      <c r="CW34" s="221" t="n"/>
      <c r="CY34" s="188" t="inlineStr">
        <is>
          <t>Redemptions</t>
        </is>
      </c>
      <c r="CZ34" s="220">
        <f>SUMIFS(Investments!$D:$D,Investments!$B:$B,CY$10,Investments!$C:$C,$A$3,Investments!$A:$A,"&gt;"&amp;IF(DC30&gt;$D$2,DC30,$D$2),Investments!$A:$A,"&lt;"&amp;$E$2,Investments!$D:$D,"&lt;"&amp;0)</f>
        <v/>
      </c>
      <c r="DA34" s="220">
        <f>SUMIFS(Investments!$D:$D,Investments!$B:$B,CY$10,Investments!$C:$C,$A$3,Investments!$A:$A,"&gt;"&amp;IF(DC30&gt;$D$3,DC30,$D$3),Investments!$A:$A,"&lt;="&amp;$E$3,Investments!$D:$D,"&lt;"&amp;0)</f>
        <v/>
      </c>
      <c r="DB34" s="220">
        <f>SUMIFS(Investments!$D:$D,Investments!$B:$B,CY$10,Investments!$C:$C,$A$3,Investments!$A:$A,"&gt;"&amp;IF(DC30&gt;$D$4,DC30,$D$4),Investments!$A:$A,"&lt;="&amp;$E$4,Investments!$D:$D,"&lt;"&amp;0)</f>
        <v/>
      </c>
      <c r="DC34" s="221">
        <f>SUMIFS(Investments!$D:$D,Investments!$B:$B,CY$10,Investments!$C:$C,$A$3,Investments!$A:$A,"&gt;"&amp;DC30,Investments!$A:$A,"&lt;="&amp;$E$4,Investments!$D:$D,"&lt;"&amp;0)</f>
        <v/>
      </c>
      <c r="DE34" s="188" t="inlineStr">
        <is>
          <t>Redemptions</t>
        </is>
      </c>
      <c r="DF34" s="220">
        <f>SUMIFS(Investments!$D:$D,Investments!$B:$B,DE$10,Investments!$C:$C,$A$3,Investments!$A:$A,"&gt;"&amp;IF(DI30&gt;$D$2,DI30,$D$2),Investments!$A:$A,"&lt;"&amp;$E$2,Investments!$D:$D,"&lt;"&amp;0)</f>
        <v/>
      </c>
      <c r="DG34" s="220">
        <f>SUMIFS(Investments!$D:$D,Investments!$B:$B,DE$10,Investments!$C:$C,$A$3,Investments!$A:$A,"&gt;"&amp;IF(DI30&gt;$D$3,DI30,$D$3),Investments!$A:$A,"&lt;="&amp;$E$3,Investments!$D:$D,"&lt;"&amp;0)</f>
        <v/>
      </c>
      <c r="DH34" s="220">
        <f>SUMIFS(Investments!$D:$D,Investments!$B:$B,DE$10,Investments!$C:$C,$A$3,Investments!$A:$A,"&gt;"&amp;IF(DI30&gt;$D$4,DI30,$D$4),Investments!$A:$A,"&lt;="&amp;$E$4,Investments!$D:$D,"&lt;"&amp;0)</f>
        <v/>
      </c>
      <c r="DI34" s="221">
        <f>SUMIFS(Investments!$D:$D,Investments!$B:$B,DE$10,Investments!$C:$C,$A$3,Investments!$A:$A,"&gt;"&amp;DI30,Investments!$A:$A,"&lt;="&amp;$E$4,Investments!$D:$D,"&lt;"&amp;0)</f>
        <v/>
      </c>
      <c r="DK34" s="188" t="inlineStr">
        <is>
          <t>Redemptions</t>
        </is>
      </c>
      <c r="DL34" s="220">
        <f>SUMIFS(Investments!$D:$D,Investments!$B:$B,DK$10,Investments!$C:$C,$A$3,Investments!$A:$A,"&gt;"&amp;IF(DO30&gt;$D$2,DO30,$D$2),Investments!$A:$A,"&lt;"&amp;$E$2,Investments!$D:$D,"&lt;"&amp;0)</f>
        <v/>
      </c>
      <c r="DM34" s="220">
        <f>SUMIFS(Investments!$D:$D,Investments!$B:$B,DK$10,Investments!$C:$C,$A$3,Investments!$A:$A,"&gt;"&amp;IF(DO30&gt;$D$3,DO30,$D$3),Investments!$A:$A,"&lt;="&amp;$E$3,Investments!$D:$D,"&lt;"&amp;0)</f>
        <v/>
      </c>
      <c r="DN34" s="220">
        <f>SUMIFS(Investments!$D:$D,Investments!$B:$B,DK$10,Investments!$C:$C,$A$3,Investments!$A:$A,"&gt;"&amp;IF(DO30&gt;$D$4,DO30,$D$4),Investments!$A:$A,"&lt;="&amp;$E$4,Investments!$D:$D,"&lt;"&amp;0)</f>
        <v/>
      </c>
      <c r="DO34" s="221">
        <f>SUMIFS(Investments!$D:$D,Investments!$B:$B,DK$10,Investments!$C:$C,$A$3,Investments!$A:$A,"&gt;"&amp;DO30,Investments!$A:$A,"&lt;="&amp;$E$4,Investments!$D:$D,"&lt;"&amp;0)</f>
        <v/>
      </c>
      <c r="DQ34" s="188" t="inlineStr">
        <is>
          <t>Redemptions</t>
        </is>
      </c>
      <c r="DR34" s="220">
        <f>SUMIFS(Investments!$D:$D,Investments!$B:$B,DQ$10,Investments!$C:$C,$A$3,Investments!$A:$A,"&gt;"&amp;IF(DU30&gt;$D$2,DU30,$D$2),Investments!$A:$A,"&lt;"&amp;$E$2,Investments!$D:$D,"&lt;"&amp;0)</f>
        <v/>
      </c>
      <c r="DS34" s="220">
        <f>SUMIFS(Investments!$D:$D,Investments!$B:$B,DQ$10,Investments!$C:$C,$A$3,Investments!$A:$A,"&gt;"&amp;IF(DU30&gt;$D$3,DU30,$D$3),Investments!$A:$A,"&lt;="&amp;$E$3,Investments!$D:$D,"&lt;"&amp;0)</f>
        <v/>
      </c>
      <c r="DT34" s="220">
        <f>SUMIFS(Investments!$D:$D,Investments!$B:$B,DQ$10,Investments!$C:$C,$A$3,Investments!$A:$A,"&gt;"&amp;IF(DU30&gt;$D$4,DU30,$D$4),Investments!$A:$A,"&lt;="&amp;$E$4,Investments!$D:$D,"&lt;"&amp;0)</f>
        <v/>
      </c>
      <c r="DU34" s="221">
        <f>SUMIFS(Investments!$D:$D,Investments!$B:$B,DQ$10,Investments!$C:$C,$A$3,Investments!$A:$A,"&gt;"&amp;DU30,Investments!$A:$A,"&lt;="&amp;$E$4,Investments!$D:$D,"&lt;"&amp;0)</f>
        <v/>
      </c>
      <c r="DW34" s="188" t="n"/>
      <c r="DX34" s="220" t="n"/>
      <c r="DY34" s="220" t="n"/>
      <c r="DZ34" s="220" t="n"/>
      <c r="EA34" s="221" t="n"/>
      <c r="EC34" s="188" t="n"/>
      <c r="ED34" s="220" t="n"/>
      <c r="EE34" s="220" t="n"/>
      <c r="EF34" s="220" t="n"/>
      <c r="EG34" s="221" t="n"/>
      <c r="EI34" s="188" t="inlineStr">
        <is>
          <t>Redemptions</t>
        </is>
      </c>
      <c r="EJ34" s="220">
        <f>SUMIFS(Investments!$D:$D,Investments!$B:$B,EI$10,Investments!$C:$C,$A$3,Investments!$A:$A,"&gt;"&amp;IF(EM30&gt;$D$2,EM30,$D$2),Investments!$A:$A,"&lt;"&amp;$E$2,Investments!$D:$D,"&lt;"&amp;0)</f>
        <v/>
      </c>
      <c r="EK34" s="220">
        <f>SUMIFS(Investments!$D:$D,Investments!$B:$B,EI$10,Investments!$C:$C,$A$3,Investments!$A:$A,"&gt;"&amp;IF(EM30&gt;$D$3,EM30,$D$3),Investments!$A:$A,"&lt;="&amp;$E$3,Investments!$D:$D,"&lt;"&amp;0)</f>
        <v/>
      </c>
      <c r="EL34" s="220">
        <f>SUMIFS(Investments!$D:$D,Investments!$B:$B,EI$10,Investments!$C:$C,$A$3,Investments!$A:$A,"&gt;"&amp;IF(EM30&gt;$D$4,EM30,$D$4),Investments!$A:$A,"&lt;="&amp;$E$4,Investments!$D:$D,"&lt;"&amp;0)</f>
        <v/>
      </c>
      <c r="EM34" s="221">
        <f>SUMIFS(Investments!$D:$D,Investments!$B:$B,EI$10,Investments!$C:$C,$A$3,Investments!$A:$A,"&gt;"&amp;EM30,Investments!$A:$A,"&lt;="&amp;$E$4,Investments!$D:$D,"&lt;"&amp;0)</f>
        <v/>
      </c>
      <c r="EO34" s="188" t="inlineStr">
        <is>
          <t>Redemptions</t>
        </is>
      </c>
      <c r="EP34" s="220">
        <f>SUMIFS(Investments!$D:$D,Investments!$B:$B,EO$10,Investments!$C:$C,$A$3,Investments!$A:$A,"&gt;"&amp;IF(ES30&gt;$D$2,ES30,$D$2),Investments!$A:$A,"&lt;"&amp;$E$2,Investments!$D:$D,"&lt;"&amp;0)</f>
        <v/>
      </c>
      <c r="EQ34" s="220">
        <f>SUMIFS(Investments!$D:$D,Investments!$B:$B,EO$10,Investments!$C:$C,$A$3,Investments!$A:$A,"&gt;"&amp;IF(ES30&gt;$D$3,ES30,$D$3),Investments!$A:$A,"&lt;="&amp;$E$3,Investments!$D:$D,"&lt;"&amp;0)</f>
        <v/>
      </c>
      <c r="ER34" s="220">
        <f>SUMIFS(Investments!$D:$D,Investments!$B:$B,EO$10,Investments!$C:$C,$A$3,Investments!$A:$A,"&gt;"&amp;IF(ES30&gt;$D$4,ES30,$D$4),Investments!$A:$A,"&lt;="&amp;$E$4,Investments!$D:$D,"&lt;"&amp;0)</f>
        <v/>
      </c>
      <c r="ES34" s="221">
        <f>SUMIFS(Investments!$D:$D,Investments!$B:$B,EO$10,Investments!$C:$C,$A$3,Investments!$A:$A,"&gt;"&amp;ES30,Investments!$A:$A,"&lt;="&amp;$E$4,Investments!$D:$D,"&lt;"&amp;0)</f>
        <v/>
      </c>
      <c r="EU34" s="188" t="n"/>
      <c r="EV34" s="220" t="n"/>
      <c r="EW34" s="220" t="n"/>
      <c r="EX34" s="220" t="n"/>
      <c r="EY34" s="221" t="n"/>
      <c r="FA34" s="188" t="n"/>
      <c r="FB34" s="220" t="n"/>
      <c r="FC34" s="220" t="n"/>
      <c r="FD34" s="220" t="n"/>
      <c r="FE34" s="221" t="n"/>
      <c r="FG34" s="188" t="n"/>
      <c r="FH34" s="220" t="n"/>
      <c r="FI34" s="220" t="n"/>
      <c r="FJ34" s="220" t="n"/>
      <c r="FK34" s="221" t="n"/>
      <c r="FM34" s="188" t="inlineStr">
        <is>
          <t>Redemptions</t>
        </is>
      </c>
      <c r="FN34" s="220">
        <f>SUMIFS(Investments!$D:$D,Investments!$B:$B,FM$10,Investments!$C:$C,$A$3,Investments!$A:$A,"&gt;"&amp;IF(FQ30&gt;$D$2,FQ30,$D$2),Investments!$A:$A,"&lt;"&amp;$E$2,Investments!$D:$D,"&lt;"&amp;0)</f>
        <v/>
      </c>
      <c r="FO34" s="220">
        <f>SUMIFS(Investments!$D:$D,Investments!$B:$B,FM$10,Investments!$C:$C,$A$3,Investments!$A:$A,"&gt;"&amp;IF(FQ30&gt;$D$3,FQ30,$D$3),Investments!$A:$A,"&lt;="&amp;$E$3,Investments!$D:$D,"&lt;"&amp;0)</f>
        <v/>
      </c>
      <c r="FP34" s="220">
        <f>SUMIFS(Investments!$D:$D,Investments!$B:$B,FM$10,Investments!$C:$C,$A$3,Investments!$A:$A,"&gt;"&amp;IF(FQ30&gt;$D$4,FQ30,$D$4),Investments!$A:$A,"&lt;="&amp;$E$4,Investments!$D:$D,"&lt;"&amp;0)</f>
        <v/>
      </c>
      <c r="FQ34" s="221">
        <f>SUMIFS(Investments!$D:$D,Investments!$B:$B,FM$10,Investments!$C:$C,$A$3,Investments!$A:$A,"&gt;"&amp;FQ30,Investments!$A:$A,"&lt;="&amp;$E$4,Investments!$D:$D,"&lt;"&amp;0)</f>
        <v/>
      </c>
      <c r="FS34" s="188" t="inlineStr">
        <is>
          <t>Redemptions</t>
        </is>
      </c>
      <c r="FT34" s="220">
        <f>SUMIFS(Investments!$D:$D,Investments!$B:$B,FS$10,Investments!$C:$C,$A$3,Investments!$A:$A,"&gt;"&amp;IF(FW30&gt;$D$2,FW30,$D$2),Investments!$A:$A,"&lt;"&amp;$E$2,Investments!$D:$D,"&lt;"&amp;0)</f>
        <v/>
      </c>
      <c r="FU34" s="220">
        <f>SUMIFS(Investments!$D:$D,Investments!$B:$B,FS$10,Investments!$C:$C,$A$3,Investments!$A:$A,"&gt;"&amp;IF(FW30&gt;$D$3,FW30,$D$3),Investments!$A:$A,"&lt;="&amp;$E$3,Investments!$D:$D,"&lt;"&amp;0)</f>
        <v/>
      </c>
      <c r="FV34" s="220">
        <f>SUMIFS(Investments!$D:$D,Investments!$B:$B,FS$10,Investments!$C:$C,$A$3,Investments!$A:$A,"&gt;"&amp;IF(FW30&gt;$D$4,FW30,$D$4),Investments!$A:$A,"&lt;="&amp;$E$4,Investments!$D:$D,"&lt;"&amp;0)</f>
        <v/>
      </c>
      <c r="FW34" s="221">
        <f>SUMIFS(Investments!$D:$D,Investments!$B:$B,FS$10,Investments!$C:$C,$A$3,Investments!$A:$A,"&gt;"&amp;FW30,Investments!$A:$A,"&lt;="&amp;$E$4,Investments!$D:$D,"&lt;"&amp;0)</f>
        <v/>
      </c>
      <c r="FY34" s="188" t="inlineStr">
        <is>
          <t>Redemptions</t>
        </is>
      </c>
      <c r="FZ34" s="220">
        <f>SUMIFS(Investments!$D:$D,Investments!$B:$B,FY$10,Investments!$C:$C,$A$3,Investments!$A:$A,"&gt;"&amp;IF(GC30&gt;$D$2,GC30,$D$2),Investments!$A:$A,"&lt;"&amp;$E$2,Investments!$D:$D,"&lt;"&amp;0)</f>
        <v/>
      </c>
      <c r="GA34" s="220">
        <f>SUMIFS(Investments!$D:$D,Investments!$B:$B,FY$10,Investments!$C:$C,$A$3,Investments!$A:$A,"&gt;"&amp;IF(GC30&gt;$D$3,GC30,$D$3),Investments!$A:$A,"&lt;="&amp;$E$3,Investments!$D:$D,"&lt;"&amp;0)</f>
        <v/>
      </c>
      <c r="GB34" s="220">
        <f>SUMIFS(Investments!$D:$D,Investments!$B:$B,FY$10,Investments!$C:$C,$A$3,Investments!$A:$A,"&gt;"&amp;IF(GC30&gt;$D$4,GC30,$D$4),Investments!$A:$A,"&lt;="&amp;$E$4,Investments!$D:$D,"&lt;"&amp;0)</f>
        <v/>
      </c>
      <c r="GC34" s="221">
        <f>SUMIFS(Investments!$D:$D,Investments!$B:$B,FY$10,Investments!$C:$C,$A$3,Investments!$A:$A,"&gt;"&amp;GC30,Investments!$A:$A,"&lt;="&amp;$E$4,Investments!$D:$D,"&lt;"&amp;0)</f>
        <v/>
      </c>
      <c r="GE34" s="188" t="inlineStr">
        <is>
          <t>Redemptions</t>
        </is>
      </c>
      <c r="GF34" s="220">
        <f>SUMIFS(Investments!$D:$D,Investments!$B:$B,GE$10,Investments!$C:$C,$A$3,Investments!$A:$A,"&gt;"&amp;IF(GI30&gt;$D$2,GI30,$D$2),Investments!$A:$A,"&lt;"&amp;$E$2,Investments!$D:$D,"&lt;"&amp;0)</f>
        <v/>
      </c>
      <c r="GG34" s="220">
        <f>SUMIFS(Investments!$D:$D,Investments!$B:$B,GE$10,Investments!$C:$C,$A$3,Investments!$A:$A,"&gt;"&amp;IF(GI30&gt;$D$3,GI30,$D$3),Investments!$A:$A,"&lt;="&amp;$E$3,Investments!$D:$D,"&lt;"&amp;0)</f>
        <v/>
      </c>
      <c r="GH34" s="220">
        <f>SUMIFS(Investments!$D:$D,Investments!$B:$B,GE$10,Investments!$C:$C,$A$3,Investments!$A:$A,"&gt;"&amp;IF(GI30&gt;$D$4,GI30,$D$4),Investments!$A:$A,"&lt;="&amp;$E$4,Investments!$D:$D,"&lt;"&amp;0)</f>
        <v/>
      </c>
      <c r="GI34" s="221">
        <f>SUMIFS(Investments!$D:$D,Investments!$B:$B,GE$10,Investments!$C:$C,$A$3,Investments!$A:$A,"&gt;"&amp;GI30,Investments!$A:$A,"&lt;="&amp;$E$4,Investments!$D:$D,"&lt;"&amp;0)</f>
        <v/>
      </c>
      <c r="GK34" s="188" t="inlineStr">
        <is>
          <t>Redemptions</t>
        </is>
      </c>
      <c r="GL34" s="220">
        <f>SUMIFS(Investments!$D:$D,Investments!$B:$B,GK$10,Investments!$C:$C,$A$3,Investments!$A:$A,"&gt;"&amp;IF(GO30&gt;$D$2,GO30,$D$2),Investments!$A:$A,"&lt;"&amp;$E$2,Investments!$D:$D,"&lt;"&amp;0)</f>
        <v/>
      </c>
      <c r="GM34" s="220">
        <f>SUMIFS(Investments!$D:$D,Investments!$B:$B,GK$10,Investments!$C:$C,$A$3,Investments!$A:$A,"&gt;"&amp;IF(GO30&gt;$D$3,GO30,$D$3),Investments!$A:$A,"&lt;="&amp;$E$3,Investments!$D:$D,"&lt;"&amp;0)</f>
        <v/>
      </c>
      <c r="GN34" s="220">
        <f>SUMIFS(Investments!$D:$D,Investments!$B:$B,GK$10,Investments!$C:$C,$A$3,Investments!$A:$A,"&gt;"&amp;IF(GO30&gt;$D$4,GO30,$D$4),Investments!$A:$A,"&lt;="&amp;$E$4,Investments!$D:$D,"&lt;"&amp;0)</f>
        <v/>
      </c>
      <c r="GO34" s="221">
        <f>SUMIFS(Investments!$D:$D,Investments!$B:$B,GK$10,Investments!$C:$C,$A$3,Investments!$A:$A,"&gt;"&amp;GO30,Investments!$A:$A,"&lt;="&amp;$E$4,Investments!$D:$D,"&lt;"&amp;0)</f>
        <v/>
      </c>
      <c r="GQ34" s="188" t="inlineStr">
        <is>
          <t>Redemptions</t>
        </is>
      </c>
      <c r="GR34" s="220">
        <f>SUMIFS(Investments!$D:$D,Investments!$B:$B,GQ$10,Investments!$C:$C,$A$3,Investments!$A:$A,"&gt;"&amp;IF(GU30&gt;$D$2,GU30,$D$2),Investments!$A:$A,"&lt;"&amp;$E$2,Investments!$D:$D,"&lt;"&amp;0)</f>
        <v/>
      </c>
      <c r="GS34" s="220">
        <f>SUMIFS(Investments!$D:$D,Investments!$B:$B,GQ$10,Investments!$C:$C,$A$3,Investments!$A:$A,"&gt;"&amp;IF(GU30&gt;$D$3,GU30,$D$3),Investments!$A:$A,"&lt;="&amp;$E$3,Investments!$D:$D,"&lt;"&amp;0)</f>
        <v/>
      </c>
      <c r="GT34" s="220">
        <f>SUMIFS(Investments!$D:$D,Investments!$B:$B,GQ$10,Investments!$C:$C,$A$3,Investments!$A:$A,"&gt;"&amp;IF(GU30&gt;$D$4,GU30,$D$4),Investments!$A:$A,"&lt;="&amp;$E$4,Investments!$D:$D,"&lt;"&amp;0)</f>
        <v/>
      </c>
      <c r="GU34" s="221">
        <f>SUMIFS(Investments!$D:$D,Investments!$B:$B,GQ$10,Investments!$C:$C,$A$3,Investments!$A:$A,"&gt;"&amp;GU30,Investments!$A:$A,"&lt;="&amp;$E$4,Investments!$D:$D,"&lt;"&amp;0)</f>
        <v/>
      </c>
      <c r="GW34" s="222" t="inlineStr">
        <is>
          <t>Redemptions</t>
        </is>
      </c>
      <c r="GX34" s="223">
        <f>SUMIFS(Investments!$D:$D,Investments!$B:$B,GW$10,Investments!$C:$C,$A$3,Investments!$A:$A,"&gt;"&amp;IF(HA30&gt;$D$2,HA30,$D$2),Investments!$A:$A,"&lt;"&amp;$E$2,Investments!$D:$D,"&lt;"&amp;0)</f>
        <v/>
      </c>
      <c r="GY34" s="223">
        <f>SUMIFS(Investments!$D:$D,Investments!$B:$B,GW$10,Investments!$C:$C,$A$3,Investments!$A:$A,"&gt;"&amp;IF(HA30&gt;$D$3,HA30,$D$3),Investments!$A:$A,"&lt;="&amp;$E$3,Investments!$D:$D,"&lt;"&amp;0)</f>
        <v/>
      </c>
      <c r="GZ34" s="223">
        <f>SUMIFS(Investments!$D:$D,Investments!$B:$B,GW$10,Investments!$C:$C,$A$3,Investments!$A:$A,"&gt;"&amp;IF(HA30&gt;$D$4,HA30,$D$4),Investments!$A:$A,"&lt;="&amp;$E$4,Investments!$D:$D,"&lt;"&amp;0)</f>
        <v/>
      </c>
      <c r="HA34" s="224">
        <f>SUMIFS(Investments!$D:$D,Investments!$B:$B,GW$10,Investments!$C:$C,$A$3,Investments!$A:$A,"&gt;"&amp;HA30,Investments!$A:$A,"&lt;="&amp;$E$4,Investments!$D:$D,"&lt;"&amp;0)</f>
        <v/>
      </c>
      <c r="HC34" s="188" t="n"/>
      <c r="HD34" s="220" t="n"/>
      <c r="HE34" s="220" t="n"/>
      <c r="HF34" s="220" t="n"/>
      <c r="HG34" s="221" t="n"/>
      <c r="HI34" s="222" t="inlineStr">
        <is>
          <t>Redemptions</t>
        </is>
      </c>
      <c r="HJ34" s="223">
        <f>SUMIFS(Investments!$D:$D,Investments!$B:$B,HI$10,Investments!$C:$C,$A$3,Investments!$A:$A,"&gt;"&amp;IF(HM30&gt;$D$2,HM30,$D$2),Investments!$A:$A,"&lt;"&amp;$E$2,Investments!$D:$D,"&lt;"&amp;0)</f>
        <v/>
      </c>
      <c r="HK34" s="223">
        <f>SUMIFS(Investments!$D:$D,Investments!$B:$B,HI$10,Investments!$C:$C,$A$3,Investments!$A:$A,"&gt;"&amp;IF(HM30&gt;$D$3,HM30,$D$3),Investments!$A:$A,"&lt;="&amp;$E$3,Investments!$D:$D,"&lt;"&amp;0)</f>
        <v/>
      </c>
      <c r="HL34" s="223">
        <f>SUMIFS(Investments!$D:$D,Investments!$B:$B,HI$10,Investments!$C:$C,$A$3,Investments!$A:$A,"&gt;"&amp;IF(HM30&gt;$D$4,HM30,$D$4),Investments!$A:$A,"&lt;="&amp;$E$4,Investments!$D:$D,"&lt;"&amp;0)</f>
        <v/>
      </c>
      <c r="HM34" s="224">
        <f>SUMIFS(Investments!$D:$D,Investments!$B:$B,HI$10,Investments!$C:$C,$A$3,Investments!$A:$A,"&gt;"&amp;HM30,Investments!$A:$A,"&lt;="&amp;$E$4,Investments!$D:$D,"&lt;"&amp;0)</f>
        <v/>
      </c>
      <c r="HO34" s="222" t="inlineStr">
        <is>
          <t>Redemptions</t>
        </is>
      </c>
      <c r="HP34" s="223">
        <f>SUMIFS(Investments!$D:$D,Investments!$B:$B,HO$10,Investments!$C:$C,$A$3,Investments!$A:$A,"&gt;"&amp;IF(HS30&gt;$D$2,HS30,$D$2),Investments!$A:$A,"&lt;"&amp;$E$2,Investments!$D:$D,"&lt;"&amp;0)</f>
        <v/>
      </c>
      <c r="HQ34" s="223">
        <f>SUMIFS(Investments!$D:$D,Investments!$B:$B,HO$10,Investments!$C:$C,$A$3,Investments!$A:$A,"&gt;"&amp;IF(HS30&gt;$D$3,HS30,$D$3),Investments!$A:$A,"&lt;="&amp;$E$3,Investments!$D:$D,"&lt;"&amp;0)</f>
        <v/>
      </c>
      <c r="HR34" s="223">
        <f>SUMIFS(Investments!$D:$D,Investments!$B:$B,HO$10,Investments!$C:$C,$A$3,Investments!$A:$A,"&gt;"&amp;IF(HS30&gt;$D$4,HS30,$D$4),Investments!$A:$A,"&lt;="&amp;$E$4,Investments!$D:$D,"&lt;"&amp;0)</f>
        <v/>
      </c>
      <c r="HS34" s="224">
        <f>SUMIFS(Investments!$D:$D,Investments!$B:$B,HO$10,Investments!$C:$C,$A$3,Investments!$A:$A,"&gt;"&amp;HS30,Investments!$A:$A,"&lt;="&amp;$E$4,Investments!$D:$D,"&lt;"&amp;0)</f>
        <v/>
      </c>
      <c r="HU34" s="188" t="n"/>
      <c r="HV34" s="220" t="n"/>
      <c r="HW34" s="220" t="n"/>
      <c r="HX34" s="220" t="n"/>
      <c r="HY34" s="221" t="n"/>
      <c r="IA34" s="188" t="n"/>
      <c r="IB34" s="220" t="n"/>
      <c r="IC34" s="220" t="n"/>
      <c r="ID34" s="220" t="n"/>
      <c r="IE34" s="221" t="n"/>
      <c r="IG34" s="188" t="n"/>
      <c r="IH34" s="220" t="n"/>
      <c r="II34" s="220" t="n"/>
      <c r="IJ34" s="220" t="n"/>
      <c r="IK34" s="221" t="n"/>
      <c r="IM34" s="188" t="inlineStr">
        <is>
          <t>Redemptions</t>
        </is>
      </c>
      <c r="IN34" s="220">
        <f>SUMIFS(Investments!$D:$D,Investments!$B:$B,IM$10,Investments!$C:$C,$A$3,Investments!$A:$A,"&gt;"&amp;IF(IQ30&gt;$D$2,IQ30,$D$2),Investments!$A:$A,"&lt;"&amp;$E$2,Investments!$D:$D,"&lt;"&amp;0)</f>
        <v/>
      </c>
      <c r="IO34" s="220">
        <f>SUMIFS(Investments!$D:$D,Investments!$B:$B,IM$10,Investments!$C:$C,$A$3,Investments!$A:$A,"&gt;"&amp;IF(IQ30&gt;$D$3,IQ30,$D$3),Investments!$A:$A,"&lt;="&amp;$E$3,Investments!$D:$D,"&lt;"&amp;0)</f>
        <v/>
      </c>
      <c r="IP34" s="220">
        <f>SUMIFS(Investments!$D:$D,Investments!$B:$B,IM$10,Investments!$C:$C,$A$3,Investments!$A:$A,"&gt;"&amp;IF(IQ30&gt;$D$4,IQ30,$D$4),Investments!$A:$A,"&lt;="&amp;$E$4,Investments!$D:$D,"&lt;"&amp;0)</f>
        <v/>
      </c>
      <c r="IQ34" s="221">
        <f>SUMIFS(Investments!$D:$D,Investments!$B:$B,IM$10,Investments!$C:$C,$A$3,Investments!$A:$A,"&gt;"&amp;IQ30,Investments!$A:$A,"&lt;="&amp;$E$4,Investments!$D:$D,"&lt;"&amp;0)</f>
        <v/>
      </c>
      <c r="IS34" s="188" t="inlineStr">
        <is>
          <t>Redemptions</t>
        </is>
      </c>
      <c r="IT34" s="220">
        <f>SUMIFS(Investments!$D:$D,Investments!$B:$B,IS$10,Investments!$C:$C,$A$3,Investments!$A:$A,"&gt;"&amp;IF(IW30&gt;$D$2,IW30,$D$2),Investments!$A:$A,"&lt;"&amp;$E$2,Investments!$D:$D,"&lt;"&amp;0)</f>
        <v/>
      </c>
      <c r="IU34" s="220">
        <f>SUMIFS(Investments!$D:$D,Investments!$B:$B,IS$10,Investments!$C:$C,$A$3,Investments!$A:$A,"&gt;"&amp;IF(IW30&gt;$D$3,IW30,$D$3),Investments!$A:$A,"&lt;="&amp;$E$3,Investments!$D:$D,"&lt;"&amp;0)</f>
        <v/>
      </c>
      <c r="IV34" s="220">
        <f>SUMIFS(Investments!$D:$D,Investments!$B:$B,IS$10,Investments!$C:$C,$A$3,Investments!$A:$A,"&gt;"&amp;IF(IW30&gt;$D$4,IW30,$D$4),Investments!$A:$A,"&lt;="&amp;$E$4,Investments!$D:$D,"&lt;"&amp;0)</f>
        <v/>
      </c>
      <c r="IW34" s="221">
        <f>SUMIFS(Investments!$D:$D,Investments!$B:$B,IS$10,Investments!$C:$C,$A$3,Investments!$A:$A,"&gt;"&amp;IW30,Investments!$A:$A,"&lt;="&amp;$E$4,Investments!$D:$D,"&lt;"&amp;0)</f>
        <v/>
      </c>
      <c r="IY34" s="188" t="n"/>
      <c r="IZ34" s="220" t="n"/>
      <c r="JA34" s="220" t="n"/>
      <c r="JB34" s="220" t="n"/>
      <c r="JC34" s="221" t="n"/>
    </row>
    <row r="35" ht="15.75" customHeight="1" s="252">
      <c r="A35" s="188" t="inlineStr">
        <is>
          <t>Net Income</t>
        </is>
      </c>
      <c r="B35" s="220">
        <f>B36-B32-B34-B33</f>
        <v/>
      </c>
      <c r="C35" s="220">
        <f>C36-C32-C34-C33</f>
        <v/>
      </c>
      <c r="D35" s="220">
        <f>D36-D32-D34-D33</f>
        <v/>
      </c>
      <c r="E35" s="221">
        <f>E36-E32-E34-E33</f>
        <v/>
      </c>
      <c r="G35" s="188" t="n"/>
      <c r="H35" s="220" t="n"/>
      <c r="I35" s="220" t="n"/>
      <c r="J35" s="220" t="n"/>
      <c r="K35" s="221" t="n"/>
      <c r="M35" s="188" t="n"/>
      <c r="N35" s="220" t="n"/>
      <c r="O35" s="220" t="n"/>
      <c r="P35" s="220" t="n"/>
      <c r="Q35" s="221" t="n"/>
      <c r="S35" s="188" t="inlineStr">
        <is>
          <t>Net Income</t>
        </is>
      </c>
      <c r="T35" s="220">
        <f>T36-T32-T34-T33</f>
        <v/>
      </c>
      <c r="U35" s="220">
        <f>U36-U32-U34-U33</f>
        <v/>
      </c>
      <c r="V35" s="220">
        <f>V36-V32-V34-V33</f>
        <v/>
      </c>
      <c r="W35" s="221">
        <f>W36-W32-W34-W33</f>
        <v/>
      </c>
      <c r="Y35" s="188" t="n"/>
      <c r="Z35" s="220" t="n"/>
      <c r="AA35" s="220" t="n"/>
      <c r="AB35" s="220" t="n"/>
      <c r="AC35" s="221" t="n"/>
      <c r="AE35" s="188" t="inlineStr">
        <is>
          <t>Net Income</t>
        </is>
      </c>
      <c r="AF35" s="220">
        <f>AF36-AF32-AF34-AF33</f>
        <v/>
      </c>
      <c r="AG35" s="220">
        <f>AG36-AG32-AG34-AG33</f>
        <v/>
      </c>
      <c r="AH35" s="220">
        <f>AH36-AH32-AH34-AH33</f>
        <v/>
      </c>
      <c r="AI35" s="221">
        <f>AI36-AI32-AI34-AI33</f>
        <v/>
      </c>
      <c r="AK35" s="188" t="n"/>
      <c r="AL35" s="220" t="n"/>
      <c r="AM35" s="220" t="n"/>
      <c r="AN35" s="220" t="n"/>
      <c r="AO35" s="221" t="n"/>
      <c r="AQ35" s="188" t="n"/>
      <c r="AR35" s="220" t="n"/>
      <c r="AS35" s="220" t="n"/>
      <c r="AT35" s="220" t="n"/>
      <c r="AU35" s="221" t="n"/>
      <c r="AW35" s="188" t="inlineStr">
        <is>
          <t>Net Income</t>
        </is>
      </c>
      <c r="AX35" s="220">
        <f>AX36-AX32-AX34-AX33</f>
        <v/>
      </c>
      <c r="AY35" s="220">
        <f>AY36-AY32-AY34-AY33</f>
        <v/>
      </c>
      <c r="AZ35" s="220">
        <f>AZ36-AZ32-AZ34-AZ33</f>
        <v/>
      </c>
      <c r="BA35" s="221">
        <f>BA36-BA32-BA34-BA33</f>
        <v/>
      </c>
      <c r="BC35" s="188" t="inlineStr">
        <is>
          <t>Net Income</t>
        </is>
      </c>
      <c r="BD35" s="220">
        <f>BD36-BD32-BD34-BD33</f>
        <v/>
      </c>
      <c r="BE35" s="220">
        <f>BE36-BE32-BE34-BE33</f>
        <v/>
      </c>
      <c r="BF35" s="220">
        <f>BF36-BF32-BF34-BF33</f>
        <v/>
      </c>
      <c r="BG35" s="221">
        <f>BG36-BG32-BG34-BG33</f>
        <v/>
      </c>
      <c r="BI35" s="188" t="n"/>
      <c r="BJ35" s="220" t="n"/>
      <c r="BK35" s="220" t="n"/>
      <c r="BL35" s="220" t="n"/>
      <c r="BM35" s="221" t="n"/>
      <c r="BO35" s="188" t="inlineStr">
        <is>
          <t>Net Income</t>
        </is>
      </c>
      <c r="BP35" s="220">
        <f>BP36-BP32-BP34-BP33</f>
        <v/>
      </c>
      <c r="BQ35" s="220">
        <f>BQ36-BQ32-BQ34-BQ33</f>
        <v/>
      </c>
      <c r="BR35" s="220">
        <f>BR36-BR32-BR34-BR33</f>
        <v/>
      </c>
      <c r="BS35" s="221">
        <f>BS36-BS32-BS34-BS33</f>
        <v/>
      </c>
      <c r="BU35" s="188" t="inlineStr">
        <is>
          <t>Net Income</t>
        </is>
      </c>
      <c r="BV35" s="220">
        <f>BV36-BV32-BV34-BV33</f>
        <v/>
      </c>
      <c r="BW35" s="220">
        <f>BW36-BW32-BW34-BW33</f>
        <v/>
      </c>
      <c r="BX35" s="220">
        <f>BX36-BX32-BX34-BX33</f>
        <v/>
      </c>
      <c r="BY35" s="221">
        <f>BY36-BY32-BY34-BY33</f>
        <v/>
      </c>
      <c r="CA35" s="188" t="inlineStr">
        <is>
          <t>Net Income</t>
        </is>
      </c>
      <c r="CB35" s="220">
        <f>CB36-CB32-CB34-CB33</f>
        <v/>
      </c>
      <c r="CC35" s="220">
        <f>CC36-CC32-CC34-CC33</f>
        <v/>
      </c>
      <c r="CD35" s="220">
        <f>CD36-CD32-CD34-CD33</f>
        <v/>
      </c>
      <c r="CE35" s="221">
        <f>CE36-CE32-CE34-CE33</f>
        <v/>
      </c>
      <c r="CG35" s="188" t="inlineStr">
        <is>
          <t>Net Income</t>
        </is>
      </c>
      <c r="CH35" s="220">
        <f>CH36-CH32-CH34-CH33</f>
        <v/>
      </c>
      <c r="CI35" s="220">
        <f>CI36-CI32-CI34-CI33</f>
        <v/>
      </c>
      <c r="CJ35" s="220">
        <f>CJ36-CJ32-CJ34-CJ33</f>
        <v/>
      </c>
      <c r="CK35" s="221">
        <f>CK36-CK32-CK34-CK33</f>
        <v/>
      </c>
      <c r="CM35" s="188" t="inlineStr">
        <is>
          <t>Net Income</t>
        </is>
      </c>
      <c r="CN35" s="220">
        <f>CN36-CN32-CN34-CN33</f>
        <v/>
      </c>
      <c r="CO35" s="220">
        <f>CO36-CO32-CO34-CO33</f>
        <v/>
      </c>
      <c r="CP35" s="220">
        <f>CP36-CP32-CP34-CP33</f>
        <v/>
      </c>
      <c r="CQ35" s="221">
        <f>CQ36-CQ32-CQ34-CQ33</f>
        <v/>
      </c>
      <c r="CS35" s="188" t="n"/>
      <c r="CT35" s="220" t="n"/>
      <c r="CU35" s="220" t="n"/>
      <c r="CV35" s="220" t="n"/>
      <c r="CW35" s="221" t="n"/>
      <c r="CY35" s="188" t="inlineStr">
        <is>
          <t>Net Income</t>
        </is>
      </c>
      <c r="CZ35" s="220">
        <f>CZ36-CZ32-CZ34-CZ33</f>
        <v/>
      </c>
      <c r="DA35" s="220">
        <f>DA36-DA32-DA34-DA33</f>
        <v/>
      </c>
      <c r="DB35" s="220">
        <f>DB36-DB32-DB34-DB33</f>
        <v/>
      </c>
      <c r="DC35" s="221">
        <f>DC36-DC32-DC34-DC33</f>
        <v/>
      </c>
      <c r="DE35" s="188" t="inlineStr">
        <is>
          <t>Net Income</t>
        </is>
      </c>
      <c r="DF35" s="220">
        <f>DF36-DF32-DF34-DF33</f>
        <v/>
      </c>
      <c r="DG35" s="220">
        <f>DG36-DG32-DG34-DG33</f>
        <v/>
      </c>
      <c r="DH35" s="220">
        <f>DH36-DH32-DH34-DH33</f>
        <v/>
      </c>
      <c r="DI35" s="221">
        <f>DI36-DI32-DI34-DI33</f>
        <v/>
      </c>
      <c r="DK35" s="188" t="inlineStr">
        <is>
          <t>Net Income</t>
        </is>
      </c>
      <c r="DL35" s="220">
        <f>DL36-DL32-DL34-DL33</f>
        <v/>
      </c>
      <c r="DM35" s="220">
        <f>DM36-DM32-DM34-DM33</f>
        <v/>
      </c>
      <c r="DN35" s="220">
        <f>DN36-DN32-DN34-DN33</f>
        <v/>
      </c>
      <c r="DO35" s="221">
        <f>DO36-DO32-DO34-DO33</f>
        <v/>
      </c>
      <c r="DQ35" s="188" t="inlineStr">
        <is>
          <t>Net Income</t>
        </is>
      </c>
      <c r="DR35" s="220">
        <f>DR36-DR32-DR34-DR33</f>
        <v/>
      </c>
      <c r="DS35" s="220">
        <f>DS36-DS32-DS34-DS33</f>
        <v/>
      </c>
      <c r="DT35" s="220">
        <f>DT36-DT32-DT34-DT33</f>
        <v/>
      </c>
      <c r="DU35" s="221">
        <f>DU36-DU32-DU34-DU33</f>
        <v/>
      </c>
      <c r="DW35" s="188" t="n"/>
      <c r="DX35" s="220" t="n"/>
      <c r="DY35" s="220" t="n"/>
      <c r="DZ35" s="220" t="n"/>
      <c r="EA35" s="221" t="n"/>
      <c r="EC35" s="188" t="n"/>
      <c r="ED35" s="220" t="n"/>
      <c r="EE35" s="220" t="n"/>
      <c r="EF35" s="220" t="n"/>
      <c r="EG35" s="221" t="n"/>
      <c r="EI35" s="188" t="inlineStr">
        <is>
          <t>Net Income</t>
        </is>
      </c>
      <c r="EJ35" s="220">
        <f>EJ36-EJ32-EJ34-EJ33</f>
        <v/>
      </c>
      <c r="EK35" s="220">
        <f>EK36-EK32-EK34-EK33</f>
        <v/>
      </c>
      <c r="EL35" s="220">
        <f>EL36-EL32-EL34-EL33</f>
        <v/>
      </c>
      <c r="EM35" s="221">
        <f>EM36-EM32-EM34-EM33</f>
        <v/>
      </c>
      <c r="EO35" s="188" t="inlineStr">
        <is>
          <t>Net Income</t>
        </is>
      </c>
      <c r="EP35" s="220">
        <f>EP36-EP32-EP34-EP33</f>
        <v/>
      </c>
      <c r="EQ35" s="220">
        <f>EQ36-EQ32-EQ34-EQ33</f>
        <v/>
      </c>
      <c r="ER35" s="220">
        <f>ER36-ER32-ER34-ER33</f>
        <v/>
      </c>
      <c r="ES35" s="221">
        <f>ES36-ES32-ES34-ES33</f>
        <v/>
      </c>
      <c r="EU35" s="188" t="n"/>
      <c r="EV35" s="220" t="n"/>
      <c r="EW35" s="220" t="n"/>
      <c r="EX35" s="220" t="n"/>
      <c r="EY35" s="221" t="n"/>
      <c r="FA35" s="188" t="n"/>
      <c r="FB35" s="220" t="n"/>
      <c r="FC35" s="220" t="n"/>
      <c r="FD35" s="220" t="n"/>
      <c r="FE35" s="221" t="n"/>
      <c r="FG35" s="188" t="n"/>
      <c r="FH35" s="220" t="n"/>
      <c r="FI35" s="220" t="n"/>
      <c r="FJ35" s="220" t="n"/>
      <c r="FK35" s="221" t="n"/>
      <c r="FM35" s="188" t="inlineStr">
        <is>
          <t>Net Income</t>
        </is>
      </c>
      <c r="FN35" s="220">
        <f>FN36-FN32-FN34-FN33</f>
        <v/>
      </c>
      <c r="FO35" s="220">
        <f>FO36-FO32-FO34-FO33</f>
        <v/>
      </c>
      <c r="FP35" s="220">
        <f>FP36-FP32-FP34-FP33</f>
        <v/>
      </c>
      <c r="FQ35" s="221">
        <f>FQ36-FQ32-FQ34-FQ33</f>
        <v/>
      </c>
      <c r="FS35" s="188" t="inlineStr">
        <is>
          <t>Net Income</t>
        </is>
      </c>
      <c r="FT35" s="220">
        <f>FT36-FT32-FT34-FT33</f>
        <v/>
      </c>
      <c r="FU35" s="220">
        <f>FU36-FU32-FU34-FU33</f>
        <v/>
      </c>
      <c r="FV35" s="220">
        <f>FV36-FV32-FV34-FV33</f>
        <v/>
      </c>
      <c r="FW35" s="221">
        <f>FW36-FW32-FW34-FW33</f>
        <v/>
      </c>
      <c r="FY35" s="188" t="inlineStr">
        <is>
          <t>Net Income</t>
        </is>
      </c>
      <c r="FZ35" s="220">
        <f>FZ36-FZ32-FZ34-FZ33</f>
        <v/>
      </c>
      <c r="GA35" s="220">
        <f>GA36-GA32-GA34-GA33</f>
        <v/>
      </c>
      <c r="GB35" s="220">
        <f>GB36-GB32-GB34-GB33</f>
        <v/>
      </c>
      <c r="GC35" s="221">
        <f>GC36-GC32-GC34-GC33</f>
        <v/>
      </c>
      <c r="GE35" s="188" t="inlineStr">
        <is>
          <t>Net Income</t>
        </is>
      </c>
      <c r="GF35" s="220">
        <f>GF36-GF32-GF34-GF33</f>
        <v/>
      </c>
      <c r="GG35" s="220">
        <f>GG36-GG32-GG34-GG33</f>
        <v/>
      </c>
      <c r="GH35" s="220">
        <f>GH36-GH32-GH34-GH33</f>
        <v/>
      </c>
      <c r="GI35" s="221">
        <f>GI36-GI32-GI34-GI33</f>
        <v/>
      </c>
      <c r="GK35" s="188" t="inlineStr">
        <is>
          <t>Net Income</t>
        </is>
      </c>
      <c r="GL35" s="220">
        <f>GL36-GL32-GL34-GL33</f>
        <v/>
      </c>
      <c r="GM35" s="220">
        <f>GM36-GM32-GM34-GM33</f>
        <v/>
      </c>
      <c r="GN35" s="220">
        <f>GN36-GN32-GN34-GN33</f>
        <v/>
      </c>
      <c r="GO35" s="221">
        <f>GO36-GO32-GO34-GO33</f>
        <v/>
      </c>
      <c r="GQ35" s="188" t="inlineStr">
        <is>
          <t>Net Income</t>
        </is>
      </c>
      <c r="GR35" s="220">
        <f>GR36-GR32-GR34-GR33</f>
        <v/>
      </c>
      <c r="GS35" s="220">
        <f>GS36-GS32-GS34-GS33</f>
        <v/>
      </c>
      <c r="GT35" s="220">
        <f>GT36-GT32-GT34-GT33</f>
        <v/>
      </c>
      <c r="GU35" s="221">
        <f>GU36-GU32-GU34-GU33</f>
        <v/>
      </c>
      <c r="GW35" s="222" t="inlineStr">
        <is>
          <t>Net Income</t>
        </is>
      </c>
      <c r="GX35" s="223">
        <f>GX36-GX32-GX34-GX33</f>
        <v/>
      </c>
      <c r="GY35" s="223">
        <f>GY36-GY32-GY34-GY33</f>
        <v/>
      </c>
      <c r="GZ35" s="223">
        <f>GZ36-GZ32-GZ34-GZ33</f>
        <v/>
      </c>
      <c r="HA35" s="224">
        <f>HA36-HA32-HA34-HA33</f>
        <v/>
      </c>
      <c r="HC35" s="188" t="n"/>
      <c r="HD35" s="189" t="n"/>
      <c r="HE35" s="189" t="n"/>
      <c r="HF35" s="189" t="n"/>
      <c r="HG35" s="190" t="n"/>
      <c r="HI35" s="222" t="inlineStr">
        <is>
          <t>Net Income</t>
        </is>
      </c>
      <c r="HJ35" s="223">
        <f>HJ36-HJ32-HJ34-HJ33</f>
        <v/>
      </c>
      <c r="HK35" s="223">
        <f>HK36-HK32-HK34-HK33</f>
        <v/>
      </c>
      <c r="HL35" s="223">
        <f>HL36-HL32-HL34-HL33</f>
        <v/>
      </c>
      <c r="HM35" s="224">
        <f>HM36-HM32-HM34-HM33</f>
        <v/>
      </c>
      <c r="HO35" s="222" t="inlineStr">
        <is>
          <t>Net Income</t>
        </is>
      </c>
      <c r="HP35" s="223">
        <f>HP36-HP32-HP34-HP33</f>
        <v/>
      </c>
      <c r="HQ35" s="223">
        <f>HQ36-HQ32-HQ34-HQ33</f>
        <v/>
      </c>
      <c r="HR35" s="223">
        <f>HR36-HR32-HR34-HR33</f>
        <v/>
      </c>
      <c r="HS35" s="224">
        <f>HS36-HS32-HS34-HS33</f>
        <v/>
      </c>
      <c r="HU35" s="188" t="n"/>
      <c r="HV35" s="189" t="n"/>
      <c r="HW35" s="189" t="n"/>
      <c r="HX35" s="189" t="n"/>
      <c r="HY35" s="190" t="n"/>
      <c r="IA35" s="188" t="n"/>
      <c r="IB35" s="189" t="n"/>
      <c r="IC35" s="189" t="n"/>
      <c r="ID35" s="189" t="n"/>
      <c r="IE35" s="190" t="n"/>
      <c r="IG35" s="188" t="n"/>
      <c r="IH35" s="189" t="n"/>
      <c r="II35" s="189" t="n"/>
      <c r="IJ35" s="189" t="n"/>
      <c r="IK35" s="190" t="n"/>
      <c r="IM35" s="188" t="inlineStr">
        <is>
          <t>Net Income</t>
        </is>
      </c>
      <c r="IN35" s="220">
        <f>IN36-IN32-IN34-IN33</f>
        <v/>
      </c>
      <c r="IO35" s="220">
        <f>IO36-IO32-IO34-IO33</f>
        <v/>
      </c>
      <c r="IP35" s="220">
        <f>IP36-IP32-IP34-IP33</f>
        <v/>
      </c>
      <c r="IQ35" s="221">
        <f>IQ36-IQ32-IQ34-IQ33</f>
        <v/>
      </c>
      <c r="IS35" s="188" t="inlineStr">
        <is>
          <t>Net Income</t>
        </is>
      </c>
      <c r="IT35" s="220">
        <f>IT36-IT32-IT34-IT33</f>
        <v/>
      </c>
      <c r="IU35" s="220">
        <f>IU36-IU32-IU34-IU33</f>
        <v/>
      </c>
      <c r="IV35" s="220">
        <f>IV36-IV32-IV34-IV33</f>
        <v/>
      </c>
      <c r="IW35" s="221">
        <f>IW36-IW32-IW34-IW33</f>
        <v/>
      </c>
      <c r="IY35" s="188" t="n"/>
      <c r="IZ35" s="189" t="n"/>
      <c r="JA35" s="189" t="n"/>
      <c r="JB35" s="189" t="n"/>
      <c r="JC35" s="190" t="n"/>
    </row>
    <row r="36" ht="15.75" customHeight="1" s="252">
      <c r="A36" s="193" t="inlineStr">
        <is>
          <t>Ending Balance</t>
        </is>
      </c>
      <c r="B36" s="225">
        <f t="array" ref="B36">index('USDT Yield Fund'!$A$8:$LC$1012,MATCH(A$10,'USDT Yield Fund'!$A$8:$A$1012,0),MATCH($E$2,'USDT Yield Fund'!$A$8:$LC$8,0))</f>
        <v/>
      </c>
      <c r="C36" s="225">
        <f>B36</f>
        <v/>
      </c>
      <c r="D36" s="225">
        <f>B36</f>
        <v/>
      </c>
      <c r="E36" s="226">
        <f>B36</f>
        <v/>
      </c>
      <c r="G36" s="193" t="n"/>
      <c r="H36" s="225" t="n"/>
      <c r="I36" s="225" t="n"/>
      <c r="J36" s="225" t="n"/>
      <c r="K36" s="226" t="n"/>
      <c r="M36" s="193" t="n"/>
      <c r="N36" s="225" t="n"/>
      <c r="O36" s="225" t="n"/>
      <c r="P36" s="225" t="n"/>
      <c r="Q36" s="226" t="n"/>
      <c r="S36" s="193" t="inlineStr">
        <is>
          <t>Ending Balance</t>
        </is>
      </c>
      <c r="T36" s="225">
        <f t="array" ref="T36">index('USDT Yield Fund'!$A$8:$LC$1012,MATCH(S$10,'USDT Yield Fund'!$A$8:$A$1012,0),MATCH($E$2,'USDT Yield Fund'!$A$8:$LC$8,0))</f>
        <v/>
      </c>
      <c r="U36" s="225">
        <f>T36</f>
        <v/>
      </c>
      <c r="V36" s="225">
        <f>T36</f>
        <v/>
      </c>
      <c r="W36" s="226">
        <f>T36</f>
        <v/>
      </c>
      <c r="Y36" s="193" t="n"/>
      <c r="Z36" s="225" t="n"/>
      <c r="AA36" s="225" t="n"/>
      <c r="AB36" s="225" t="n"/>
      <c r="AC36" s="226" t="n"/>
      <c r="AE36" s="193" t="inlineStr">
        <is>
          <t>Ending Balance</t>
        </is>
      </c>
      <c r="AF36" s="225">
        <f t="array" ref="AF36">index('USDT Yield Fund'!$A$8:$LC$1012,MATCH(AE$10,'USDT Yield Fund'!$A$8:$A$1012,0),MATCH($E$2,'USDT Yield Fund'!$A$8:$LC$8,0))</f>
        <v/>
      </c>
      <c r="AG36" s="225">
        <f>AF36</f>
        <v/>
      </c>
      <c r="AH36" s="225">
        <f>AF36</f>
        <v/>
      </c>
      <c r="AI36" s="226">
        <f>AF36</f>
        <v/>
      </c>
      <c r="AK36" s="193" t="n"/>
      <c r="AL36" s="225" t="n"/>
      <c r="AM36" s="225" t="n"/>
      <c r="AN36" s="225" t="n"/>
      <c r="AO36" s="226" t="n"/>
      <c r="AQ36" s="193" t="n"/>
      <c r="AR36" s="225" t="n"/>
      <c r="AS36" s="225" t="n"/>
      <c r="AT36" s="225" t="n"/>
      <c r="AU36" s="226" t="n"/>
      <c r="AW36" s="193" t="inlineStr">
        <is>
          <t>Ending Balance</t>
        </is>
      </c>
      <c r="AX36" s="225">
        <f t="array" ref="AX36">index('USDT Yield Fund'!$A$8:$LC$1012,MATCH(AW$10,'USDT Yield Fund'!$A$8:$A$1012,0),MATCH($E$2,'USDT Yield Fund'!$A$8:$LC$8,0))</f>
        <v/>
      </c>
      <c r="AY36" s="225">
        <f>AX36</f>
        <v/>
      </c>
      <c r="AZ36" s="225">
        <f>AX36</f>
        <v/>
      </c>
      <c r="BA36" s="226">
        <f>AX36</f>
        <v/>
      </c>
      <c r="BC36" s="193" t="inlineStr">
        <is>
          <t>Ending Balance</t>
        </is>
      </c>
      <c r="BD36" s="225">
        <f t="array" ref="BD36">index('USDT Yield Fund'!$A$8:$LC$1012,MATCH(BC$10,'USDT Yield Fund'!$A$8:$A$1012,0),MATCH($E$2,'USDT Yield Fund'!$A$8:$LC$8,0))</f>
        <v/>
      </c>
      <c r="BE36" s="225">
        <f>BD36</f>
        <v/>
      </c>
      <c r="BF36" s="225">
        <f>BD36</f>
        <v/>
      </c>
      <c r="BG36" s="226">
        <f>BD36</f>
        <v/>
      </c>
      <c r="BI36" s="193" t="n"/>
      <c r="BJ36" s="225" t="n"/>
      <c r="BK36" s="225" t="n"/>
      <c r="BL36" s="225" t="n"/>
      <c r="BM36" s="226" t="n"/>
      <c r="BO36" s="193" t="inlineStr">
        <is>
          <t>Ending Balance</t>
        </is>
      </c>
      <c r="BP36" s="225">
        <f t="array" ref="BP36">index('USDT Yield Fund'!$A$8:$LC$1012,MATCH(BO$10,'USDT Yield Fund'!$A$8:$A$1012,0),MATCH($E$2,'USDT Yield Fund'!$A$8:$LC$8,0))</f>
        <v/>
      </c>
      <c r="BQ36" s="225">
        <f>BP36</f>
        <v/>
      </c>
      <c r="BR36" s="225">
        <f>BP36</f>
        <v/>
      </c>
      <c r="BS36" s="226">
        <f>BP36</f>
        <v/>
      </c>
      <c r="BU36" s="193" t="inlineStr">
        <is>
          <t>Ending Balance</t>
        </is>
      </c>
      <c r="BV36" s="225">
        <f t="array" ref="BV36">index('USDT Yield Fund'!$A$8:$LC$1012,MATCH(BU$10,'USDT Yield Fund'!$A$8:$A$1012,0),MATCH($E$2,'USDT Yield Fund'!$A$8:$LC$8,0))</f>
        <v/>
      </c>
      <c r="BW36" s="225">
        <f>BV36</f>
        <v/>
      </c>
      <c r="BX36" s="225">
        <f>BV36</f>
        <v/>
      </c>
      <c r="BY36" s="226">
        <f>BV36</f>
        <v/>
      </c>
      <c r="CA36" s="193" t="inlineStr">
        <is>
          <t>Ending Balance</t>
        </is>
      </c>
      <c r="CB36" s="225">
        <f t="array" ref="CB36">index('USDT Yield Fund'!$A$8:$LC$1012,MATCH(CA$10,'USDT Yield Fund'!$A$8:$A$1012,0),MATCH($E$2,'USDT Yield Fund'!$A$8:$LC$8,0))</f>
        <v/>
      </c>
      <c r="CC36" s="225">
        <f>CB36</f>
        <v/>
      </c>
      <c r="CD36" s="225">
        <f>CB36</f>
        <v/>
      </c>
      <c r="CE36" s="226">
        <f>CB36</f>
        <v/>
      </c>
      <c r="CG36" s="193" t="inlineStr">
        <is>
          <t>Ending Balance</t>
        </is>
      </c>
      <c r="CH36" s="225">
        <f t="array" ref="CH36">index('USDT Yield Fund'!$A$8:$LC$1012,MATCH(CG$10,'USDT Yield Fund'!$A$8:$A$1012,0),MATCH($E$2,'USDT Yield Fund'!$A$8:$LC$8,0))</f>
        <v/>
      </c>
      <c r="CI36" s="225">
        <f>CH36</f>
        <v/>
      </c>
      <c r="CJ36" s="225">
        <f>CH36</f>
        <v/>
      </c>
      <c r="CK36" s="226">
        <f>CH36</f>
        <v/>
      </c>
      <c r="CM36" s="193" t="inlineStr">
        <is>
          <t>Ending Balance</t>
        </is>
      </c>
      <c r="CN36" s="225">
        <f t="array" ref="CN36">index('USDT Yield Fund'!$A$8:$LC$1012,MATCH(CM$10,'USDT Yield Fund'!$A$8:$A$1012,0),MATCH($E$2,'USDT Yield Fund'!$A$8:$LC$8,0))</f>
        <v/>
      </c>
      <c r="CO36" s="225">
        <f>CN36</f>
        <v/>
      </c>
      <c r="CP36" s="225">
        <f>CN36</f>
        <v/>
      </c>
      <c r="CQ36" s="226">
        <f>CN36</f>
        <v/>
      </c>
      <c r="CS36" s="193" t="n"/>
      <c r="CT36" s="225" t="n"/>
      <c r="CU36" s="225" t="n"/>
      <c r="CV36" s="225" t="n"/>
      <c r="CW36" s="226" t="n"/>
      <c r="CY36" s="193" t="inlineStr">
        <is>
          <t>Ending Balance</t>
        </is>
      </c>
      <c r="CZ36" s="225">
        <f t="array" ref="CZ36">index('USDT Yield Fund'!$A$8:$LC$1012,MATCH(CY$10,'USDT Yield Fund'!$A$8:$A$1012,0),MATCH($E$2,'USDT Yield Fund'!$A$8:$LC$8,0))</f>
        <v/>
      </c>
      <c r="DA36" s="225">
        <f>CZ36</f>
        <v/>
      </c>
      <c r="DB36" s="225">
        <f>CZ36</f>
        <v/>
      </c>
      <c r="DC36" s="226">
        <f>CZ36</f>
        <v/>
      </c>
      <c r="DE36" s="193" t="inlineStr">
        <is>
          <t>Ending Balance</t>
        </is>
      </c>
      <c r="DF36" s="225">
        <f t="array" ref="DF36">index('USDT Yield Fund'!$A$8:$LC$1012,MATCH(DE$10,'USDT Yield Fund'!$A$8:$A$1012,0),MATCH($E$2,'USDT Yield Fund'!$A$8:$LC$8,0))</f>
        <v/>
      </c>
      <c r="DG36" s="225">
        <f>DF36</f>
        <v/>
      </c>
      <c r="DH36" s="225">
        <f>DF36</f>
        <v/>
      </c>
      <c r="DI36" s="226">
        <f>DF36</f>
        <v/>
      </c>
      <c r="DK36" s="193" t="inlineStr">
        <is>
          <t>Ending Balance</t>
        </is>
      </c>
      <c r="DL36" s="225">
        <f t="array" ref="DL36">index('USDT Yield Fund'!$A$8:$LC$1012,MATCH(DK$10,'USDT Yield Fund'!$A$8:$A$1012,0),MATCH($E$2,'USDT Yield Fund'!$A$8:$LC$8,0))</f>
        <v/>
      </c>
      <c r="DM36" s="225">
        <f>DL36</f>
        <v/>
      </c>
      <c r="DN36" s="225">
        <f>DL36</f>
        <v/>
      </c>
      <c r="DO36" s="226">
        <f>DL36</f>
        <v/>
      </c>
      <c r="DQ36" s="193" t="inlineStr">
        <is>
          <t>Ending Balance</t>
        </is>
      </c>
      <c r="DR36" s="225">
        <f t="array" ref="DR36">index('USDT Yield Fund'!$A$8:$LC$1012,MATCH(DQ$10,'USDT Yield Fund'!$A$8:$A$1012,0),MATCH($E$2,'USDT Yield Fund'!$A$8:$LC$8,0))</f>
        <v/>
      </c>
      <c r="DS36" s="225">
        <f>DR36</f>
        <v/>
      </c>
      <c r="DT36" s="225">
        <f>DR36</f>
        <v/>
      </c>
      <c r="DU36" s="226">
        <f>DR36</f>
        <v/>
      </c>
      <c r="DW36" s="193" t="n"/>
      <c r="DX36" s="225" t="n"/>
      <c r="DY36" s="225" t="n"/>
      <c r="DZ36" s="225" t="n"/>
      <c r="EA36" s="226" t="n"/>
      <c r="EC36" s="193" t="n"/>
      <c r="ED36" s="225" t="n"/>
      <c r="EE36" s="225" t="n"/>
      <c r="EF36" s="225" t="n"/>
      <c r="EG36" s="226" t="n"/>
      <c r="EI36" s="193" t="inlineStr">
        <is>
          <t>Ending Balance</t>
        </is>
      </c>
      <c r="EJ36" s="225">
        <f t="array" ref="EJ36">index('USDT Yield Fund'!$A$8:$LC$1012,MATCH(EI$10,'USDT Yield Fund'!$A$8:$A$1012,0),MATCH($E$2,'USDT Yield Fund'!$A$8:$LC$8,0))</f>
        <v/>
      </c>
      <c r="EK36" s="225">
        <f>EJ36</f>
        <v/>
      </c>
      <c r="EL36" s="225">
        <f>EJ36</f>
        <v/>
      </c>
      <c r="EM36" s="226">
        <f>EJ36</f>
        <v/>
      </c>
      <c r="EO36" s="193" t="inlineStr">
        <is>
          <t>Ending Balance</t>
        </is>
      </c>
      <c r="EP36" s="225">
        <f t="array" ref="EP36">index('USDT Yield Fund'!$A$8:$LC$1012,MATCH(EO$10,'USDT Yield Fund'!$A$8:$A$1012,0),MATCH($E$2,'USDT Yield Fund'!$A$8:$LC$8,0))</f>
        <v/>
      </c>
      <c r="EQ36" s="225">
        <f>EP36</f>
        <v/>
      </c>
      <c r="ER36" s="225">
        <f>EP36</f>
        <v/>
      </c>
      <c r="ES36" s="226">
        <f>EP36</f>
        <v/>
      </c>
      <c r="EU36" s="193" t="n"/>
      <c r="EV36" s="225" t="n"/>
      <c r="EW36" s="225" t="n"/>
      <c r="EX36" s="225" t="n"/>
      <c r="EY36" s="226" t="n"/>
      <c r="FA36" s="193" t="n"/>
      <c r="FB36" s="225" t="n"/>
      <c r="FC36" s="225" t="n"/>
      <c r="FD36" s="225" t="n"/>
      <c r="FE36" s="226" t="n"/>
      <c r="FG36" s="193" t="n"/>
      <c r="FH36" s="225" t="n"/>
      <c r="FI36" s="225" t="n"/>
      <c r="FJ36" s="225" t="n"/>
      <c r="FK36" s="226" t="n"/>
      <c r="FM36" s="193" t="inlineStr">
        <is>
          <t>Ending Balance</t>
        </is>
      </c>
      <c r="FN36" s="225">
        <f t="array" ref="FN36">index('USDT Yield Fund'!$A$8:$LC$1012,MATCH(FM$10,'USDT Yield Fund'!$A$8:$A$1012,0),MATCH($E$2,'USDT Yield Fund'!$A$8:$LC$8,0))</f>
        <v/>
      </c>
      <c r="FO36" s="225">
        <f>FN36</f>
        <v/>
      </c>
      <c r="FP36" s="225">
        <f>FN36</f>
        <v/>
      </c>
      <c r="FQ36" s="226">
        <f>FN36</f>
        <v/>
      </c>
      <c r="FS36" s="193" t="inlineStr">
        <is>
          <t>Ending Balance</t>
        </is>
      </c>
      <c r="FT36" s="225">
        <f t="array" ref="FT36">index('USDT Yield Fund'!$A$8:$LC$1012,MATCH(FS$10,'USDT Yield Fund'!$A$8:$A$1012,0),MATCH($E$2,'USDT Yield Fund'!$A$8:$LC$8,0))</f>
        <v/>
      </c>
      <c r="FU36" s="225">
        <f>FT36</f>
        <v/>
      </c>
      <c r="FV36" s="225">
        <f>FT36</f>
        <v/>
      </c>
      <c r="FW36" s="226">
        <f>FT36</f>
        <v/>
      </c>
      <c r="FY36" s="193" t="inlineStr">
        <is>
          <t>Ending Balance</t>
        </is>
      </c>
      <c r="FZ36" s="225">
        <f t="array" ref="FZ36">index('USDT Yield Fund'!$A$8:$LC$1012,MATCH(FY$10,'USDT Yield Fund'!$A$8:$A$1012,0),MATCH($E$2,'USDT Yield Fund'!$A$8:$LC$8,0))</f>
        <v/>
      </c>
      <c r="GA36" s="225">
        <f>FZ36</f>
        <v/>
      </c>
      <c r="GB36" s="225">
        <f>FZ36</f>
        <v/>
      </c>
      <c r="GC36" s="226">
        <f>FZ36</f>
        <v/>
      </c>
      <c r="GE36" s="193" t="inlineStr">
        <is>
          <t>Ending Balance</t>
        </is>
      </c>
      <c r="GF36" s="225">
        <f t="array" ref="GF36">index('USDT Yield Fund'!$A$8:$LC$1012,MATCH(GE$10,'USDT Yield Fund'!$A$8:$A$1012,0),MATCH($E$2,'USDT Yield Fund'!$A$8:$LC$8,0))</f>
        <v/>
      </c>
      <c r="GG36" s="225">
        <f>GF36</f>
        <v/>
      </c>
      <c r="GH36" s="225">
        <f>GF36</f>
        <v/>
      </c>
      <c r="GI36" s="226">
        <f>GF36</f>
        <v/>
      </c>
      <c r="GK36" s="193" t="inlineStr">
        <is>
          <t>Ending Balance</t>
        </is>
      </c>
      <c r="GL36" s="225">
        <f t="array" ref="GL36">index('USDT Yield Fund'!$A$8:$LC$1012,MATCH(GK$10,'USDT Yield Fund'!$A$8:$A$1012,0),MATCH($E$2,'USDT Yield Fund'!$A$8:$LC$8,0))</f>
        <v/>
      </c>
      <c r="GM36" s="225">
        <f>GL36</f>
        <v/>
      </c>
      <c r="GN36" s="225">
        <f>GL36</f>
        <v/>
      </c>
      <c r="GO36" s="226">
        <f>GL36</f>
        <v/>
      </c>
      <c r="GQ36" s="193" t="inlineStr">
        <is>
          <t>Ending Balance</t>
        </is>
      </c>
      <c r="GR36" s="225">
        <f t="array" ref="GR36">index('USDT Yield Fund'!$A$8:$LC$1012,MATCH(GQ$10,'USDT Yield Fund'!$A$8:$A$1012,0),MATCH($E$2,'USDT Yield Fund'!$A$8:$LC$8,0))</f>
        <v/>
      </c>
      <c r="GS36" s="225">
        <f>GR36</f>
        <v/>
      </c>
      <c r="GT36" s="225">
        <f>GR36</f>
        <v/>
      </c>
      <c r="GU36" s="226">
        <f>GR36</f>
        <v/>
      </c>
      <c r="GW36" s="227" t="inlineStr">
        <is>
          <t>Ending Balance</t>
        </is>
      </c>
      <c r="GX36" s="228">
        <f t="array" ref="GX36">index('USDT Yield Fund'!$A$8:$LC$1012,MATCH(GW$10,'USDT Yield Fund'!$A$8:$A$1012,0),MATCH($E$2,'USDT Yield Fund'!$A$8:$LC$8,0))</f>
        <v/>
      </c>
      <c r="GY36" s="228">
        <f>GX36</f>
        <v/>
      </c>
      <c r="GZ36" s="228">
        <f>GX36</f>
        <v/>
      </c>
      <c r="HA36" s="229">
        <f>GX36</f>
        <v/>
      </c>
      <c r="HC36" s="193" t="n"/>
      <c r="HD36" s="225" t="n"/>
      <c r="HE36" s="225" t="n"/>
      <c r="HF36" s="225" t="n"/>
      <c r="HG36" s="226" t="n"/>
      <c r="HI36" s="227" t="inlineStr">
        <is>
          <t>Ending Balance</t>
        </is>
      </c>
      <c r="HJ36" s="228">
        <f t="array" ref="HJ36">index('USDT Yield Fund'!$A$8:$LC$1012,MATCH(HI$10,'USDT Yield Fund'!$A$8:$A$1012,0),MATCH($E$2,'USDT Yield Fund'!$A$8:$LC$8,0))</f>
        <v/>
      </c>
      <c r="HK36" s="228">
        <f>HJ36</f>
        <v/>
      </c>
      <c r="HL36" s="228">
        <f>HJ36</f>
        <v/>
      </c>
      <c r="HM36" s="229">
        <f>HJ36</f>
        <v/>
      </c>
      <c r="HO36" s="227" t="inlineStr">
        <is>
          <t>Ending Balance</t>
        </is>
      </c>
      <c r="HP36" s="228">
        <f t="array" ref="HP36">index('USDT Yield Fund'!$A$8:$LC$1012,MATCH(HO$10,'USDT Yield Fund'!$A$8:$A$1012,0),MATCH($E$2,'USDT Yield Fund'!$A$8:$LC$8,0))</f>
        <v/>
      </c>
      <c r="HQ36" s="228">
        <f>HP36</f>
        <v/>
      </c>
      <c r="HR36" s="228">
        <f>HP36</f>
        <v/>
      </c>
      <c r="HS36" s="229">
        <f>HP36</f>
        <v/>
      </c>
      <c r="HU36" s="193" t="n"/>
      <c r="HV36" s="225" t="n"/>
      <c r="HW36" s="225" t="n"/>
      <c r="HX36" s="225" t="n"/>
      <c r="HY36" s="226" t="n"/>
      <c r="IA36" s="193" t="n"/>
      <c r="IB36" s="225" t="n"/>
      <c r="IC36" s="225" t="n"/>
      <c r="ID36" s="225" t="n"/>
      <c r="IE36" s="226" t="n"/>
      <c r="IG36" s="193" t="n"/>
      <c r="IH36" s="225" t="n"/>
      <c r="II36" s="225" t="n"/>
      <c r="IJ36" s="225" t="n"/>
      <c r="IK36" s="226" t="n"/>
      <c r="IM36" s="193" t="inlineStr">
        <is>
          <t>Ending Balance</t>
        </is>
      </c>
      <c r="IN36" s="225">
        <f t="array" ref="IN36">index('USDT Yield Fund'!$A$8:$LC$1012,MATCH(IM$10,'USDT Yield Fund'!$A$8:$A$1012,0),MATCH($E$2,'USDT Yield Fund'!$A$8:$LC$8,0))</f>
        <v/>
      </c>
      <c r="IO36" s="225">
        <f>IN36</f>
        <v/>
      </c>
      <c r="IP36" s="225">
        <f>IN36</f>
        <v/>
      </c>
      <c r="IQ36" s="226">
        <f>IN36</f>
        <v/>
      </c>
      <c r="IS36" s="193" t="inlineStr">
        <is>
          <t>Ending Balance</t>
        </is>
      </c>
      <c r="IT36" s="225">
        <f t="array" ref="IT36">index('USDT Yield Fund'!$A$8:$LC$1012,MATCH(IS$10,'USDT Yield Fund'!$A$8:$A$1012,0),MATCH($E$2,'USDT Yield Fund'!$A$8:$LC$8,0))</f>
        <v/>
      </c>
      <c r="IU36" s="225">
        <f>IT36</f>
        <v/>
      </c>
      <c r="IV36" s="225">
        <f>IT36</f>
        <v/>
      </c>
      <c r="IW36" s="226">
        <f>IT36</f>
        <v/>
      </c>
      <c r="IY36" s="193" t="n"/>
      <c r="IZ36" s="225" t="n"/>
      <c r="JA36" s="225" t="n"/>
      <c r="JB36" s="225" t="n"/>
      <c r="JC36" s="226" t="n"/>
    </row>
    <row r="37" ht="15.75" customHeight="1" s="252">
      <c r="A37" s="198" t="inlineStr">
        <is>
          <t>Rate of Return</t>
        </is>
      </c>
      <c r="B37" s="199">
        <f>B35/B32</f>
        <v/>
      </c>
      <c r="C37" s="199">
        <f>C35/C32</f>
        <v/>
      </c>
      <c r="D37" s="199">
        <f>D35/D32</f>
        <v/>
      </c>
      <c r="E37" s="200">
        <f>E35/E32</f>
        <v/>
      </c>
      <c r="G37" s="198" t="n"/>
      <c r="H37" s="199" t="n"/>
      <c r="I37" s="199" t="n"/>
      <c r="J37" s="199" t="n"/>
      <c r="K37" s="200" t="n"/>
      <c r="M37" s="198" t="n"/>
      <c r="N37" s="199" t="n"/>
      <c r="O37" s="199" t="n"/>
      <c r="P37" s="199" t="n"/>
      <c r="Q37" s="200" t="n"/>
      <c r="S37" s="198" t="inlineStr">
        <is>
          <t>Rate of Return</t>
        </is>
      </c>
      <c r="T37" s="199">
        <f>T35/T32</f>
        <v/>
      </c>
      <c r="U37" s="199">
        <f>U35/U32</f>
        <v/>
      </c>
      <c r="V37" s="199">
        <f>V35/V32</f>
        <v/>
      </c>
      <c r="W37" s="200">
        <f>W35/W32</f>
        <v/>
      </c>
      <c r="Y37" s="198" t="n"/>
      <c r="Z37" s="199" t="n"/>
      <c r="AA37" s="199" t="n"/>
      <c r="AB37" s="199" t="n"/>
      <c r="AC37" s="200" t="n"/>
      <c r="AE37" s="198" t="inlineStr">
        <is>
          <t>Rate of Return</t>
        </is>
      </c>
      <c r="AF37" s="199">
        <f>AF35/AF32</f>
        <v/>
      </c>
      <c r="AG37" s="199">
        <f>AG35/AG32</f>
        <v/>
      </c>
      <c r="AH37" s="199">
        <f>AH35/AH32</f>
        <v/>
      </c>
      <c r="AI37" s="200">
        <f>AI35/AI32</f>
        <v/>
      </c>
      <c r="AK37" s="198" t="n"/>
      <c r="AL37" s="199" t="n"/>
      <c r="AM37" s="199" t="n"/>
      <c r="AN37" s="199" t="n"/>
      <c r="AO37" s="200" t="n"/>
      <c r="AQ37" s="198" t="n"/>
      <c r="AR37" s="199" t="n"/>
      <c r="AS37" s="199" t="n"/>
      <c r="AT37" s="199" t="n"/>
      <c r="AU37" s="200" t="n"/>
      <c r="AW37" s="198" t="inlineStr">
        <is>
          <t>Rate of Return</t>
        </is>
      </c>
      <c r="AX37" s="199">
        <f>AX35/AX32</f>
        <v/>
      </c>
      <c r="AY37" s="199">
        <f>AY35/AY32</f>
        <v/>
      </c>
      <c r="AZ37" s="199">
        <f>AZ35/AZ32</f>
        <v/>
      </c>
      <c r="BA37" s="200">
        <f>BA35/BA32</f>
        <v/>
      </c>
      <c r="BC37" s="198" t="inlineStr">
        <is>
          <t>Rate of Return</t>
        </is>
      </c>
      <c r="BD37" s="199">
        <f>BD35/BD32</f>
        <v/>
      </c>
      <c r="BE37" s="199">
        <f>BE35/BE32</f>
        <v/>
      </c>
      <c r="BF37" s="199">
        <f>BF35/BF32</f>
        <v/>
      </c>
      <c r="BG37" s="200">
        <f>BG35/BG32</f>
        <v/>
      </c>
      <c r="BI37" s="198" t="n"/>
      <c r="BJ37" s="199" t="n"/>
      <c r="BK37" s="199" t="n"/>
      <c r="BL37" s="199" t="n"/>
      <c r="BM37" s="200" t="n"/>
      <c r="BO37" s="198" t="inlineStr">
        <is>
          <t>Rate of Return</t>
        </is>
      </c>
      <c r="BP37" s="199">
        <f>BP35/BP32</f>
        <v/>
      </c>
      <c r="BQ37" s="199">
        <f>BQ35/BQ32</f>
        <v/>
      </c>
      <c r="BR37" s="199">
        <f>BR35/BR32</f>
        <v/>
      </c>
      <c r="BS37" s="200">
        <f>BS35/BS32</f>
        <v/>
      </c>
      <c r="BU37" s="198" t="inlineStr">
        <is>
          <t>Rate of Return</t>
        </is>
      </c>
      <c r="BV37" s="199">
        <f>BV35/BV32</f>
        <v/>
      </c>
      <c r="BW37" s="199">
        <f>BW35/BW32</f>
        <v/>
      </c>
      <c r="BX37" s="199">
        <f>BX35/BX32</f>
        <v/>
      </c>
      <c r="BY37" s="200">
        <f>BY35/BY32</f>
        <v/>
      </c>
      <c r="CA37" s="198" t="inlineStr">
        <is>
          <t>Rate of Return</t>
        </is>
      </c>
      <c r="CB37" s="199">
        <f>CB35/CB32</f>
        <v/>
      </c>
      <c r="CC37" s="199">
        <f>CC35/CC32</f>
        <v/>
      </c>
      <c r="CD37" s="199">
        <f>CD35/CD32</f>
        <v/>
      </c>
      <c r="CE37" s="200">
        <f>CE35/CE32</f>
        <v/>
      </c>
      <c r="CG37" s="198" t="inlineStr">
        <is>
          <t>Rate of Return</t>
        </is>
      </c>
      <c r="CH37" s="199">
        <f>CH35/CH32</f>
        <v/>
      </c>
      <c r="CI37" s="199">
        <f>CI35/CI32</f>
        <v/>
      </c>
      <c r="CJ37" s="199">
        <f>CJ35/CJ32</f>
        <v/>
      </c>
      <c r="CK37" s="200">
        <f>CK35/CK32</f>
        <v/>
      </c>
      <c r="CM37" s="198" t="inlineStr">
        <is>
          <t>Rate of Return</t>
        </is>
      </c>
      <c r="CN37" s="199">
        <f>CN35/CN32</f>
        <v/>
      </c>
      <c r="CO37" s="199">
        <f>CO35/CO32</f>
        <v/>
      </c>
      <c r="CP37" s="199">
        <f>CP35/CP32</f>
        <v/>
      </c>
      <c r="CQ37" s="200">
        <f>CQ35/CQ32</f>
        <v/>
      </c>
      <c r="CS37" s="198" t="n"/>
      <c r="CT37" s="199" t="n"/>
      <c r="CU37" s="199" t="n"/>
      <c r="CV37" s="199" t="n"/>
      <c r="CW37" s="200" t="n"/>
      <c r="CY37" s="198" t="inlineStr">
        <is>
          <t>Rate of Return</t>
        </is>
      </c>
      <c r="CZ37" s="199">
        <f>CZ35/CZ32</f>
        <v/>
      </c>
      <c r="DA37" s="199">
        <f>DA35/DA32</f>
        <v/>
      </c>
      <c r="DB37" s="199">
        <f>DB35/DB32</f>
        <v/>
      </c>
      <c r="DC37" s="200">
        <f>DC35/DC32</f>
        <v/>
      </c>
      <c r="DE37" s="198" t="inlineStr">
        <is>
          <t>Rate of Return</t>
        </is>
      </c>
      <c r="DF37" s="199">
        <f>DF35/DF32</f>
        <v/>
      </c>
      <c r="DG37" s="199">
        <f>DG35/DG32</f>
        <v/>
      </c>
      <c r="DH37" s="199">
        <f>DH35/DH32</f>
        <v/>
      </c>
      <c r="DI37" s="200">
        <f>DI35/DI32</f>
        <v/>
      </c>
      <c r="DK37" s="198" t="inlineStr">
        <is>
          <t>Rate of Return</t>
        </is>
      </c>
      <c r="DL37" s="199">
        <f>DL35/DL32</f>
        <v/>
      </c>
      <c r="DM37" s="199">
        <f>DM35/DM32</f>
        <v/>
      </c>
      <c r="DN37" s="199">
        <f>DN35/DN32</f>
        <v/>
      </c>
      <c r="DO37" s="200">
        <f>DO35/DO32</f>
        <v/>
      </c>
      <c r="DQ37" s="198" t="inlineStr">
        <is>
          <t>Rate of Return</t>
        </is>
      </c>
      <c r="DR37" s="199">
        <f>DR35/DR32</f>
        <v/>
      </c>
      <c r="DS37" s="199">
        <f>DS35/DS32</f>
        <v/>
      </c>
      <c r="DT37" s="199">
        <f>DT35/DT32</f>
        <v/>
      </c>
      <c r="DU37" s="200">
        <f>DU35/DU32</f>
        <v/>
      </c>
      <c r="DW37" s="198" t="n"/>
      <c r="DX37" s="199" t="n"/>
      <c r="DY37" s="199" t="n"/>
      <c r="DZ37" s="199" t="n"/>
      <c r="EA37" s="200" t="n"/>
      <c r="EC37" s="198" t="n"/>
      <c r="ED37" s="199" t="n"/>
      <c r="EE37" s="199" t="n"/>
      <c r="EF37" s="199" t="n"/>
      <c r="EG37" s="200" t="n"/>
      <c r="EI37" s="198" t="inlineStr">
        <is>
          <t>Rate of Return</t>
        </is>
      </c>
      <c r="EJ37" s="199">
        <f>EJ35/EJ32</f>
        <v/>
      </c>
      <c r="EK37" s="199">
        <f>EK35/EK32</f>
        <v/>
      </c>
      <c r="EL37" s="199">
        <f>EL35/EL32</f>
        <v/>
      </c>
      <c r="EM37" s="200">
        <f>EM35/EM32</f>
        <v/>
      </c>
      <c r="EO37" s="198" t="inlineStr">
        <is>
          <t>Rate of Return</t>
        </is>
      </c>
      <c r="EP37" s="199">
        <f>EP35/EP32</f>
        <v/>
      </c>
      <c r="EQ37" s="199">
        <f>EQ35/EQ32</f>
        <v/>
      </c>
      <c r="ER37" s="199">
        <f>ER35/ER32</f>
        <v/>
      </c>
      <c r="ES37" s="200">
        <f>ES35/ES32</f>
        <v/>
      </c>
      <c r="EU37" s="198" t="n"/>
      <c r="EV37" s="199" t="n"/>
      <c r="EW37" s="199" t="n"/>
      <c r="EX37" s="199" t="n"/>
      <c r="EY37" s="200" t="n"/>
      <c r="FA37" s="198" t="n"/>
      <c r="FB37" s="199" t="n"/>
      <c r="FC37" s="199" t="n"/>
      <c r="FD37" s="199" t="n"/>
      <c r="FE37" s="200" t="n"/>
      <c r="FG37" s="198" t="n"/>
      <c r="FH37" s="199" t="n"/>
      <c r="FI37" s="199" t="n"/>
      <c r="FJ37" s="199" t="n"/>
      <c r="FK37" s="200" t="n"/>
      <c r="FM37" s="198" t="inlineStr">
        <is>
          <t>Rate of Return</t>
        </is>
      </c>
      <c r="FN37" s="199">
        <f>FN35/FN32</f>
        <v/>
      </c>
      <c r="FO37" s="199">
        <f>FO35/FO32</f>
        <v/>
      </c>
      <c r="FP37" s="199">
        <f>FP35/FP32</f>
        <v/>
      </c>
      <c r="FQ37" s="200">
        <f>FQ35/FQ32</f>
        <v/>
      </c>
      <c r="FS37" s="198" t="inlineStr">
        <is>
          <t>Rate of Return</t>
        </is>
      </c>
      <c r="FT37" s="199">
        <f>FT35/FT32</f>
        <v/>
      </c>
      <c r="FU37" s="199">
        <f>FU35/FU32</f>
        <v/>
      </c>
      <c r="FV37" s="199">
        <f>FV35/FV32</f>
        <v/>
      </c>
      <c r="FW37" s="200">
        <f>FW35/FW32</f>
        <v/>
      </c>
      <c r="FY37" s="198" t="inlineStr">
        <is>
          <t>Rate of Return</t>
        </is>
      </c>
      <c r="FZ37" s="199">
        <f>FZ35/FZ32</f>
        <v/>
      </c>
      <c r="GA37" s="199">
        <f>GA35/GA32</f>
        <v/>
      </c>
      <c r="GB37" s="199">
        <f>GB35/GB32</f>
        <v/>
      </c>
      <c r="GC37" s="200">
        <f>GC35/GC32</f>
        <v/>
      </c>
      <c r="GE37" s="198" t="inlineStr">
        <is>
          <t>Rate of Return</t>
        </is>
      </c>
      <c r="GF37" s="199">
        <f>GF35/GF32</f>
        <v/>
      </c>
      <c r="GG37" s="199">
        <f>GG35/GG32</f>
        <v/>
      </c>
      <c r="GH37" s="199">
        <f>GH35/GH32</f>
        <v/>
      </c>
      <c r="GI37" s="200">
        <f>GI35/GI32</f>
        <v/>
      </c>
      <c r="GK37" s="198" t="inlineStr">
        <is>
          <t>Rate of Return</t>
        </is>
      </c>
      <c r="GL37" s="199">
        <f>GL35/GL32</f>
        <v/>
      </c>
      <c r="GM37" s="199">
        <f>GM35/GM32</f>
        <v/>
      </c>
      <c r="GN37" s="199">
        <f>GN35/GN32</f>
        <v/>
      </c>
      <c r="GO37" s="200">
        <f>GO35/GO32</f>
        <v/>
      </c>
      <c r="GQ37" s="198" t="inlineStr">
        <is>
          <t>Rate of Return</t>
        </is>
      </c>
      <c r="GR37" s="199">
        <f>GR35/GR32</f>
        <v/>
      </c>
      <c r="GS37" s="199">
        <f>GS35/GS32</f>
        <v/>
      </c>
      <c r="GT37" s="199">
        <f>GT35/GT32</f>
        <v/>
      </c>
      <c r="GU37" s="200">
        <f>GU35/GU32</f>
        <v/>
      </c>
      <c r="GW37" s="230" t="inlineStr">
        <is>
          <t>Rate of Return</t>
        </is>
      </c>
      <c r="GX37" s="202">
        <f>GX35/GX32</f>
        <v/>
      </c>
      <c r="GY37" s="202">
        <f>GY35/GY32</f>
        <v/>
      </c>
      <c r="GZ37" s="202">
        <f>GZ35/GZ32</f>
        <v/>
      </c>
      <c r="HA37" s="203">
        <f>HA35/HA32</f>
        <v/>
      </c>
      <c r="HC37" s="198" t="n"/>
      <c r="HD37" s="199" t="n"/>
      <c r="HE37" s="199" t="n"/>
      <c r="HF37" s="199" t="n"/>
      <c r="HG37" s="200" t="n"/>
      <c r="HI37" s="230" t="inlineStr">
        <is>
          <t>Rate of Return</t>
        </is>
      </c>
      <c r="HJ37" s="202">
        <f>HJ35/HJ32</f>
        <v/>
      </c>
      <c r="HK37" s="202">
        <f>HK35/HK32</f>
        <v/>
      </c>
      <c r="HL37" s="202">
        <f>HL35/HL32</f>
        <v/>
      </c>
      <c r="HM37" s="203">
        <f>HM35/HM32</f>
        <v/>
      </c>
      <c r="HO37" s="230" t="inlineStr">
        <is>
          <t>Rate of Return</t>
        </is>
      </c>
      <c r="HP37" s="202">
        <f>HP35/HP32</f>
        <v/>
      </c>
      <c r="HQ37" s="202">
        <f>HQ35/HQ32</f>
        <v/>
      </c>
      <c r="HR37" s="202">
        <f>HR35/HR32</f>
        <v/>
      </c>
      <c r="HS37" s="203">
        <f>HS35/HS32</f>
        <v/>
      </c>
      <c r="HU37" s="198" t="n"/>
      <c r="HV37" s="199" t="n"/>
      <c r="HW37" s="199" t="n"/>
      <c r="HX37" s="199" t="n"/>
      <c r="HY37" s="200" t="n"/>
      <c r="IA37" s="198" t="n"/>
      <c r="IB37" s="199" t="n"/>
      <c r="IC37" s="199" t="n"/>
      <c r="ID37" s="199" t="n"/>
      <c r="IE37" s="200" t="n"/>
      <c r="IG37" s="198" t="n"/>
      <c r="IH37" s="199" t="n"/>
      <c r="II37" s="199" t="n"/>
      <c r="IJ37" s="199" t="n"/>
      <c r="IK37" s="200" t="n"/>
      <c r="IM37" s="198" t="inlineStr">
        <is>
          <t>Rate of Return</t>
        </is>
      </c>
      <c r="IN37" s="199">
        <f>IN35/IN32</f>
        <v/>
      </c>
      <c r="IO37" s="199">
        <f>IO35/IO32</f>
        <v/>
      </c>
      <c r="IP37" s="199">
        <f>IP35/IP32</f>
        <v/>
      </c>
      <c r="IQ37" s="200">
        <f>IQ35/IQ32</f>
        <v/>
      </c>
      <c r="IS37" s="198" t="inlineStr">
        <is>
          <t>Rate of Return</t>
        </is>
      </c>
      <c r="IT37" s="199">
        <f>IT35/IT32</f>
        <v/>
      </c>
      <c r="IU37" s="199">
        <f>IU35/IU32</f>
        <v/>
      </c>
      <c r="IV37" s="199">
        <f>IV35/IV32</f>
        <v/>
      </c>
      <c r="IW37" s="200">
        <f>IW35/IW32</f>
        <v/>
      </c>
      <c r="IY37" s="198" t="n"/>
      <c r="IZ37" s="199" t="n"/>
      <c r="JA37" s="199" t="n"/>
      <c r="JB37" s="199" t="n"/>
      <c r="JC37" s="200" t="n"/>
    </row>
    <row r="38" ht="15.75" customHeight="1" s="252">
      <c r="BC38" s="169" t="inlineStr">
        <is>
          <t>Out</t>
        </is>
      </c>
      <c r="EU38" s="169" t="inlineStr">
        <is>
          <t>Out</t>
        </is>
      </c>
      <c r="GK38" s="169" t="inlineStr">
        <is>
          <t>Out</t>
        </is>
      </c>
    </row>
    <row r="39" ht="15.75" customHeight="1" s="252">
      <c r="A39" s="173" t="inlineStr">
        <is>
          <t xml:space="preserve">CAPITAL ACCOUNT SUMMARY FROM </t>
        </is>
      </c>
      <c r="B39" s="256" t="n"/>
      <c r="C39" s="256" t="n"/>
      <c r="D39" s="256" t="n"/>
      <c r="E39" s="175" t="n">
        <v>45953</v>
      </c>
      <c r="G39" s="257" t="n"/>
      <c r="H39" s="256" t="n"/>
      <c r="I39" s="256" t="n"/>
      <c r="J39" s="256" t="n"/>
      <c r="K39" s="258" t="n"/>
      <c r="M39" s="257" t="n"/>
      <c r="N39" s="256" t="n"/>
      <c r="O39" s="256" t="n"/>
      <c r="P39" s="256" t="n"/>
      <c r="Q39" s="258" t="n"/>
      <c r="S39" s="257" t="n"/>
      <c r="T39" s="256" t="n"/>
      <c r="U39" s="256" t="n"/>
      <c r="V39" s="256" t="n"/>
      <c r="W39" s="258" t="n"/>
      <c r="Y39" s="257" t="n"/>
      <c r="Z39" s="256" t="n"/>
      <c r="AA39" s="256" t="n"/>
      <c r="AB39" s="256" t="n"/>
      <c r="AC39" s="258" t="n"/>
      <c r="AE39" s="257" t="n"/>
      <c r="AF39" s="256" t="n"/>
      <c r="AG39" s="256" t="n"/>
      <c r="AH39" s="256" t="n"/>
      <c r="AI39" s="258" t="n"/>
      <c r="AK39" s="257" t="n"/>
      <c r="AL39" s="256" t="n"/>
      <c r="AM39" s="256" t="n"/>
      <c r="AN39" s="256" t="n"/>
      <c r="AO39" s="258" t="n"/>
      <c r="AQ39" s="257" t="n"/>
      <c r="AR39" s="256" t="n"/>
      <c r="AS39" s="256" t="n"/>
      <c r="AT39" s="256" t="n"/>
      <c r="AU39" s="258" t="n"/>
      <c r="AW39" s="257" t="n"/>
      <c r="AX39" s="256" t="n"/>
      <c r="AY39" s="256" t="n"/>
      <c r="AZ39" s="256" t="n"/>
      <c r="BA39" s="258" t="n"/>
      <c r="BC39" s="173" t="inlineStr">
        <is>
          <t xml:space="preserve">CAPITAL ACCOUNT SUMMARY FROM </t>
        </is>
      </c>
      <c r="BD39" s="256" t="n"/>
      <c r="BE39" s="256" t="n"/>
      <c r="BF39" s="256" t="n"/>
      <c r="BG39" s="175" t="n">
        <v>45902</v>
      </c>
      <c r="BI39" s="257" t="n"/>
      <c r="BJ39" s="256" t="n"/>
      <c r="BK39" s="256" t="n"/>
      <c r="BL39" s="256" t="n"/>
      <c r="BM39" s="258" t="n"/>
      <c r="BO39" s="257" t="n"/>
      <c r="BP39" s="256" t="n"/>
      <c r="BQ39" s="256" t="n"/>
      <c r="BR39" s="256" t="n"/>
      <c r="BS39" s="258" t="n"/>
      <c r="BU39" s="257" t="n"/>
      <c r="BV39" s="256" t="n"/>
      <c r="BW39" s="256" t="n"/>
      <c r="BX39" s="256" t="n"/>
      <c r="BY39" s="258" t="n"/>
      <c r="CA39" s="257" t="n"/>
      <c r="CB39" s="256" t="n"/>
      <c r="CC39" s="256" t="n"/>
      <c r="CD39" s="256" t="n"/>
      <c r="CE39" s="258" t="n"/>
      <c r="CG39" s="257" t="n"/>
      <c r="CH39" s="256" t="n"/>
      <c r="CI39" s="256" t="n"/>
      <c r="CJ39" s="256" t="n"/>
      <c r="CK39" s="258" t="n"/>
      <c r="CM39" s="257" t="n"/>
      <c r="CN39" s="256" t="n"/>
      <c r="CO39" s="256" t="n"/>
      <c r="CP39" s="256" t="n"/>
      <c r="CQ39" s="258" t="n"/>
      <c r="CS39" s="257" t="n"/>
      <c r="CT39" s="256" t="n"/>
      <c r="CU39" s="256" t="n"/>
      <c r="CV39" s="256" t="n"/>
      <c r="CW39" s="258" t="n"/>
      <c r="CY39" s="257" t="n"/>
      <c r="CZ39" s="256" t="n"/>
      <c r="DA39" s="256" t="n"/>
      <c r="DB39" s="256" t="n"/>
      <c r="DC39" s="258" t="n"/>
      <c r="DE39" s="257" t="n"/>
      <c r="DF39" s="256" t="n"/>
      <c r="DG39" s="256" t="n"/>
      <c r="DH39" s="256" t="n"/>
      <c r="DI39" s="258" t="n"/>
      <c r="DK39" s="257" t="n"/>
      <c r="DL39" s="256" t="n"/>
      <c r="DM39" s="256" t="n"/>
      <c r="DN39" s="256" t="n"/>
      <c r="DO39" s="258" t="n"/>
      <c r="DQ39" s="257" t="n"/>
      <c r="DR39" s="256" t="n"/>
      <c r="DS39" s="256" t="n"/>
      <c r="DT39" s="256" t="n"/>
      <c r="DU39" s="258" t="n"/>
      <c r="DW39" s="257" t="n"/>
      <c r="DX39" s="256" t="n"/>
      <c r="DY39" s="256" t="n"/>
      <c r="DZ39" s="256" t="n"/>
      <c r="EA39" s="258" t="n"/>
      <c r="EC39" s="257" t="n"/>
      <c r="ED39" s="256" t="n"/>
      <c r="EE39" s="256" t="n"/>
      <c r="EF39" s="256" t="n"/>
      <c r="EG39" s="258" t="n"/>
      <c r="EI39" s="257" t="n"/>
      <c r="EJ39" s="256" t="n"/>
      <c r="EK39" s="256" t="n"/>
      <c r="EL39" s="256" t="n"/>
      <c r="EM39" s="258" t="n"/>
      <c r="EO39" s="257" t="n"/>
      <c r="EP39" s="256" t="n"/>
      <c r="EQ39" s="256" t="n"/>
      <c r="ER39" s="256" t="n"/>
      <c r="ES39" s="258" t="n"/>
      <c r="EU39" s="173" t="inlineStr">
        <is>
          <t xml:space="preserve">CAPITAL ACCOUNT SUMMARY FROM </t>
        </is>
      </c>
      <c r="EV39" s="256" t="n"/>
      <c r="EW39" s="256" t="n"/>
      <c r="EX39" s="256" t="n"/>
      <c r="EY39" s="175" t="n">
        <v>45904</v>
      </c>
      <c r="FA39" s="173" t="inlineStr">
        <is>
          <t xml:space="preserve">CAPITAL ACCOUNT SUMMARY FROM </t>
        </is>
      </c>
      <c r="FB39" s="256" t="n"/>
      <c r="FC39" s="256" t="n"/>
      <c r="FD39" s="256" t="n"/>
      <c r="FE39" s="175" t="n">
        <v>45930</v>
      </c>
      <c r="FG39" s="257" t="n"/>
      <c r="FH39" s="256" t="n"/>
      <c r="FI39" s="256" t="n"/>
      <c r="FJ39" s="256" t="n"/>
      <c r="FK39" s="258" t="n"/>
      <c r="FM39" s="257" t="n"/>
      <c r="FN39" s="256" t="n"/>
      <c r="FO39" s="256" t="n"/>
      <c r="FP39" s="256" t="n"/>
      <c r="FQ39" s="258" t="n"/>
      <c r="FS39" s="257" t="n"/>
      <c r="FT39" s="256" t="n"/>
      <c r="FU39" s="256" t="n"/>
      <c r="FV39" s="256" t="n"/>
      <c r="FW39" s="258" t="n"/>
      <c r="FY39" s="257" t="n"/>
      <c r="FZ39" s="256" t="n"/>
      <c r="GA39" s="256" t="n"/>
      <c r="GB39" s="256" t="n"/>
      <c r="GC39" s="258" t="n"/>
      <c r="GE39" s="257" t="n"/>
      <c r="GF39" s="256" t="n"/>
      <c r="GG39" s="256" t="n"/>
      <c r="GH39" s="256" t="n"/>
      <c r="GI39" s="258" t="n"/>
      <c r="GK39" s="173" t="inlineStr">
        <is>
          <t xml:space="preserve">CAPITAL ACCOUNT SUMMARY FROM </t>
        </is>
      </c>
      <c r="GL39" s="256" t="n"/>
      <c r="GM39" s="256" t="n"/>
      <c r="GN39" s="256" t="n"/>
      <c r="GO39" s="175" t="n">
        <v>45978</v>
      </c>
      <c r="GQ39" s="173" t="inlineStr">
        <is>
          <t xml:space="preserve">CAPITAL ACCOUNT SUMMARY FROM </t>
        </is>
      </c>
      <c r="GR39" s="256" t="n"/>
      <c r="GS39" s="256" t="n"/>
      <c r="GT39" s="256" t="n"/>
      <c r="GU39" s="175" t="n">
        <v>45986</v>
      </c>
      <c r="GW39" s="257" t="n"/>
      <c r="GX39" s="256" t="n"/>
      <c r="GY39" s="256" t="n"/>
      <c r="GZ39" s="256" t="n"/>
      <c r="HA39" s="258" t="n"/>
      <c r="HC39" s="257" t="n"/>
      <c r="HD39" s="256" t="n"/>
      <c r="HE39" s="256" t="n"/>
      <c r="HF39" s="256" t="n"/>
      <c r="HG39" s="258" t="n"/>
      <c r="HI39" s="257" t="n"/>
      <c r="HJ39" s="256" t="n"/>
      <c r="HK39" s="256" t="n"/>
      <c r="HL39" s="256" t="n"/>
      <c r="HM39" s="258" t="n"/>
      <c r="HO39" s="257" t="n"/>
      <c r="HP39" s="256" t="n"/>
      <c r="HQ39" s="256" t="n"/>
      <c r="HR39" s="256" t="n"/>
      <c r="HS39" s="258" t="n"/>
      <c r="HU39" s="257" t="n"/>
      <c r="HV39" s="256" t="n"/>
      <c r="HW39" s="256" t="n"/>
      <c r="HX39" s="256" t="n"/>
      <c r="HY39" s="258" t="n"/>
      <c r="IA39" s="257" t="n"/>
      <c r="IB39" s="256" t="n"/>
      <c r="IC39" s="256" t="n"/>
      <c r="ID39" s="256" t="n"/>
      <c r="IE39" s="258" t="n"/>
      <c r="IG39" s="173" t="inlineStr">
        <is>
          <t xml:space="preserve">CAPITAL ACCOUNT SUMMARY FROM </t>
        </is>
      </c>
      <c r="IH39" s="256" t="n"/>
      <c r="II39" s="256" t="n"/>
      <c r="IJ39" s="256" t="n"/>
      <c r="IK39" s="176" t="n">
        <v>46065</v>
      </c>
      <c r="IM39" s="257" t="n"/>
      <c r="IN39" s="256" t="n"/>
      <c r="IO39" s="256" t="n"/>
      <c r="IP39" s="256" t="n"/>
      <c r="IQ39" s="258" t="n"/>
      <c r="IS39" s="257" t="n"/>
      <c r="IT39" s="256" t="n"/>
      <c r="IU39" s="256" t="n"/>
      <c r="IV39" s="256" t="n"/>
      <c r="IW39" s="258" t="n"/>
      <c r="IY39" s="257" t="n"/>
      <c r="IZ39" s="256" t="n"/>
      <c r="JA39" s="256" t="n"/>
      <c r="JB39" s="256" t="n"/>
      <c r="JC39" s="258" t="n"/>
    </row>
    <row r="40" ht="15.75" customHeight="1" s="252">
      <c r="A40" s="231" t="n"/>
      <c r="B40" s="232" t="inlineStr">
        <is>
          <t>MTD (SOL)</t>
        </is>
      </c>
      <c r="C40" s="232" t="inlineStr">
        <is>
          <t>QTD (SOL)</t>
        </is>
      </c>
      <c r="D40" s="232" t="inlineStr">
        <is>
          <t>YTD (SOL)</t>
        </is>
      </c>
      <c r="E40" s="233" t="inlineStr">
        <is>
          <t>ITD (SOL)</t>
        </is>
      </c>
      <c r="G40" s="231" t="n"/>
      <c r="H40" s="232" t="n"/>
      <c r="I40" s="232" t="n"/>
      <c r="J40" s="232" t="n"/>
      <c r="K40" s="233" t="n"/>
      <c r="M40" s="231" t="n"/>
      <c r="N40" s="232" t="n"/>
      <c r="O40" s="232" t="n"/>
      <c r="P40" s="232" t="n"/>
      <c r="Q40" s="233" t="n"/>
      <c r="S40" s="231" t="n"/>
      <c r="T40" s="232" t="n"/>
      <c r="U40" s="232" t="n"/>
      <c r="V40" s="232" t="n"/>
      <c r="W40" s="233" t="n"/>
      <c r="Y40" s="231" t="n"/>
      <c r="Z40" s="232" t="n"/>
      <c r="AA40" s="232" t="n"/>
      <c r="AB40" s="232" t="n"/>
      <c r="AC40" s="233" t="n"/>
      <c r="AE40" s="231" t="n"/>
      <c r="AF40" s="232" t="n"/>
      <c r="AG40" s="232" t="n"/>
      <c r="AH40" s="232" t="n"/>
      <c r="AI40" s="233" t="n"/>
      <c r="AK40" s="231" t="n"/>
      <c r="AL40" s="232" t="n"/>
      <c r="AM40" s="232" t="n"/>
      <c r="AN40" s="232" t="n"/>
      <c r="AO40" s="233" t="n"/>
      <c r="AQ40" s="231" t="n"/>
      <c r="AR40" s="232" t="n"/>
      <c r="AS40" s="232" t="n"/>
      <c r="AT40" s="232" t="n"/>
      <c r="AU40" s="233" t="n"/>
      <c r="AW40" s="231" t="n"/>
      <c r="AX40" s="232" t="n"/>
      <c r="AY40" s="232" t="n"/>
      <c r="AZ40" s="232" t="n"/>
      <c r="BA40" s="233" t="n"/>
      <c r="BC40" s="231" t="n"/>
      <c r="BD40" s="232" t="inlineStr">
        <is>
          <t>MTD (SOL)</t>
        </is>
      </c>
      <c r="BE40" s="232" t="inlineStr">
        <is>
          <t>QTD (SOL)</t>
        </is>
      </c>
      <c r="BF40" s="232" t="inlineStr">
        <is>
          <t>YTD (SOL)</t>
        </is>
      </c>
      <c r="BG40" s="233" t="inlineStr">
        <is>
          <t>ITD (SOL)</t>
        </is>
      </c>
      <c r="BI40" s="231" t="n"/>
      <c r="BJ40" s="232" t="n"/>
      <c r="BK40" s="232" t="n"/>
      <c r="BL40" s="232" t="n"/>
      <c r="BM40" s="233" t="n"/>
      <c r="BO40" s="231" t="n"/>
      <c r="BP40" s="232" t="n"/>
      <c r="BQ40" s="232" t="n"/>
      <c r="BR40" s="232" t="n"/>
      <c r="BS40" s="233" t="n"/>
      <c r="BU40" s="231" t="n"/>
      <c r="BV40" s="232" t="n"/>
      <c r="BW40" s="232" t="n"/>
      <c r="BX40" s="232" t="n"/>
      <c r="BY40" s="233" t="n"/>
      <c r="CA40" s="231" t="n"/>
      <c r="CB40" s="232" t="n"/>
      <c r="CC40" s="232" t="n"/>
      <c r="CD40" s="232" t="n"/>
      <c r="CE40" s="233" t="n"/>
      <c r="CG40" s="231" t="n"/>
      <c r="CH40" s="232" t="n"/>
      <c r="CI40" s="232" t="n"/>
      <c r="CJ40" s="232" t="n"/>
      <c r="CK40" s="233" t="n"/>
      <c r="CM40" s="231" t="n"/>
      <c r="CN40" s="232" t="n"/>
      <c r="CO40" s="232" t="n"/>
      <c r="CP40" s="232" t="n"/>
      <c r="CQ40" s="233" t="n"/>
      <c r="CS40" s="231" t="n"/>
      <c r="CT40" s="232" t="n"/>
      <c r="CU40" s="232" t="n"/>
      <c r="CV40" s="232" t="n"/>
      <c r="CW40" s="233" t="n"/>
      <c r="CY40" s="231" t="n"/>
      <c r="CZ40" s="232" t="n"/>
      <c r="DA40" s="232" t="n"/>
      <c r="DB40" s="232" t="n"/>
      <c r="DC40" s="233" t="n"/>
      <c r="DE40" s="231" t="n"/>
      <c r="DF40" s="232" t="n"/>
      <c r="DG40" s="232" t="n"/>
      <c r="DH40" s="232" t="n"/>
      <c r="DI40" s="233" t="n"/>
      <c r="DK40" s="231" t="n"/>
      <c r="DL40" s="232" t="n"/>
      <c r="DM40" s="232" t="n"/>
      <c r="DN40" s="232" t="n"/>
      <c r="DO40" s="233" t="n"/>
      <c r="DQ40" s="231" t="n"/>
      <c r="DR40" s="232" t="n"/>
      <c r="DS40" s="232" t="n"/>
      <c r="DT40" s="232" t="n"/>
      <c r="DU40" s="233" t="n"/>
      <c r="DW40" s="231" t="n"/>
      <c r="DX40" s="232" t="n"/>
      <c r="DY40" s="232" t="n"/>
      <c r="DZ40" s="232" t="n"/>
      <c r="EA40" s="233" t="n"/>
      <c r="EC40" s="231" t="n"/>
      <c r="ED40" s="232" t="n"/>
      <c r="EE40" s="232" t="n"/>
      <c r="EF40" s="232" t="n"/>
      <c r="EG40" s="233" t="n"/>
      <c r="EI40" s="231" t="n"/>
      <c r="EJ40" s="232" t="n"/>
      <c r="EK40" s="232" t="n"/>
      <c r="EL40" s="232" t="n"/>
      <c r="EM40" s="233" t="n"/>
      <c r="EO40" s="231" t="n"/>
      <c r="EP40" s="232" t="n"/>
      <c r="EQ40" s="232" t="n"/>
      <c r="ER40" s="232" t="n"/>
      <c r="ES40" s="233" t="n"/>
      <c r="EU40" s="231" t="n"/>
      <c r="EV40" s="232" t="inlineStr">
        <is>
          <t>MTD (SOL)</t>
        </is>
      </c>
      <c r="EW40" s="232" t="inlineStr">
        <is>
          <t>QTD (SOL)</t>
        </is>
      </c>
      <c r="EX40" s="232" t="inlineStr">
        <is>
          <t>YTD (SOL)</t>
        </is>
      </c>
      <c r="EY40" s="233" t="inlineStr">
        <is>
          <t>ITD (SOL)</t>
        </is>
      </c>
      <c r="FA40" s="231" t="n"/>
      <c r="FB40" s="232" t="inlineStr">
        <is>
          <t>MTD (SOL)</t>
        </is>
      </c>
      <c r="FC40" s="232" t="inlineStr">
        <is>
          <t>QTD (SOL)</t>
        </is>
      </c>
      <c r="FD40" s="232" t="inlineStr">
        <is>
          <t>YTD (SOL)</t>
        </is>
      </c>
      <c r="FE40" s="233" t="inlineStr">
        <is>
          <t>ITD (SOL)</t>
        </is>
      </c>
      <c r="FG40" s="231" t="n"/>
      <c r="FH40" s="232" t="n"/>
      <c r="FI40" s="232" t="n"/>
      <c r="FJ40" s="232" t="n"/>
      <c r="FK40" s="233" t="n"/>
      <c r="FM40" s="231" t="n"/>
      <c r="FN40" s="232" t="n"/>
      <c r="FO40" s="232" t="n"/>
      <c r="FP40" s="232" t="n"/>
      <c r="FQ40" s="233" t="n"/>
      <c r="FS40" s="231" t="n"/>
      <c r="FT40" s="232" t="n"/>
      <c r="FU40" s="232" t="n"/>
      <c r="FV40" s="232" t="n"/>
      <c r="FW40" s="233" t="n"/>
      <c r="FY40" s="231" t="n"/>
      <c r="FZ40" s="232" t="n"/>
      <c r="GA40" s="232" t="n"/>
      <c r="GB40" s="232" t="n"/>
      <c r="GC40" s="233" t="n"/>
      <c r="GE40" s="231" t="n"/>
      <c r="GF40" s="232" t="n"/>
      <c r="GG40" s="232" t="n"/>
      <c r="GH40" s="232" t="n"/>
      <c r="GI40" s="233" t="n"/>
      <c r="GK40" s="231" t="n"/>
      <c r="GL40" s="232" t="inlineStr">
        <is>
          <t>MTD (SOL)</t>
        </is>
      </c>
      <c r="GM40" s="232" t="inlineStr">
        <is>
          <t>QTD (SOL)</t>
        </is>
      </c>
      <c r="GN40" s="232" t="inlineStr">
        <is>
          <t>YTD (SOL)</t>
        </is>
      </c>
      <c r="GO40" s="233" t="inlineStr">
        <is>
          <t>ITD (SOL)</t>
        </is>
      </c>
      <c r="GQ40" s="231" t="n"/>
      <c r="GR40" s="232" t="inlineStr">
        <is>
          <t>MTD (SOL)</t>
        </is>
      </c>
      <c r="GS40" s="232" t="inlineStr">
        <is>
          <t>QTD (SOL)</t>
        </is>
      </c>
      <c r="GT40" s="232" t="inlineStr">
        <is>
          <t>YTD (SOL)</t>
        </is>
      </c>
      <c r="GU40" s="233" t="inlineStr">
        <is>
          <t>ITD (SOL)</t>
        </is>
      </c>
      <c r="GW40" s="231" t="n"/>
      <c r="GX40" s="232" t="n"/>
      <c r="GY40" s="232" t="n"/>
      <c r="GZ40" s="232" t="n"/>
      <c r="HA40" s="233" t="n"/>
      <c r="HC40" s="231" t="n"/>
      <c r="HD40" s="232" t="n"/>
      <c r="HE40" s="232" t="n"/>
      <c r="HF40" s="232" t="n"/>
      <c r="HG40" s="233" t="n"/>
      <c r="HI40" s="231" t="n"/>
      <c r="HJ40" s="232" t="n"/>
      <c r="HK40" s="232" t="n"/>
      <c r="HL40" s="232" t="n"/>
      <c r="HM40" s="233" t="n"/>
      <c r="HO40" s="231" t="n"/>
      <c r="HP40" s="232" t="n"/>
      <c r="HQ40" s="232" t="n"/>
      <c r="HR40" s="232" t="n"/>
      <c r="HS40" s="233" t="n"/>
      <c r="HU40" s="231" t="n"/>
      <c r="HV40" s="232" t="n"/>
      <c r="HW40" s="232" t="n"/>
      <c r="HX40" s="232" t="n"/>
      <c r="HY40" s="233" t="n"/>
      <c r="IA40" s="231" t="n"/>
      <c r="IB40" s="232" t="n"/>
      <c r="IC40" s="232" t="n"/>
      <c r="ID40" s="232" t="n"/>
      <c r="IE40" s="233" t="n"/>
      <c r="IG40" s="231" t="n"/>
      <c r="IH40" s="232" t="inlineStr">
        <is>
          <t>MTD (SOL)</t>
        </is>
      </c>
      <c r="II40" s="232" t="inlineStr">
        <is>
          <t>QTD (SOL)</t>
        </is>
      </c>
      <c r="IJ40" s="232" t="inlineStr">
        <is>
          <t>YTD (SOL)</t>
        </is>
      </c>
      <c r="IK40" s="233" t="inlineStr">
        <is>
          <t>ITD (SOL)</t>
        </is>
      </c>
      <c r="IM40" s="231" t="n"/>
      <c r="IN40" s="232" t="n"/>
      <c r="IO40" s="232" t="n"/>
      <c r="IP40" s="232" t="n"/>
      <c r="IQ40" s="233" t="n"/>
      <c r="IS40" s="231" t="n"/>
      <c r="IT40" s="232" t="n"/>
      <c r="IU40" s="232" t="n"/>
      <c r="IV40" s="232" t="n"/>
      <c r="IW40" s="233" t="n"/>
      <c r="IY40" s="231" t="n"/>
      <c r="IZ40" s="232" t="n"/>
      <c r="JA40" s="232" t="n"/>
      <c r="JB40" s="232" t="n"/>
      <c r="JC40" s="233" t="n"/>
    </row>
    <row r="41" ht="15.75" customHeight="1" s="252">
      <c r="A41" s="183" t="inlineStr">
        <is>
          <t>Beginning Balance</t>
        </is>
      </c>
      <c r="B41" s="215">
        <f t="array" ref="B41">index('SOL Yield Fund'!$A$8:$LX$1006,MATCH(A$10,'SOL Yield Fund'!$A$8:$A$1006,0),MATCH(IF(E39&gt;$D$2,E39,$D$2),'SOL Yield Fund'!$A$8:$LX$8,0))</f>
        <v/>
      </c>
      <c r="C41" s="215">
        <f t="array" ref="C41">index('SOL Yield Fund'!$A$8:$LX$1006,MATCH(A$10,'SOL Yield Fund'!$A$8:$A$1006,0),MATCH(IF(E39&gt;$D$3,E39,$D$3),'SOL Yield Fund'!$A$8:$LX$8,0))</f>
        <v/>
      </c>
      <c r="D41" s="215">
        <f t="array" ref="D41">index('SOL Yield Fund'!$A$8:$LX$1006,MATCH(A$10,'SOL Yield Fund'!$A$8:$A$1006,0),MATCH(IF(E39&gt;$D$4,E39,$D$4),'SOL Yield Fund'!$A$8:$LX$8,0))</f>
        <v/>
      </c>
      <c r="E41" s="216">
        <f t="array" ref="E41">index('SOL Yield Fund'!$A$8:$LX$1006,MATCH(A$10,'SOL Yield Fund'!$A$8:$A$1006,0),MATCH(E39,'SOL Yield Fund'!$A$8:$LX$8,0))</f>
        <v/>
      </c>
      <c r="G41" s="183" t="n"/>
      <c r="H41" s="215" t="n"/>
      <c r="I41" s="215" t="n"/>
      <c r="J41" s="215" t="n"/>
      <c r="K41" s="216" t="n"/>
      <c r="M41" s="183" t="n"/>
      <c r="N41" s="215" t="n"/>
      <c r="O41" s="215" t="n"/>
      <c r="P41" s="215" t="n"/>
      <c r="Q41" s="216" t="n"/>
      <c r="S41" s="183" t="n"/>
      <c r="T41" s="215" t="n"/>
      <c r="U41" s="215" t="n"/>
      <c r="V41" s="215" t="n"/>
      <c r="W41" s="216" t="n"/>
      <c r="Y41" s="183" t="n"/>
      <c r="Z41" s="215" t="n"/>
      <c r="AA41" s="215" t="n"/>
      <c r="AB41" s="215" t="n"/>
      <c r="AC41" s="216" t="n"/>
      <c r="AE41" s="183" t="n"/>
      <c r="AF41" s="215" t="n"/>
      <c r="AG41" s="215" t="n"/>
      <c r="AH41" s="215" t="n"/>
      <c r="AI41" s="216" t="n"/>
      <c r="AK41" s="183" t="n"/>
      <c r="AL41" s="215" t="n"/>
      <c r="AM41" s="215" t="n"/>
      <c r="AN41" s="215" t="n"/>
      <c r="AO41" s="216" t="n"/>
      <c r="AQ41" s="183" t="n"/>
      <c r="AR41" s="215" t="n"/>
      <c r="AS41" s="215" t="n"/>
      <c r="AT41" s="215" t="n"/>
      <c r="AU41" s="216" t="n"/>
      <c r="AW41" s="183" t="n"/>
      <c r="AX41" s="215" t="n"/>
      <c r="AY41" s="215" t="n"/>
      <c r="AZ41" s="215" t="n"/>
      <c r="BA41" s="216" t="n"/>
      <c r="BC41" s="183" t="inlineStr">
        <is>
          <t>Beginning Balance</t>
        </is>
      </c>
      <c r="BD41" s="215">
        <f t="array" ref="BD41">index('SOL Yield Fund'!$A$8:$LX$1006,MATCH(BC$10,'SOL Yield Fund'!$A$8:$A$1006,0),MATCH(IF(BG39&gt;$D$2,BG39,$D$2),'SOL Yield Fund'!$A$8:$LX$8,0))</f>
        <v/>
      </c>
      <c r="BE41" s="215">
        <f t="array" ref="BE41">index('SOL Yield Fund'!$A$8:$LX$1006,MATCH(BC$10,'SOL Yield Fund'!$A$8:$A$1006,0),MATCH(IF(BG39&gt;$D$3,BG39,$D$3),'SOL Yield Fund'!$A$8:$LX$8,0))</f>
        <v/>
      </c>
      <c r="BF41" s="215">
        <f t="array" ref="BF41">index('SOL Yield Fund'!$A$8:$LX$1006,MATCH(BC$10,'SOL Yield Fund'!$A$8:$A$1006,0),MATCH(IF(BG39&gt;$D$4,BG39,$D$4),'SOL Yield Fund'!$A$8:$LX$8,0))</f>
        <v/>
      </c>
      <c r="BG41" s="216">
        <f t="array" ref="BG41">index('SOL Yield Fund'!$A$8:$LX$1006,MATCH(BC$10,'SOL Yield Fund'!$A$8:$A$1006,0),MATCH(BG39,'SOL Yield Fund'!$A$8:$LX$8,0))</f>
        <v/>
      </c>
      <c r="BI41" s="183" t="n"/>
      <c r="BJ41" s="215" t="n"/>
      <c r="BK41" s="215" t="n"/>
      <c r="BL41" s="215" t="n"/>
      <c r="BM41" s="216" t="n"/>
      <c r="BO41" s="183" t="n"/>
      <c r="BP41" s="215" t="n"/>
      <c r="BQ41" s="215" t="n"/>
      <c r="BR41" s="215" t="n"/>
      <c r="BS41" s="216" t="n"/>
      <c r="BU41" s="183" t="n"/>
      <c r="BV41" s="215" t="n"/>
      <c r="BW41" s="215" t="n"/>
      <c r="BX41" s="215" t="n"/>
      <c r="BY41" s="216" t="n"/>
      <c r="CA41" s="183" t="n"/>
      <c r="CB41" s="215" t="n"/>
      <c r="CC41" s="215" t="n"/>
      <c r="CD41" s="215" t="n"/>
      <c r="CE41" s="216" t="n"/>
      <c r="CG41" s="183" t="n"/>
      <c r="CH41" s="215" t="n"/>
      <c r="CI41" s="215" t="n"/>
      <c r="CJ41" s="215" t="n"/>
      <c r="CK41" s="216" t="n"/>
      <c r="CM41" s="183" t="n"/>
      <c r="CN41" s="215" t="n"/>
      <c r="CO41" s="215" t="n"/>
      <c r="CP41" s="215" t="n"/>
      <c r="CQ41" s="216" t="n"/>
      <c r="CS41" s="183" t="n"/>
      <c r="CT41" s="215" t="n"/>
      <c r="CU41" s="215" t="n"/>
      <c r="CV41" s="215" t="n"/>
      <c r="CW41" s="216" t="n"/>
      <c r="CY41" s="183" t="n"/>
      <c r="CZ41" s="215" t="n"/>
      <c r="DA41" s="215" t="n"/>
      <c r="DB41" s="215" t="n"/>
      <c r="DC41" s="216" t="n"/>
      <c r="DE41" s="183" t="n"/>
      <c r="DF41" s="215" t="n"/>
      <c r="DG41" s="215" t="n"/>
      <c r="DH41" s="215" t="n"/>
      <c r="DI41" s="216" t="n"/>
      <c r="DK41" s="183" t="n"/>
      <c r="DL41" s="215" t="n"/>
      <c r="DM41" s="215" t="n"/>
      <c r="DN41" s="215" t="n"/>
      <c r="DO41" s="216" t="n"/>
      <c r="DQ41" s="183" t="n"/>
      <c r="DR41" s="215" t="n"/>
      <c r="DS41" s="215" t="n"/>
      <c r="DT41" s="215" t="n"/>
      <c r="DU41" s="216" t="n"/>
      <c r="DW41" s="183" t="n"/>
      <c r="DX41" s="215" t="n"/>
      <c r="DY41" s="215" t="n"/>
      <c r="DZ41" s="215" t="n"/>
      <c r="EA41" s="216" t="n"/>
      <c r="EC41" s="183" t="n"/>
      <c r="ED41" s="215" t="n"/>
      <c r="EE41" s="215" t="n"/>
      <c r="EF41" s="215" t="n"/>
      <c r="EG41" s="216" t="n"/>
      <c r="EI41" s="183" t="n"/>
      <c r="EJ41" s="215" t="n"/>
      <c r="EK41" s="215" t="n"/>
      <c r="EL41" s="215" t="n"/>
      <c r="EM41" s="216" t="n"/>
      <c r="EO41" s="183" t="n"/>
      <c r="EP41" s="215" t="n"/>
      <c r="EQ41" s="215" t="n"/>
      <c r="ER41" s="215" t="n"/>
      <c r="ES41" s="216" t="n"/>
      <c r="EU41" s="183" t="inlineStr">
        <is>
          <t>Beginning Balance</t>
        </is>
      </c>
      <c r="EV41" s="215">
        <f t="array" ref="EV41">index('SOL Yield Fund'!$A$8:$LX$1006,MATCH(EU$10,'SOL Yield Fund'!$A$8:$A$1006,0),MATCH(IF(EY39&gt;$D$2,EY39,$D$2),'SOL Yield Fund'!$A$8:$LX$8,0))</f>
        <v/>
      </c>
      <c r="EW41" s="215">
        <f t="array" ref="EW41">index('SOL Yield Fund'!$A$8:$LX$1006,MATCH(EU$10,'SOL Yield Fund'!$A$8:$A$1006,0),MATCH(IF(EY39&gt;$D$3,EY39,$D$3),'SOL Yield Fund'!$A$8:$LX$8,0))</f>
        <v/>
      </c>
      <c r="EX41" s="215">
        <f t="array" ref="EX41">index('SOL Yield Fund'!$A$8:$LX$1006,MATCH(EU$10,'SOL Yield Fund'!$A$8:$A$1006,0),MATCH(IF(EY39&gt;$D$4,EY39,$D$4),'SOL Yield Fund'!$A$8:$LX$8,0))</f>
        <v/>
      </c>
      <c r="EY41" s="216">
        <f t="array" ref="EY41">index('SOL Yield Fund'!$A$8:$LX$1006,MATCH(EU$10,'SOL Yield Fund'!$A$8:$A$1006,0),MATCH(EY39,'SOL Yield Fund'!$A$8:$LX$8,0))</f>
        <v/>
      </c>
      <c r="FA41" s="183" t="inlineStr">
        <is>
          <t>Beginning Balance</t>
        </is>
      </c>
      <c r="FB41" s="215">
        <f t="array" ref="FB41">index('SOL Yield Fund'!$A$8:$LX$1006,MATCH(FA$10,'SOL Yield Fund'!$A$8:$A$1006,0),MATCH(IF(FE39&gt;$D$2,FE39,$D$2),'SOL Yield Fund'!$A$8:$LX$8,0))</f>
        <v/>
      </c>
      <c r="FC41" s="215">
        <f t="array" ref="FC41">index('SOL Yield Fund'!$A$8:$LX$1006,MATCH(FA$10,'SOL Yield Fund'!$A$8:$A$1006,0),MATCH(IF(FE39&gt;$D$3,FE39,$D$3),'SOL Yield Fund'!$A$8:$LX$8,0))</f>
        <v/>
      </c>
      <c r="FD41" s="215">
        <f t="array" ref="FD41">index('SOL Yield Fund'!$A$8:$LX$1006,MATCH(FA$10,'SOL Yield Fund'!$A$8:$A$1006,0),MATCH(IF(FE39&gt;$D$4,FE39,$D$4),'SOL Yield Fund'!$A$8:$LX$8,0))</f>
        <v/>
      </c>
      <c r="FE41" s="216">
        <f t="array" ref="FE41">index('SOL Yield Fund'!$A$8:$LX$1006,MATCH(FA$10,'SOL Yield Fund'!$A$8:$A$1006,0),MATCH(FE39,'SOL Yield Fund'!$A$8:$LX$8,0))</f>
        <v/>
      </c>
      <c r="FG41" s="183" t="n"/>
      <c r="FH41" s="215" t="n"/>
      <c r="FI41" s="215" t="n"/>
      <c r="FJ41" s="215" t="n"/>
      <c r="FK41" s="216" t="n"/>
      <c r="FM41" s="183" t="n"/>
      <c r="FN41" s="215" t="n"/>
      <c r="FO41" s="215" t="n"/>
      <c r="FP41" s="215" t="n"/>
      <c r="FQ41" s="216" t="n"/>
      <c r="FS41" s="183" t="n"/>
      <c r="FT41" s="215" t="n"/>
      <c r="FU41" s="215" t="n"/>
      <c r="FV41" s="215" t="n"/>
      <c r="FW41" s="216" t="n"/>
      <c r="FY41" s="183" t="n"/>
      <c r="FZ41" s="215" t="n"/>
      <c r="GA41" s="215" t="n"/>
      <c r="GB41" s="215" t="n"/>
      <c r="GC41" s="216" t="n"/>
      <c r="GE41" s="183" t="n"/>
      <c r="GF41" s="215" t="n"/>
      <c r="GG41" s="215" t="n"/>
      <c r="GH41" s="215" t="n"/>
      <c r="GI41" s="216" t="n"/>
      <c r="GK41" s="183" t="inlineStr">
        <is>
          <t>Beginning Balance</t>
        </is>
      </c>
      <c r="GL41" s="215">
        <f t="array" ref="GL41">index('SOL Yield Fund'!$A$8:$LX$1006,MATCH(GK$10,'SOL Yield Fund'!$A$8:$A$1006,0),MATCH(IF(GO39&gt;$D$2,GO39,$D$2),'SOL Yield Fund'!$A$8:$LX$8,0))</f>
        <v/>
      </c>
      <c r="GM41" s="215">
        <f t="array" ref="GM41">index('SOL Yield Fund'!$A$8:$LX$1006,MATCH(GK$10,'SOL Yield Fund'!$A$8:$A$1006,0),MATCH(IF(GO39&gt;$D$3,GO39,$D$3),'SOL Yield Fund'!$A$8:$LX$8,0))</f>
        <v/>
      </c>
      <c r="GN41" s="215">
        <f t="array" ref="GN41">index('SOL Yield Fund'!$A$8:$LX$1006,MATCH(GK$10,'SOL Yield Fund'!$A$8:$A$1006,0),MATCH(IF(GO39&gt;$D$4,GO39,$D$4),'SOL Yield Fund'!$A$8:$LX$8,0))</f>
        <v/>
      </c>
      <c r="GO41" s="216">
        <f t="array" ref="GO41">index('SOL Yield Fund'!$A$8:$LX$1006,MATCH(GK$10,'SOL Yield Fund'!$A$8:$A$1006,0),MATCH(GO39,'SOL Yield Fund'!$A$8:$LX$8,0))</f>
        <v/>
      </c>
      <c r="GQ41" s="183" t="inlineStr">
        <is>
          <t>Beginning Balance</t>
        </is>
      </c>
      <c r="GR41" s="215">
        <f t="array" ref="GR41">index('SOL Yield Fund'!$A$8:$LX$1006,MATCH(GQ$10,'SOL Yield Fund'!$A$8:$A$1006,0),MATCH(IF(GU39&gt;$D$2,GU39,$D$2),'SOL Yield Fund'!$A$8:$LX$8,0))</f>
        <v/>
      </c>
      <c r="GS41" s="215">
        <f t="array" ref="GS41">index('SOL Yield Fund'!$A$8:$LX$1006,MATCH(GQ$10,'SOL Yield Fund'!$A$8:$A$1006,0),MATCH(IF(GU39&gt;$D$3,GU39,$D$3),'SOL Yield Fund'!$A$8:$LX$8,0))</f>
        <v/>
      </c>
      <c r="GT41" s="215">
        <f t="array" ref="GT41">index('SOL Yield Fund'!$A$8:$LX$1006,MATCH(GQ$10,'SOL Yield Fund'!$A$8:$A$1006,0),MATCH(IF(GU39&gt;$D$4,GU39,$D$4),'SOL Yield Fund'!$A$8:$LX$8,0))</f>
        <v/>
      </c>
      <c r="GU41" s="216">
        <f t="array" ref="GU41">index('SOL Yield Fund'!$A$8:$LX$1006,MATCH(GQ$10,'SOL Yield Fund'!$A$8:$A$1006,0),MATCH(GU39,'SOL Yield Fund'!$A$8:$LX$8,0))</f>
        <v/>
      </c>
      <c r="GW41" s="183" t="n"/>
      <c r="GX41" s="215" t="n"/>
      <c r="GY41" s="215" t="n"/>
      <c r="GZ41" s="215" t="n"/>
      <c r="HA41" s="216" t="n"/>
      <c r="HC41" s="183" t="n"/>
      <c r="HD41" s="215" t="n"/>
      <c r="HE41" s="215" t="n"/>
      <c r="HF41" s="215" t="n"/>
      <c r="HG41" s="216" t="n"/>
      <c r="HI41" s="183" t="n"/>
      <c r="HJ41" s="215" t="n"/>
      <c r="HK41" s="215" t="n"/>
      <c r="HL41" s="215" t="n"/>
      <c r="HM41" s="216" t="n"/>
      <c r="HO41" s="183" t="n"/>
      <c r="HP41" s="215" t="n"/>
      <c r="HQ41" s="215" t="n"/>
      <c r="HR41" s="215" t="n"/>
      <c r="HS41" s="216" t="n"/>
      <c r="HU41" s="183" t="n"/>
      <c r="HV41" s="215" t="n"/>
      <c r="HW41" s="215" t="n"/>
      <c r="HX41" s="215" t="n"/>
      <c r="HY41" s="216" t="n"/>
      <c r="IA41" s="183" t="n"/>
      <c r="IB41" s="215" t="n"/>
      <c r="IC41" s="215" t="n"/>
      <c r="ID41" s="215" t="n"/>
      <c r="IE41" s="216" t="n"/>
      <c r="IG41" s="183" t="inlineStr">
        <is>
          <t>Beginning Balance</t>
        </is>
      </c>
      <c r="IH41" s="215">
        <f t="array" ref="IH41">index('SOL Yield Fund'!$A$8:$LX$1006,MATCH(IG$10,'SOL Yield Fund'!$A$8:$A$1006,0),MATCH(IF(IK39&gt;$D$2,IK39,$D$2),'SOL Yield Fund'!$A$8:$LX$8,0))</f>
        <v/>
      </c>
      <c r="II41" s="215">
        <f t="array" ref="II41">index('SOL Yield Fund'!$A$8:$LX$1006,MATCH(IG$10,'SOL Yield Fund'!$A$8:$A$1006,0),MATCH(IF(IK39&gt;$D$3,IK39,$D$3),'SOL Yield Fund'!$A$8:$LX$8,0))</f>
        <v/>
      </c>
      <c r="IJ41" s="215">
        <f t="array" ref="IJ41">index('SOL Yield Fund'!$A$8:$LX$1006,MATCH(IG$10,'SOL Yield Fund'!$A$8:$A$1006,0),MATCH(IF(IK39&gt;$D$4,IK39,$D$4),'SOL Yield Fund'!$A$8:$LX$8,0))</f>
        <v/>
      </c>
      <c r="IK41" s="216">
        <f t="array" ref="IK41">index('SOL Yield Fund'!$A$8:$LX$1006,MATCH(IG$10,'SOL Yield Fund'!$A$8:$A$1006,0),MATCH(IK39,'SOL Yield Fund'!$A$8:$LX$8,0))</f>
        <v/>
      </c>
      <c r="IM41" s="183" t="n"/>
      <c r="IN41" s="215" t="n"/>
      <c r="IO41" s="215" t="n"/>
      <c r="IP41" s="215" t="n"/>
      <c r="IQ41" s="216" t="n"/>
      <c r="IS41" s="183" t="n"/>
      <c r="IT41" s="215" t="n"/>
      <c r="IU41" s="215" t="n"/>
      <c r="IV41" s="215" t="n"/>
      <c r="IW41" s="216" t="n"/>
      <c r="IY41" s="183" t="n"/>
      <c r="IZ41" s="215" t="n"/>
      <c r="JA41" s="215" t="n"/>
      <c r="JB41" s="215" t="n"/>
      <c r="JC41" s="216" t="n"/>
    </row>
    <row r="42" ht="15.75" customHeight="1" s="252">
      <c r="A42" s="188" t="inlineStr">
        <is>
          <t xml:space="preserve">Additions </t>
        </is>
      </c>
      <c r="B42" s="220">
        <f>SUMIFS(Investments!$D:$D,Investments!$B:$B,A$10,Investments!$C:$C,$A$4,Investments!$A:$A,"&gt;"&amp;IF(E39&gt;$D$2,E39,$D$2),Investments!$A:$A,"&lt;="&amp;$E$2,Investments!$D:$D,"&gt;"&amp;0)</f>
        <v/>
      </c>
      <c r="C42" s="220">
        <f>SUMIFS(Investments!$D:$D,Investments!$B:$B,A$10,Investments!$C:$C,$A$4,Investments!$A:$A,"&gt;"&amp;IF(E39&gt;$D$3,E39,$D$3),Investments!$A:$A,"&lt;="&amp;$E$3,Investments!$D:$D,"&gt;"&amp;0)</f>
        <v/>
      </c>
      <c r="D42" s="220">
        <f>SUMIFS(Investments!$D:$D,Investments!$B:$B,A$10,Investments!$C:$C,$A$4,Investments!$A:$A,"&gt;"&amp;IF(E39&gt;$D$4,E39,$D$4),Investments!$A:$A,"&lt;="&amp;$E$4,Investments!$D:$D,"&gt;"&amp;0)</f>
        <v/>
      </c>
      <c r="E42" s="221">
        <f>SUMIFS(Investments!$D:$D,Investments!$B:$B,A$10,Investments!$C:$C,$A$4,Investments!$A:$A,"&gt;"&amp;E39,Investments!$A:$A,"&lt;="&amp;$E$4,Investments!$D:$D,"&gt;"&amp;0)</f>
        <v/>
      </c>
      <c r="G42" s="188" t="n"/>
      <c r="H42" s="220" t="n"/>
      <c r="I42" s="220" t="n"/>
      <c r="J42" s="220" t="n"/>
      <c r="K42" s="221" t="n"/>
      <c r="M42" s="188" t="n"/>
      <c r="N42" s="220" t="n"/>
      <c r="O42" s="220" t="n"/>
      <c r="P42" s="220" t="n"/>
      <c r="Q42" s="221" t="n"/>
      <c r="S42" s="188" t="n"/>
      <c r="T42" s="220" t="n"/>
      <c r="U42" s="220" t="n"/>
      <c r="V42" s="220" t="n"/>
      <c r="W42" s="221" t="n"/>
      <c r="Y42" s="188" t="n"/>
      <c r="Z42" s="220" t="n"/>
      <c r="AA42" s="220" t="n"/>
      <c r="AB42" s="220" t="n"/>
      <c r="AC42" s="221" t="n"/>
      <c r="AE42" s="188" t="n"/>
      <c r="AF42" s="220" t="n"/>
      <c r="AG42" s="220" t="n"/>
      <c r="AH42" s="220" t="n"/>
      <c r="AI42" s="221" t="n"/>
      <c r="AK42" s="188" t="n"/>
      <c r="AL42" s="220" t="n"/>
      <c r="AM42" s="220" t="n"/>
      <c r="AN42" s="220" t="n"/>
      <c r="AO42" s="221" t="n"/>
      <c r="AQ42" s="188" t="n"/>
      <c r="AR42" s="220" t="n"/>
      <c r="AS42" s="220" t="n"/>
      <c r="AT42" s="220" t="n"/>
      <c r="AU42" s="221" t="n"/>
      <c r="AW42" s="188" t="n"/>
      <c r="AX42" s="220" t="n"/>
      <c r="AY42" s="220" t="n"/>
      <c r="AZ42" s="220" t="n"/>
      <c r="BA42" s="221" t="n"/>
      <c r="BC42" s="188" t="inlineStr">
        <is>
          <t xml:space="preserve">Additions </t>
        </is>
      </c>
      <c r="BD42" s="220">
        <f>SUMIFS(Investments!$D:$D,Investments!$B:$B,BC$10,Investments!$C:$C,$A$4,Investments!$A:$A,"&gt;"&amp;IF(BG39&gt;$D$2,BG39,$D$2),Investments!$A:$A,"&lt;="&amp;$E$2,Investments!$D:$D,"&gt;"&amp;0)</f>
        <v/>
      </c>
      <c r="BE42" s="220">
        <f>SUMIFS(Investments!$D:$D,Investments!$B:$B,BC$10,Investments!$C:$C,$A$4,Investments!$A:$A,"&gt;"&amp;IF(BG39&gt;$D$3,BG39,$D$3),Investments!$A:$A,"&lt;="&amp;$E$3,Investments!$D:$D,"&gt;"&amp;0)</f>
        <v/>
      </c>
      <c r="BF42" s="220">
        <f>SUMIFS(Investments!$D:$D,Investments!$B:$B,BC$10,Investments!$C:$C,$A$4,Investments!$A:$A,"&gt;"&amp;IF(BG39&gt;$D$4,BG39,$D$4),Investments!$A:$A,"&lt;="&amp;$E$4,Investments!$D:$D,"&gt;"&amp;0)</f>
        <v/>
      </c>
      <c r="BG42" s="221">
        <f>SUMIFS(Investments!$D:$D,Investments!$B:$B,BC$10,Investments!$C:$C,$A$4,Investments!$A:$A,"&gt;"&amp;BG39,Investments!$A:$A,"&lt;="&amp;$E$4,Investments!$D:$D,"&gt;"&amp;0)</f>
        <v/>
      </c>
      <c r="BI42" s="188" t="n"/>
      <c r="BJ42" s="220" t="n"/>
      <c r="BK42" s="220" t="n"/>
      <c r="BL42" s="220" t="n"/>
      <c r="BM42" s="221" t="n"/>
      <c r="BO42" s="188" t="n"/>
      <c r="BP42" s="220" t="n"/>
      <c r="BQ42" s="220" t="n"/>
      <c r="BR42" s="220" t="n"/>
      <c r="BS42" s="221" t="n"/>
      <c r="BU42" s="188" t="n"/>
      <c r="BV42" s="220" t="n"/>
      <c r="BW42" s="220" t="n"/>
      <c r="BX42" s="220" t="n"/>
      <c r="BY42" s="221" t="n"/>
      <c r="CA42" s="188" t="n"/>
      <c r="CB42" s="220" t="n"/>
      <c r="CC42" s="220" t="n"/>
      <c r="CD42" s="220" t="n"/>
      <c r="CE42" s="221" t="n"/>
      <c r="CG42" s="188" t="n"/>
      <c r="CH42" s="220" t="n"/>
      <c r="CI42" s="220" t="n"/>
      <c r="CJ42" s="220" t="n"/>
      <c r="CK42" s="221" t="n"/>
      <c r="CM42" s="188" t="n"/>
      <c r="CN42" s="220" t="n"/>
      <c r="CO42" s="220" t="n"/>
      <c r="CP42" s="220" t="n"/>
      <c r="CQ42" s="221" t="n"/>
      <c r="CS42" s="188" t="n"/>
      <c r="CT42" s="220" t="n"/>
      <c r="CU42" s="220" t="n"/>
      <c r="CV42" s="220" t="n"/>
      <c r="CW42" s="221" t="n"/>
      <c r="CY42" s="188" t="n"/>
      <c r="CZ42" s="220" t="n"/>
      <c r="DA42" s="220" t="n"/>
      <c r="DB42" s="220" t="n"/>
      <c r="DC42" s="221" t="n"/>
      <c r="DE42" s="188" t="n"/>
      <c r="DF42" s="220" t="n"/>
      <c r="DG42" s="220" t="n"/>
      <c r="DH42" s="220" t="n"/>
      <c r="DI42" s="221" t="n"/>
      <c r="DK42" s="188" t="n"/>
      <c r="DL42" s="220" t="n"/>
      <c r="DM42" s="220" t="n"/>
      <c r="DN42" s="220" t="n"/>
      <c r="DO42" s="221" t="n"/>
      <c r="DQ42" s="188" t="n"/>
      <c r="DR42" s="220" t="n"/>
      <c r="DS42" s="220" t="n"/>
      <c r="DT42" s="220" t="n"/>
      <c r="DU42" s="221" t="n"/>
      <c r="DW42" s="188" t="n"/>
      <c r="DX42" s="220" t="n"/>
      <c r="DY42" s="220" t="n"/>
      <c r="DZ42" s="220" t="n"/>
      <c r="EA42" s="221" t="n"/>
      <c r="EC42" s="188" t="n"/>
      <c r="ED42" s="220" t="n"/>
      <c r="EE42" s="220" t="n"/>
      <c r="EF42" s="220" t="n"/>
      <c r="EG42" s="221" t="n"/>
      <c r="EI42" s="188" t="n"/>
      <c r="EJ42" s="220" t="n"/>
      <c r="EK42" s="220" t="n"/>
      <c r="EL42" s="220" t="n"/>
      <c r="EM42" s="221" t="n"/>
      <c r="EO42" s="188" t="n"/>
      <c r="EP42" s="220" t="n"/>
      <c r="EQ42" s="220" t="n"/>
      <c r="ER42" s="220" t="n"/>
      <c r="ES42" s="221" t="n"/>
      <c r="EU42" s="188" t="inlineStr">
        <is>
          <t xml:space="preserve">Additions </t>
        </is>
      </c>
      <c r="EV42" s="220">
        <f>SUMIFS(Investments!$D:$D,Investments!$B:$B,EU$10,Investments!$C:$C,$A$4,Investments!$A:$A,"&gt;"&amp;IF(EY39&gt;$D$2,EY39,$D$2),Investments!$A:$A,"&lt;="&amp;$E$2,Investments!$D:$D,"&gt;"&amp;0)</f>
        <v/>
      </c>
      <c r="EW42" s="220">
        <f>SUMIFS(Investments!$D:$D,Investments!$B:$B,EU$10,Investments!$C:$C,$A$4,Investments!$A:$A,"&gt;"&amp;IF(EY39&gt;$D$3,EY39,$D$3),Investments!$A:$A,"&lt;="&amp;$E$3,Investments!$D:$D,"&gt;"&amp;0)</f>
        <v/>
      </c>
      <c r="EX42" s="220">
        <f>SUMIFS(Investments!$D:$D,Investments!$B:$B,EU$10,Investments!$C:$C,$A$4,Investments!$A:$A,"&gt;"&amp;IF(EY39&gt;$D$4,EY39,$D$4),Investments!$A:$A,"&lt;="&amp;$E$4,Investments!$D:$D,"&gt;"&amp;0)</f>
        <v/>
      </c>
      <c r="EY42" s="221">
        <f>SUMIFS(Investments!$D:$D,Investments!$B:$B,EU$10,Investments!$C:$C,$A$4,Investments!$A:$A,"&gt;"&amp;EY39,Investments!$A:$A,"&lt;="&amp;$E$4,Investments!$D:$D,"&gt;"&amp;0)</f>
        <v/>
      </c>
      <c r="FA42" s="188" t="inlineStr">
        <is>
          <t xml:space="preserve">Additions </t>
        </is>
      </c>
      <c r="FB42" s="220">
        <f>SUMIFS(Investments!$D:$D,Investments!$B:$B,FA$10,Investments!$C:$C,$A$4,Investments!$A:$A,"&gt;"&amp;IF(FE39&gt;$D$2,FE39,$D$2),Investments!$A:$A,"&lt;="&amp;$E$2,Investments!$D:$D,"&gt;"&amp;0)</f>
        <v/>
      </c>
      <c r="FC42" s="220">
        <f>SUMIFS(Investments!$D:$D,Investments!$B:$B,FA$10,Investments!$C:$C,$A$4,Investments!$A:$A,"&gt;"&amp;IF(FE39&gt;$D$3,FE39,$D$3),Investments!$A:$A,"&lt;="&amp;$E$3,Investments!$D:$D,"&gt;"&amp;0)</f>
        <v/>
      </c>
      <c r="FD42" s="220">
        <f>SUMIFS(Investments!$D:$D,Investments!$B:$B,FA$10,Investments!$C:$C,$A$4,Investments!$A:$A,"&gt;"&amp;IF(FE39&gt;$D$4,FE39,$D$4),Investments!$A:$A,"&lt;="&amp;$E$4,Investments!$D:$D,"&gt;"&amp;0)</f>
        <v/>
      </c>
      <c r="FE42" s="221">
        <f>SUMIFS(Investments!$D:$D,Investments!$B:$B,FA$10,Investments!$C:$C,$A$4,Investments!$A:$A,"&gt;"&amp;FE39,Investments!$A:$A,"&lt;="&amp;$E$4,Investments!$D:$D,"&gt;"&amp;0)</f>
        <v/>
      </c>
      <c r="FG42" s="188" t="n"/>
      <c r="FH42" s="220" t="n"/>
      <c r="FI42" s="220" t="n"/>
      <c r="FJ42" s="220" t="n"/>
      <c r="FK42" s="221" t="n"/>
      <c r="FM42" s="188" t="n"/>
      <c r="FN42" s="220" t="n"/>
      <c r="FO42" s="220" t="n"/>
      <c r="FP42" s="220" t="n"/>
      <c r="FQ42" s="221" t="n"/>
      <c r="FS42" s="188" t="n"/>
      <c r="FT42" s="220" t="n"/>
      <c r="FU42" s="220" t="n"/>
      <c r="FV42" s="220" t="n"/>
      <c r="FW42" s="221" t="n"/>
      <c r="FY42" s="188" t="n"/>
      <c r="FZ42" s="220" t="n"/>
      <c r="GA42" s="220" t="n"/>
      <c r="GB42" s="220" t="n"/>
      <c r="GC42" s="221" t="n"/>
      <c r="GE42" s="188" t="n"/>
      <c r="GF42" s="220" t="n"/>
      <c r="GG42" s="220" t="n"/>
      <c r="GH42" s="220" t="n"/>
      <c r="GI42" s="221" t="n"/>
      <c r="GK42" s="188" t="inlineStr">
        <is>
          <t xml:space="preserve">Additions </t>
        </is>
      </c>
      <c r="GL42" s="220">
        <f>SUMIFS(Investments!$D:$D,Investments!$B:$B,GK$10,Investments!$C:$C,$A$4,Investments!$A:$A,"&gt;"&amp;IF(GO39&gt;$D$2,GO39,$D$2),Investments!$A:$A,"&lt;="&amp;$E$2,Investments!$D:$D,"&gt;"&amp;0)</f>
        <v/>
      </c>
      <c r="GM42" s="220">
        <f>SUMIFS(Investments!$D:$D,Investments!$B:$B,GK$10,Investments!$C:$C,$A$4,Investments!$A:$A,"&gt;"&amp;IF(GO39&gt;$D$3,GO39,$D$3),Investments!$A:$A,"&lt;="&amp;$E$3,Investments!$D:$D,"&gt;"&amp;0)</f>
        <v/>
      </c>
      <c r="GN42" s="220">
        <f>SUMIFS(Investments!$D:$D,Investments!$B:$B,GK$10,Investments!$C:$C,$A$4,Investments!$A:$A,"&gt;"&amp;IF(GO39&gt;$D$4,GO39,$D$4),Investments!$A:$A,"&lt;="&amp;$E$4,Investments!$D:$D,"&gt;"&amp;0)</f>
        <v/>
      </c>
      <c r="GO42" s="221">
        <f>SUMIFS(Investments!$D:$D,Investments!$B:$B,GK$10,Investments!$C:$C,$A$4,Investments!$A:$A,"&gt;"&amp;GO39,Investments!$A:$A,"&lt;="&amp;$E$4,Investments!$D:$D,"&gt;"&amp;0)</f>
        <v/>
      </c>
      <c r="GQ42" s="188" t="inlineStr">
        <is>
          <t xml:space="preserve">Additions </t>
        </is>
      </c>
      <c r="GR42" s="220">
        <f>SUMIFS(Investments!$D:$D,Investments!$B:$B,GQ$10,Investments!$C:$C,$A$4,Investments!$A:$A,"&gt;"&amp;IF(GU39&gt;$D$2,GU39,$D$2),Investments!$A:$A,"&lt;="&amp;$E$2,Investments!$D:$D,"&gt;"&amp;0)</f>
        <v/>
      </c>
      <c r="GS42" s="220">
        <f>SUMIFS(Investments!$D:$D,Investments!$B:$B,GQ$10,Investments!$C:$C,$A$4,Investments!$A:$A,"&gt;"&amp;IF(GU39&gt;$D$3,GU39,$D$3),Investments!$A:$A,"&lt;="&amp;$E$3,Investments!$D:$D,"&gt;"&amp;0)</f>
        <v/>
      </c>
      <c r="GT42" s="220">
        <f>SUMIFS(Investments!$D:$D,Investments!$B:$B,GQ$10,Investments!$C:$C,$A$4,Investments!$A:$A,"&gt;"&amp;IF(GU39&gt;$D$4,GU39,$D$4),Investments!$A:$A,"&lt;="&amp;$E$4,Investments!$D:$D,"&gt;"&amp;0)</f>
        <v/>
      </c>
      <c r="GU42" s="221">
        <f>SUMIFS(Investments!$D:$D,Investments!$B:$B,GQ$10,Investments!$C:$C,$A$4,Investments!$A:$A,"&gt;"&amp;GU39,Investments!$A:$A,"&lt;="&amp;$E$4,Investments!$D:$D,"&gt;"&amp;0)</f>
        <v/>
      </c>
      <c r="GW42" s="188" t="n"/>
      <c r="GX42" s="220" t="n"/>
      <c r="GY42" s="220" t="n"/>
      <c r="GZ42" s="220" t="n"/>
      <c r="HA42" s="221" t="n"/>
      <c r="HC42" s="188" t="n"/>
      <c r="HD42" s="220" t="n"/>
      <c r="HE42" s="220" t="n"/>
      <c r="HF42" s="220" t="n"/>
      <c r="HG42" s="221" t="n"/>
      <c r="HI42" s="188" t="n"/>
      <c r="HJ42" s="220" t="n"/>
      <c r="HK42" s="220" t="n"/>
      <c r="HL42" s="220" t="n"/>
      <c r="HM42" s="221" t="n"/>
      <c r="HO42" s="188" t="n"/>
      <c r="HP42" s="220" t="n"/>
      <c r="HQ42" s="220" t="n"/>
      <c r="HR42" s="220" t="n"/>
      <c r="HS42" s="221" t="n"/>
      <c r="HU42" s="188" t="n"/>
      <c r="HV42" s="220" t="n"/>
      <c r="HW42" s="220" t="n"/>
      <c r="HX42" s="220" t="n"/>
      <c r="HY42" s="221" t="n"/>
      <c r="IA42" s="188" t="n"/>
      <c r="IB42" s="220" t="n"/>
      <c r="IC42" s="220" t="n"/>
      <c r="ID42" s="220" t="n"/>
      <c r="IE42" s="221" t="n"/>
      <c r="IG42" s="188" t="inlineStr">
        <is>
          <t xml:space="preserve">Additions </t>
        </is>
      </c>
      <c r="IH42" s="220">
        <f>SUMIFS(Investments!$D:$D,Investments!$B:$B,IG$10,Investments!$C:$C,$A$4,Investments!$A:$A,"&gt;"&amp;IF(IK39&gt;$D$2,IK39,$D$2),Investments!$A:$A,"&lt;="&amp;$E$2,Investments!$D:$D,"&gt;"&amp;0)</f>
        <v/>
      </c>
      <c r="II42" s="220">
        <f>SUMIFS(Investments!$D:$D,Investments!$B:$B,IG$10,Investments!$C:$C,$A$4,Investments!$A:$A,"&gt;"&amp;IF(IK39&gt;$D$3,IK39,$D$3),Investments!$A:$A,"&lt;="&amp;$E$3,Investments!$D:$D,"&gt;"&amp;0)</f>
        <v/>
      </c>
      <c r="IJ42" s="220">
        <f>SUMIFS(Investments!$D:$D,Investments!$B:$B,IG$10,Investments!$C:$C,$A$4,Investments!$A:$A,"&gt;"&amp;IF(IK39&gt;$D$4,IK39,$D$4),Investments!$A:$A,"&lt;="&amp;$E$4,Investments!$D:$D,"&gt;"&amp;0)</f>
        <v/>
      </c>
      <c r="IK42" s="221">
        <f>SUMIFS(Investments!$D:$D,Investments!$B:$B,IG$10,Investments!$C:$C,$A$4,Investments!$A:$A,"&gt;"&amp;IK39,Investments!$A:$A,"&lt;="&amp;$E$4,Investments!$D:$D,"&gt;"&amp;0)</f>
        <v/>
      </c>
      <c r="IM42" s="188" t="n"/>
      <c r="IN42" s="220" t="n"/>
      <c r="IO42" s="220" t="n"/>
      <c r="IP42" s="220" t="n"/>
      <c r="IQ42" s="221" t="n"/>
      <c r="IS42" s="188" t="n"/>
      <c r="IT42" s="220" t="n"/>
      <c r="IU42" s="220" t="n"/>
      <c r="IV42" s="220" t="n"/>
      <c r="IW42" s="221" t="n"/>
      <c r="IY42" s="188" t="n"/>
      <c r="IZ42" s="220" t="n"/>
      <c r="JA42" s="220" t="n"/>
      <c r="JB42" s="220" t="n"/>
      <c r="JC42" s="221" t="n"/>
    </row>
    <row r="43" ht="15.75" customHeight="1" s="252">
      <c r="A43" s="188" t="inlineStr">
        <is>
          <t>Redemptions</t>
        </is>
      </c>
      <c r="B43" s="220">
        <f>SUMIFS(Investments!$D:$D,Investments!$B:$B,A$10,Investments!$C:$C,$A$4,Investments!$A:$A,"&gt;"&amp;IF(E39&gt;$D$2,E39,$D$2),Investments!$A:$A,"&lt;"&amp;$E$2,Investments!$D:$D,"&lt;"&amp;0)</f>
        <v/>
      </c>
      <c r="C43" s="220">
        <f>SUMIFS(Investments!$D:$D,Investments!$B:$B,A$10,Investments!$C:$C,$A$4,Investments!$A:$A,"&gt;"&amp;IF(E39&gt;$D$3,E39,$D$3),Investments!$A:$A,"&lt;="&amp;$E$3,Investments!$D:$D,"&lt;"&amp;0)</f>
        <v/>
      </c>
      <c r="D43" s="220">
        <f>SUMIFS(Investments!$D:$D,Investments!$B:$B,A$10,Investments!$C:$C,$A$4,Investments!$A:$A,"&gt;"&amp;IF(E39&gt;$D$4,E39,$D$4),Investments!$A:$A,"&lt;="&amp;$E$4,Investments!$D:$D,"&lt;"&amp;0)</f>
        <v/>
      </c>
      <c r="E43" s="221">
        <f>SUMIFS(Investments!$D:$D,Investments!$B:$B,A$10,Investments!$C:$C,$A$4,Investments!$A:$A,"&gt;"&amp;E39,Investments!$A:$A,"&lt;="&amp;$E$4,Investments!$D:$D,"&lt;"&amp;0)</f>
        <v/>
      </c>
      <c r="G43" s="188" t="n"/>
      <c r="H43" s="220" t="n"/>
      <c r="I43" s="220" t="n"/>
      <c r="J43" s="220" t="n"/>
      <c r="K43" s="221" t="n"/>
      <c r="M43" s="188" t="n"/>
      <c r="N43" s="220" t="n"/>
      <c r="O43" s="220" t="n"/>
      <c r="P43" s="220" t="n"/>
      <c r="Q43" s="221" t="n"/>
      <c r="S43" s="188" t="n"/>
      <c r="T43" s="220" t="n"/>
      <c r="U43" s="220" t="n"/>
      <c r="V43" s="220" t="n"/>
      <c r="W43" s="221" t="n"/>
      <c r="Y43" s="188" t="n"/>
      <c r="Z43" s="220" t="n"/>
      <c r="AA43" s="220" t="n"/>
      <c r="AB43" s="220" t="n"/>
      <c r="AC43" s="221" t="n"/>
      <c r="AE43" s="188" t="n"/>
      <c r="AF43" s="220" t="n"/>
      <c r="AG43" s="220" t="n"/>
      <c r="AH43" s="220" t="n"/>
      <c r="AI43" s="221" t="n"/>
      <c r="AK43" s="188" t="n"/>
      <c r="AL43" s="220" t="n"/>
      <c r="AM43" s="220" t="n"/>
      <c r="AN43" s="220" t="n"/>
      <c r="AO43" s="221" t="n"/>
      <c r="AQ43" s="188" t="n"/>
      <c r="AR43" s="220" t="n"/>
      <c r="AS43" s="220" t="n"/>
      <c r="AT43" s="220" t="n"/>
      <c r="AU43" s="221" t="n"/>
      <c r="AW43" s="188" t="n"/>
      <c r="AX43" s="220" t="n"/>
      <c r="AY43" s="220" t="n"/>
      <c r="AZ43" s="220" t="n"/>
      <c r="BA43" s="221" t="n"/>
      <c r="BC43" s="188" t="inlineStr">
        <is>
          <t>Redemptions</t>
        </is>
      </c>
      <c r="BD43" s="220">
        <f>SUMIFS(Investments!$D:$D,Investments!$B:$B,BC$10,Investments!$C:$C,$A$4,Investments!$A:$A,"&gt;"&amp;IF(BG39&gt;$D$2,BG39,$D$2),Investments!$A:$A,"&lt;"&amp;$E$2,Investments!$D:$D,"&lt;"&amp;0)</f>
        <v/>
      </c>
      <c r="BE43" s="220">
        <f>SUMIFS(Investments!$D:$D,Investments!$B:$B,BC$10,Investments!$C:$C,$A$4,Investments!$A:$A,"&gt;"&amp;IF(BG39&gt;$D$3,BG39,$D$3),Investments!$A:$A,"&lt;="&amp;$E$3,Investments!$D:$D,"&lt;"&amp;0)</f>
        <v/>
      </c>
      <c r="BF43" s="220">
        <f>SUMIFS(Investments!$D:$D,Investments!$B:$B,BC$10,Investments!$C:$C,$A$4,Investments!$A:$A,"&gt;"&amp;IF(BG39&gt;$D$4,BG39,$D$4),Investments!$A:$A,"&lt;="&amp;$E$4,Investments!$D:$D,"&lt;"&amp;0)</f>
        <v/>
      </c>
      <c r="BG43" s="221">
        <f>SUMIFS(Investments!$D:$D,Investments!$B:$B,BC$10,Investments!$C:$C,$A$4,Investments!$A:$A,"&gt;"&amp;BG39,Investments!$A:$A,"&lt;="&amp;$E$4,Investments!$D:$D,"&lt;"&amp;0)</f>
        <v/>
      </c>
      <c r="BI43" s="188" t="n"/>
      <c r="BJ43" s="220" t="n"/>
      <c r="BK43" s="220" t="n"/>
      <c r="BL43" s="220" t="n"/>
      <c r="BM43" s="221" t="n"/>
      <c r="BO43" s="188" t="n"/>
      <c r="BP43" s="220" t="n"/>
      <c r="BQ43" s="220" t="n"/>
      <c r="BR43" s="220" t="n"/>
      <c r="BS43" s="221" t="n"/>
      <c r="BU43" s="188" t="n"/>
      <c r="BV43" s="220" t="n"/>
      <c r="BW43" s="220" t="n"/>
      <c r="BX43" s="220" t="n"/>
      <c r="BY43" s="221" t="n"/>
      <c r="CA43" s="188" t="n"/>
      <c r="CB43" s="220" t="n"/>
      <c r="CC43" s="220" t="n"/>
      <c r="CD43" s="220" t="n"/>
      <c r="CE43" s="221" t="n"/>
      <c r="CG43" s="188" t="n"/>
      <c r="CH43" s="220" t="n"/>
      <c r="CI43" s="220" t="n"/>
      <c r="CJ43" s="220" t="n"/>
      <c r="CK43" s="221" t="n"/>
      <c r="CM43" s="188" t="n"/>
      <c r="CN43" s="220" t="n"/>
      <c r="CO43" s="220" t="n"/>
      <c r="CP43" s="220" t="n"/>
      <c r="CQ43" s="221" t="n"/>
      <c r="CS43" s="188" t="n"/>
      <c r="CT43" s="220" t="n"/>
      <c r="CU43" s="220" t="n"/>
      <c r="CV43" s="220" t="n"/>
      <c r="CW43" s="221" t="n"/>
      <c r="CY43" s="188" t="n"/>
      <c r="CZ43" s="220" t="n"/>
      <c r="DA43" s="220" t="n"/>
      <c r="DB43" s="220" t="n"/>
      <c r="DC43" s="221" t="n"/>
      <c r="DE43" s="188" t="n"/>
      <c r="DF43" s="220" t="n"/>
      <c r="DG43" s="220" t="n"/>
      <c r="DH43" s="220" t="n"/>
      <c r="DI43" s="221" t="n"/>
      <c r="DK43" s="188" t="n"/>
      <c r="DL43" s="220" t="n"/>
      <c r="DM43" s="220" t="n"/>
      <c r="DN43" s="220" t="n"/>
      <c r="DO43" s="221" t="n"/>
      <c r="DQ43" s="188" t="n"/>
      <c r="DR43" s="220" t="n"/>
      <c r="DS43" s="220" t="n"/>
      <c r="DT43" s="220" t="n"/>
      <c r="DU43" s="221" t="n"/>
      <c r="DW43" s="188" t="n"/>
      <c r="DX43" s="220" t="n"/>
      <c r="DY43" s="220" t="n"/>
      <c r="DZ43" s="220" t="n"/>
      <c r="EA43" s="221" t="n"/>
      <c r="EC43" s="188" t="n"/>
      <c r="ED43" s="220" t="n"/>
      <c r="EE43" s="220" t="n"/>
      <c r="EF43" s="220" t="n"/>
      <c r="EG43" s="221" t="n"/>
      <c r="EI43" s="188" t="n"/>
      <c r="EJ43" s="220" t="n"/>
      <c r="EK43" s="220" t="n"/>
      <c r="EL43" s="220" t="n"/>
      <c r="EM43" s="221" t="n"/>
      <c r="EO43" s="188" t="n"/>
      <c r="EP43" s="220" t="n"/>
      <c r="EQ43" s="220" t="n"/>
      <c r="ER43" s="220" t="n"/>
      <c r="ES43" s="221" t="n"/>
      <c r="EU43" s="188" t="inlineStr">
        <is>
          <t>Redemptions</t>
        </is>
      </c>
      <c r="EV43" s="220">
        <f>SUMIFS(Investments!$D:$D,Investments!$B:$B,EU$10,Investments!$C:$C,$A$4,Investments!$A:$A,"&gt;"&amp;IF(EY39&gt;$D$2,EY39,$D$2),Investments!$A:$A,"&lt;"&amp;$E$2,Investments!$D:$D,"&lt;"&amp;0)</f>
        <v/>
      </c>
      <c r="EW43" s="220">
        <f>SUMIFS(Investments!$D:$D,Investments!$B:$B,EU$10,Investments!$C:$C,$A$4,Investments!$A:$A,"&gt;"&amp;IF(EY39&gt;$D$3,EY39,$D$3),Investments!$A:$A,"&lt;="&amp;$E$3,Investments!$D:$D,"&lt;"&amp;0)</f>
        <v/>
      </c>
      <c r="EX43" s="220">
        <f>SUMIFS(Investments!$D:$D,Investments!$B:$B,EU$10,Investments!$C:$C,$A$4,Investments!$A:$A,"&gt;"&amp;IF(EY39&gt;$D$4,EY39,$D$4),Investments!$A:$A,"&lt;="&amp;$E$4,Investments!$D:$D,"&lt;"&amp;0)</f>
        <v/>
      </c>
      <c r="EY43" s="221">
        <f>SUMIFS(Investments!$D:$D,Investments!$B:$B,EU$10,Investments!$C:$C,$A$4,Investments!$A:$A,"&gt;"&amp;EY39,Investments!$A:$A,"&lt;="&amp;$E$4,Investments!$D:$D,"&lt;"&amp;0)</f>
        <v/>
      </c>
      <c r="FA43" s="188" t="inlineStr">
        <is>
          <t>Redemptions</t>
        </is>
      </c>
      <c r="FB43" s="220">
        <f>SUMIFS(Investments!$D:$D,Investments!$B:$B,FA$10,Investments!$C:$C,$A$4,Investments!$A:$A,"&gt;"&amp;IF(FE39&gt;$D$2,FE39,$D$2),Investments!$A:$A,"&lt;"&amp;$E$2,Investments!$D:$D,"&lt;"&amp;0)</f>
        <v/>
      </c>
      <c r="FC43" s="220">
        <f>SUMIFS(Investments!$D:$D,Investments!$B:$B,FA$10,Investments!$C:$C,$A$4,Investments!$A:$A,"&gt;"&amp;IF(FE39&gt;$D$3,FE39,$D$3),Investments!$A:$A,"&lt;="&amp;$E$3,Investments!$D:$D,"&lt;"&amp;0)</f>
        <v/>
      </c>
      <c r="FD43" s="220">
        <f>SUMIFS(Investments!$D:$D,Investments!$B:$B,FA$10,Investments!$C:$C,$A$4,Investments!$A:$A,"&gt;"&amp;IF(FE39&gt;$D$4,FE39,$D$4),Investments!$A:$A,"&lt;="&amp;$E$4,Investments!$D:$D,"&lt;"&amp;0)</f>
        <v/>
      </c>
      <c r="FE43" s="221">
        <f>SUMIFS(Investments!$D:$D,Investments!$B:$B,FA$10,Investments!$C:$C,$A$4,Investments!$A:$A,"&gt;"&amp;FE39,Investments!$A:$A,"&lt;="&amp;$E$4,Investments!$D:$D,"&lt;"&amp;0)</f>
        <v/>
      </c>
      <c r="FG43" s="188" t="n"/>
      <c r="FH43" s="220" t="n"/>
      <c r="FI43" s="220" t="n"/>
      <c r="FJ43" s="220" t="n"/>
      <c r="FK43" s="221" t="n"/>
      <c r="FM43" s="188" t="n"/>
      <c r="FN43" s="220" t="n"/>
      <c r="FO43" s="220" t="n"/>
      <c r="FP43" s="220" t="n"/>
      <c r="FQ43" s="221" t="n"/>
      <c r="FS43" s="188" t="n"/>
      <c r="FT43" s="220" t="n"/>
      <c r="FU43" s="220" t="n"/>
      <c r="FV43" s="220" t="n"/>
      <c r="FW43" s="221" t="n"/>
      <c r="FY43" s="188" t="n"/>
      <c r="FZ43" s="220" t="n"/>
      <c r="GA43" s="220" t="n"/>
      <c r="GB43" s="220" t="n"/>
      <c r="GC43" s="221" t="n"/>
      <c r="GE43" s="188" t="n"/>
      <c r="GF43" s="220" t="n"/>
      <c r="GG43" s="220" t="n"/>
      <c r="GH43" s="220" t="n"/>
      <c r="GI43" s="221" t="n"/>
      <c r="GK43" s="188" t="inlineStr">
        <is>
          <t>Redemptions</t>
        </is>
      </c>
      <c r="GL43" s="220">
        <f>SUMIFS(Investments!$D:$D,Investments!$B:$B,GK$10,Investments!$C:$C,$A$4,Investments!$A:$A,"&gt;"&amp;IF(GO39&gt;$D$2,GO39,$D$2),Investments!$A:$A,"&lt;"&amp;$E$2,Investments!$D:$D,"&lt;"&amp;0)</f>
        <v/>
      </c>
      <c r="GM43" s="220">
        <f>SUMIFS(Investments!$D:$D,Investments!$B:$B,GK$10,Investments!$C:$C,$A$4,Investments!$A:$A,"&gt;"&amp;IF(GO39&gt;$D$3,GO39,$D$3),Investments!$A:$A,"&lt;="&amp;$E$3,Investments!$D:$D,"&lt;"&amp;0)</f>
        <v/>
      </c>
      <c r="GN43" s="220">
        <f>SUMIFS(Investments!$D:$D,Investments!$B:$B,GK$10,Investments!$C:$C,$A$4,Investments!$A:$A,"&gt;"&amp;IF(GO39&gt;$D$4,GO39,$D$4),Investments!$A:$A,"&lt;="&amp;$E$4,Investments!$D:$D,"&lt;"&amp;0)</f>
        <v/>
      </c>
      <c r="GO43" s="221">
        <f>SUMIFS(Investments!$D:$D,Investments!$B:$B,GK$10,Investments!$C:$C,$A$4,Investments!$A:$A,"&gt;"&amp;GO39,Investments!$A:$A,"&lt;="&amp;$E$4,Investments!$D:$D,"&lt;"&amp;0)</f>
        <v/>
      </c>
      <c r="GQ43" s="188" t="inlineStr">
        <is>
          <t>Redemptions</t>
        </is>
      </c>
      <c r="GR43" s="220">
        <f>SUMIFS(Investments!$D:$D,Investments!$B:$B,GQ$10,Investments!$C:$C,$A$4,Investments!$A:$A,"&gt;"&amp;IF(GU39&gt;$D$2,GU39,$D$2),Investments!$A:$A,"&lt;"&amp;$E$2,Investments!$D:$D,"&lt;"&amp;0)</f>
        <v/>
      </c>
      <c r="GS43" s="220">
        <f>SUMIFS(Investments!$D:$D,Investments!$B:$B,GQ$10,Investments!$C:$C,$A$4,Investments!$A:$A,"&gt;"&amp;IF(GU39&gt;$D$3,GU39,$D$3),Investments!$A:$A,"&lt;="&amp;$E$3,Investments!$D:$D,"&lt;"&amp;0)</f>
        <v/>
      </c>
      <c r="GT43" s="220">
        <f>SUMIFS(Investments!$D:$D,Investments!$B:$B,GQ$10,Investments!$C:$C,$A$4,Investments!$A:$A,"&gt;"&amp;IF(GU39&gt;$D$4,GU39,$D$4),Investments!$A:$A,"&lt;="&amp;$E$4,Investments!$D:$D,"&lt;"&amp;0)</f>
        <v/>
      </c>
      <c r="GU43" s="221">
        <f>SUMIFS(Investments!$D:$D,Investments!$B:$B,GQ$10,Investments!$C:$C,$A$4,Investments!$A:$A,"&gt;"&amp;GU39,Investments!$A:$A,"&lt;="&amp;$E$4,Investments!$D:$D,"&lt;"&amp;0)</f>
        <v/>
      </c>
      <c r="GW43" s="188" t="n"/>
      <c r="GX43" s="220" t="n"/>
      <c r="GY43" s="220" t="n"/>
      <c r="GZ43" s="220" t="n"/>
      <c r="HA43" s="221" t="n"/>
      <c r="HC43" s="188" t="n"/>
      <c r="HD43" s="220" t="n"/>
      <c r="HE43" s="220" t="n"/>
      <c r="HF43" s="220" t="n"/>
      <c r="HG43" s="221" t="n"/>
      <c r="HI43" s="188" t="n"/>
      <c r="HJ43" s="220" t="n"/>
      <c r="HK43" s="220" t="n"/>
      <c r="HL43" s="220" t="n"/>
      <c r="HM43" s="221" t="n"/>
      <c r="HO43" s="188" t="n"/>
      <c r="HP43" s="220" t="n"/>
      <c r="HQ43" s="220" t="n"/>
      <c r="HR43" s="220" t="n"/>
      <c r="HS43" s="221" t="n"/>
      <c r="HU43" s="188" t="n"/>
      <c r="HV43" s="220" t="n"/>
      <c r="HW43" s="220" t="n"/>
      <c r="HX43" s="220" t="n"/>
      <c r="HY43" s="221" t="n"/>
      <c r="IA43" s="188" t="n"/>
      <c r="IB43" s="220" t="n"/>
      <c r="IC43" s="220" t="n"/>
      <c r="ID43" s="220" t="n"/>
      <c r="IE43" s="221" t="n"/>
      <c r="IG43" s="188" t="inlineStr">
        <is>
          <t>Redemptions</t>
        </is>
      </c>
      <c r="IH43" s="220">
        <f>SUMIFS(Investments!$D:$D,Investments!$B:$B,IG$10,Investments!$C:$C,$A$4,Investments!$A:$A,"&gt;"&amp;IF(IK39&gt;$D$2,IK39,$D$2),Investments!$A:$A,"&lt;"&amp;$E$2,Investments!$D:$D,"&lt;"&amp;0)</f>
        <v/>
      </c>
      <c r="II43" s="220">
        <f>SUMIFS(Investments!$D:$D,Investments!$B:$B,IG$10,Investments!$C:$C,$A$4,Investments!$A:$A,"&gt;"&amp;IF(IK39&gt;$D$3,IK39,$D$3),Investments!$A:$A,"&lt;="&amp;$E$3,Investments!$D:$D,"&lt;"&amp;0)</f>
        <v/>
      </c>
      <c r="IJ43" s="220">
        <f>SUMIFS(Investments!$D:$D,Investments!$B:$B,IG$10,Investments!$C:$C,$A$4,Investments!$A:$A,"&gt;"&amp;IF(IK39&gt;$D$4,IK39,$D$4),Investments!$A:$A,"&lt;="&amp;$E$4,Investments!$D:$D,"&lt;"&amp;0)</f>
        <v/>
      </c>
      <c r="IK43" s="221">
        <f>SUMIFS(Investments!$D:$D,Investments!$B:$B,IG$10,Investments!$C:$C,$A$4,Investments!$A:$A,"&gt;"&amp;IK39,Investments!$A:$A,"&lt;="&amp;$E$4,Investments!$D:$D,"&lt;"&amp;0)</f>
        <v/>
      </c>
      <c r="IM43" s="188" t="n"/>
      <c r="IN43" s="220" t="n"/>
      <c r="IO43" s="220" t="n"/>
      <c r="IP43" s="220" t="n"/>
      <c r="IQ43" s="221" t="n"/>
      <c r="IS43" s="188" t="n"/>
      <c r="IT43" s="220" t="n"/>
      <c r="IU43" s="220" t="n"/>
      <c r="IV43" s="220" t="n"/>
      <c r="IW43" s="221" t="n"/>
      <c r="IY43" s="188" t="n"/>
      <c r="IZ43" s="220" t="n"/>
      <c r="JA43" s="220" t="n"/>
      <c r="JB43" s="220" t="n"/>
      <c r="JC43" s="221" t="n"/>
    </row>
    <row r="44" ht="15.75" customHeight="1" s="252">
      <c r="A44" s="188" t="inlineStr">
        <is>
          <t>Net Income</t>
        </is>
      </c>
      <c r="B44" s="220">
        <f>B45-B41-B43-B42</f>
        <v/>
      </c>
      <c r="C44" s="220">
        <f>C45-C41-C43-C42</f>
        <v/>
      </c>
      <c r="D44" s="220">
        <f>D45-D41-D43-D42</f>
        <v/>
      </c>
      <c r="E44" s="221">
        <f>E45-E41-E43-E42</f>
        <v/>
      </c>
      <c r="G44" s="188" t="n"/>
      <c r="H44" s="220" t="n"/>
      <c r="I44" s="220" t="n"/>
      <c r="J44" s="220" t="n"/>
      <c r="K44" s="221" t="n"/>
      <c r="M44" s="188" t="n"/>
      <c r="N44" s="220" t="n"/>
      <c r="O44" s="220" t="n"/>
      <c r="P44" s="220" t="n"/>
      <c r="Q44" s="221" t="n"/>
      <c r="S44" s="188" t="n"/>
      <c r="T44" s="220" t="n"/>
      <c r="U44" s="220" t="n"/>
      <c r="V44" s="220" t="n"/>
      <c r="W44" s="221" t="n"/>
      <c r="Y44" s="188" t="n"/>
      <c r="Z44" s="220" t="n"/>
      <c r="AA44" s="220" t="n"/>
      <c r="AB44" s="220" t="n"/>
      <c r="AC44" s="221" t="n"/>
      <c r="AE44" s="188" t="n"/>
      <c r="AF44" s="220" t="n"/>
      <c r="AG44" s="220" t="n"/>
      <c r="AH44" s="220" t="n"/>
      <c r="AI44" s="221" t="n"/>
      <c r="AK44" s="188" t="n"/>
      <c r="AL44" s="220" t="n"/>
      <c r="AM44" s="220" t="n"/>
      <c r="AN44" s="220" t="n"/>
      <c r="AO44" s="221" t="n"/>
      <c r="AQ44" s="188" t="n"/>
      <c r="AR44" s="220" t="n"/>
      <c r="AS44" s="220" t="n"/>
      <c r="AT44" s="220" t="n"/>
      <c r="AU44" s="221" t="n"/>
      <c r="AW44" s="188" t="n"/>
      <c r="AX44" s="220" t="n"/>
      <c r="AY44" s="220" t="n"/>
      <c r="AZ44" s="220" t="n"/>
      <c r="BA44" s="221" t="n"/>
      <c r="BC44" s="188" t="inlineStr">
        <is>
          <t>Net Income</t>
        </is>
      </c>
      <c r="BD44" s="220">
        <f>BD45-BD41-BD43-BD42</f>
        <v/>
      </c>
      <c r="BE44" s="220">
        <f>BE45-BE41-BE43-BE42</f>
        <v/>
      </c>
      <c r="BF44" s="220">
        <f>BF45-BF41-BF43-BF42</f>
        <v/>
      </c>
      <c r="BG44" s="221">
        <f>BG45-BG41-BG43-BG42</f>
        <v/>
      </c>
      <c r="BI44" s="188" t="n"/>
      <c r="BJ44" s="220" t="n"/>
      <c r="BK44" s="220" t="n"/>
      <c r="BL44" s="220" t="n"/>
      <c r="BM44" s="221" t="n"/>
      <c r="BO44" s="188" t="n"/>
      <c r="BP44" s="220" t="n"/>
      <c r="BQ44" s="220" t="n"/>
      <c r="BR44" s="220" t="n"/>
      <c r="BS44" s="221" t="n"/>
      <c r="BU44" s="188" t="n"/>
      <c r="BV44" s="220" t="n"/>
      <c r="BW44" s="220" t="n"/>
      <c r="BX44" s="220" t="n"/>
      <c r="BY44" s="221" t="n"/>
      <c r="CA44" s="188" t="n"/>
      <c r="CB44" s="220" t="n"/>
      <c r="CC44" s="220" t="n"/>
      <c r="CD44" s="220" t="n"/>
      <c r="CE44" s="221" t="n"/>
      <c r="CG44" s="188" t="n"/>
      <c r="CH44" s="220" t="n"/>
      <c r="CI44" s="220" t="n"/>
      <c r="CJ44" s="220" t="n"/>
      <c r="CK44" s="221" t="n"/>
      <c r="CM44" s="188" t="n"/>
      <c r="CN44" s="220" t="n"/>
      <c r="CO44" s="220" t="n"/>
      <c r="CP44" s="220" t="n"/>
      <c r="CQ44" s="221" t="n"/>
      <c r="CS44" s="188" t="n"/>
      <c r="CT44" s="220" t="n"/>
      <c r="CU44" s="220" t="n"/>
      <c r="CV44" s="220" t="n"/>
      <c r="CW44" s="221" t="n"/>
      <c r="CY44" s="188" t="n"/>
      <c r="CZ44" s="220" t="n"/>
      <c r="DA44" s="220" t="n"/>
      <c r="DB44" s="220" t="n"/>
      <c r="DC44" s="221" t="n"/>
      <c r="DE44" s="188" t="n"/>
      <c r="DF44" s="220" t="n"/>
      <c r="DG44" s="220" t="n"/>
      <c r="DH44" s="220" t="n"/>
      <c r="DI44" s="221" t="n"/>
      <c r="DK44" s="188" t="n"/>
      <c r="DL44" s="220" t="n"/>
      <c r="DM44" s="220" t="n"/>
      <c r="DN44" s="220" t="n"/>
      <c r="DO44" s="221" t="n"/>
      <c r="DQ44" s="188" t="n"/>
      <c r="DR44" s="220" t="n"/>
      <c r="DS44" s="220" t="n"/>
      <c r="DT44" s="220" t="n"/>
      <c r="DU44" s="221" t="n"/>
      <c r="DW44" s="188" t="n"/>
      <c r="DX44" s="220" t="n"/>
      <c r="DY44" s="220" t="n"/>
      <c r="DZ44" s="220" t="n"/>
      <c r="EA44" s="221" t="n"/>
      <c r="EC44" s="188" t="n"/>
      <c r="ED44" s="220" t="n"/>
      <c r="EE44" s="220" t="n"/>
      <c r="EF44" s="220" t="n"/>
      <c r="EG44" s="221" t="n"/>
      <c r="EI44" s="188" t="n"/>
      <c r="EJ44" s="220" t="n"/>
      <c r="EK44" s="220" t="n"/>
      <c r="EL44" s="220" t="n"/>
      <c r="EM44" s="221" t="n"/>
      <c r="EO44" s="188" t="n"/>
      <c r="EP44" s="220" t="n"/>
      <c r="EQ44" s="220" t="n"/>
      <c r="ER44" s="220" t="n"/>
      <c r="ES44" s="221" t="n"/>
      <c r="EU44" s="188" t="inlineStr">
        <is>
          <t>Net Income</t>
        </is>
      </c>
      <c r="EV44" s="220">
        <f>EV45-EV41-EV43-EV42</f>
        <v/>
      </c>
      <c r="EW44" s="220">
        <f>EW45-EW41-EW43-EW42</f>
        <v/>
      </c>
      <c r="EX44" s="220">
        <f>EX45-EX41-EX43-EX42</f>
        <v/>
      </c>
      <c r="EY44" s="221">
        <f>EY45-EY41-EY43-EY42</f>
        <v/>
      </c>
      <c r="FA44" s="188" t="inlineStr">
        <is>
          <t>Net Income</t>
        </is>
      </c>
      <c r="FB44" s="220">
        <f>FB45-FB41-FB43-FB42</f>
        <v/>
      </c>
      <c r="FC44" s="220">
        <f>FC45-FC41-FC43-FC42</f>
        <v/>
      </c>
      <c r="FD44" s="220">
        <f>FD45-FD41-FD43-FD42</f>
        <v/>
      </c>
      <c r="FE44" s="221">
        <f>FE45-FE41-FE43-FE42</f>
        <v/>
      </c>
      <c r="FG44" s="188" t="n"/>
      <c r="FH44" s="220" t="n"/>
      <c r="FI44" s="220" t="n"/>
      <c r="FJ44" s="220" t="n"/>
      <c r="FK44" s="221" t="n"/>
      <c r="FM44" s="188" t="n"/>
      <c r="FN44" s="220" t="n"/>
      <c r="FO44" s="220" t="n"/>
      <c r="FP44" s="220" t="n"/>
      <c r="FQ44" s="221" t="n"/>
      <c r="FS44" s="188" t="n"/>
      <c r="FT44" s="220" t="n"/>
      <c r="FU44" s="220" t="n"/>
      <c r="FV44" s="220" t="n"/>
      <c r="FW44" s="221" t="n"/>
      <c r="FY44" s="188" t="n"/>
      <c r="FZ44" s="220" t="n"/>
      <c r="GA44" s="220" t="n"/>
      <c r="GB44" s="220" t="n"/>
      <c r="GC44" s="221" t="n"/>
      <c r="GE44" s="188" t="n"/>
      <c r="GF44" s="220" t="n"/>
      <c r="GG44" s="220" t="n"/>
      <c r="GH44" s="220" t="n"/>
      <c r="GI44" s="221" t="n"/>
      <c r="GK44" s="188" t="inlineStr">
        <is>
          <t>Net Income</t>
        </is>
      </c>
      <c r="GL44" s="220">
        <f>GL45-GL41-GL43-GL42</f>
        <v/>
      </c>
      <c r="GM44" s="220">
        <f>GM45-GM41-GM43-GM42</f>
        <v/>
      </c>
      <c r="GN44" s="220">
        <f>GN45-GN41-GN43-GN42</f>
        <v/>
      </c>
      <c r="GO44" s="221">
        <f>GO45-GO41-GO43-GO42</f>
        <v/>
      </c>
      <c r="GQ44" s="188" t="inlineStr">
        <is>
          <t>Net Income</t>
        </is>
      </c>
      <c r="GR44" s="220">
        <f>GR45-GR41-GR43-GR42</f>
        <v/>
      </c>
      <c r="GS44" s="220">
        <f>GS45-GS41-GS43-GS42</f>
        <v/>
      </c>
      <c r="GT44" s="220">
        <f>GT45-GT41-GT43-GT42</f>
        <v/>
      </c>
      <c r="GU44" s="221">
        <f>GU45-GU41-GU43-GU42</f>
        <v/>
      </c>
      <c r="GW44" s="188" t="n"/>
      <c r="GX44" s="220" t="n"/>
      <c r="GY44" s="220" t="n"/>
      <c r="GZ44" s="220" t="n"/>
      <c r="HA44" s="221" t="n"/>
      <c r="HC44" s="188" t="n"/>
      <c r="HD44" s="220" t="n"/>
      <c r="HE44" s="220" t="n"/>
      <c r="HF44" s="220" t="n"/>
      <c r="HG44" s="221" t="n"/>
      <c r="HI44" s="188" t="n"/>
      <c r="HJ44" s="220" t="n"/>
      <c r="HK44" s="220" t="n"/>
      <c r="HL44" s="220" t="n"/>
      <c r="HM44" s="221" t="n"/>
      <c r="HO44" s="188" t="n"/>
      <c r="HP44" s="220" t="n"/>
      <c r="HQ44" s="220" t="n"/>
      <c r="HR44" s="220" t="n"/>
      <c r="HS44" s="221" t="n"/>
      <c r="HU44" s="188" t="n"/>
      <c r="HV44" s="220" t="n"/>
      <c r="HW44" s="220" t="n"/>
      <c r="HX44" s="220" t="n"/>
      <c r="HY44" s="221" t="n"/>
      <c r="IA44" s="188" t="n"/>
      <c r="IB44" s="220" t="n"/>
      <c r="IC44" s="220" t="n"/>
      <c r="ID44" s="220" t="n"/>
      <c r="IE44" s="221" t="n"/>
      <c r="IG44" s="188" t="inlineStr">
        <is>
          <t>Net Income</t>
        </is>
      </c>
      <c r="IH44" s="220">
        <f>IH45-IH41-IH43-IH42</f>
        <v/>
      </c>
      <c r="II44" s="220">
        <f>II45-II41-II43-II42</f>
        <v/>
      </c>
      <c r="IJ44" s="220">
        <f>IJ45-IJ41-IJ43-IJ42</f>
        <v/>
      </c>
      <c r="IK44" s="221">
        <f>IK45-IK41-IK43-IK42</f>
        <v/>
      </c>
      <c r="IM44" s="188" t="n"/>
      <c r="IN44" s="220" t="n"/>
      <c r="IO44" s="220" t="n"/>
      <c r="IP44" s="220" t="n"/>
      <c r="IQ44" s="221" t="n"/>
      <c r="IS44" s="188" t="n"/>
      <c r="IT44" s="220" t="n"/>
      <c r="IU44" s="220" t="n"/>
      <c r="IV44" s="220" t="n"/>
      <c r="IW44" s="221" t="n"/>
      <c r="IY44" s="188" t="n"/>
      <c r="IZ44" s="220" t="n"/>
      <c r="JA44" s="220" t="n"/>
      <c r="JB44" s="220" t="n"/>
      <c r="JC44" s="221" t="n"/>
    </row>
    <row r="45" ht="15.75" customHeight="1" s="252">
      <c r="A45" s="193" t="inlineStr">
        <is>
          <t>Ending Balance</t>
        </is>
      </c>
      <c r="B45" s="225">
        <f t="array" ref="B45">index('SOL Yield Fund'!$A$8:$LX$1006,MATCH(A$10,'SOL Yield Fund'!$A$8:$A$1006,0),MATCH($E$2,'SOL Yield Fund'!$A$8:$LX$8,0))</f>
        <v/>
      </c>
      <c r="C45" s="225">
        <f>B45</f>
        <v/>
      </c>
      <c r="D45" s="225">
        <f>B45</f>
        <v/>
      </c>
      <c r="E45" s="226">
        <f>B45</f>
        <v/>
      </c>
      <c r="G45" s="193" t="n"/>
      <c r="H45" s="225" t="n"/>
      <c r="I45" s="225" t="n"/>
      <c r="J45" s="225" t="n"/>
      <c r="K45" s="226" t="n"/>
      <c r="M45" s="193" t="n"/>
      <c r="N45" s="225" t="n"/>
      <c r="O45" s="225" t="n"/>
      <c r="P45" s="225" t="n"/>
      <c r="Q45" s="226" t="n"/>
      <c r="S45" s="193" t="n"/>
      <c r="T45" s="225" t="n"/>
      <c r="U45" s="225" t="n"/>
      <c r="V45" s="225" t="n"/>
      <c r="W45" s="226" t="n"/>
      <c r="Y45" s="193" t="n"/>
      <c r="Z45" s="225" t="n"/>
      <c r="AA45" s="225" t="n"/>
      <c r="AB45" s="225" t="n"/>
      <c r="AC45" s="226" t="n"/>
      <c r="AE45" s="193" t="n"/>
      <c r="AF45" s="225" t="n"/>
      <c r="AG45" s="225" t="n"/>
      <c r="AH45" s="225" t="n"/>
      <c r="AI45" s="226" t="n"/>
      <c r="AK45" s="193" t="n"/>
      <c r="AL45" s="225" t="n"/>
      <c r="AM45" s="225" t="n"/>
      <c r="AN45" s="225" t="n"/>
      <c r="AO45" s="226" t="n"/>
      <c r="AQ45" s="193" t="n"/>
      <c r="AR45" s="225" t="n"/>
      <c r="AS45" s="225" t="n"/>
      <c r="AT45" s="225" t="n"/>
      <c r="AU45" s="226" t="n"/>
      <c r="AW45" s="193" t="n"/>
      <c r="AX45" s="225" t="n"/>
      <c r="AY45" s="225" t="n"/>
      <c r="AZ45" s="225" t="n"/>
      <c r="BA45" s="226" t="n"/>
      <c r="BC45" s="193" t="inlineStr">
        <is>
          <t>Ending Balance</t>
        </is>
      </c>
      <c r="BD45" s="225">
        <f t="array" ref="BD45">index('SOL Yield Fund'!$A$8:$LX$1006,MATCH(BC$10,'SOL Yield Fund'!$A$8:$A$1006,0),MATCH($E$2,'SOL Yield Fund'!$A$8:$LX$8,0))</f>
        <v/>
      </c>
      <c r="BE45" s="225">
        <f>BD45</f>
        <v/>
      </c>
      <c r="BF45" s="225">
        <f>BD45</f>
        <v/>
      </c>
      <c r="BG45" s="226">
        <f>BD45</f>
        <v/>
      </c>
      <c r="BI45" s="193" t="n"/>
      <c r="BJ45" s="225" t="n"/>
      <c r="BK45" s="225" t="n"/>
      <c r="BL45" s="225" t="n"/>
      <c r="BM45" s="226" t="n"/>
      <c r="BO45" s="193" t="n"/>
      <c r="BP45" s="225" t="n"/>
      <c r="BQ45" s="225" t="n"/>
      <c r="BR45" s="225" t="n"/>
      <c r="BS45" s="226" t="n"/>
      <c r="BU45" s="193" t="n"/>
      <c r="BV45" s="225" t="n"/>
      <c r="BW45" s="225" t="n"/>
      <c r="BX45" s="225" t="n"/>
      <c r="BY45" s="226" t="n"/>
      <c r="CA45" s="193" t="n"/>
      <c r="CB45" s="225" t="n"/>
      <c r="CC45" s="225" t="n"/>
      <c r="CD45" s="225" t="n"/>
      <c r="CE45" s="226" t="n"/>
      <c r="CG45" s="193" t="n"/>
      <c r="CH45" s="225" t="n"/>
      <c r="CI45" s="225" t="n"/>
      <c r="CJ45" s="225" t="n"/>
      <c r="CK45" s="226" t="n"/>
      <c r="CM45" s="193" t="n"/>
      <c r="CN45" s="225" t="n"/>
      <c r="CO45" s="225" t="n"/>
      <c r="CP45" s="225" t="n"/>
      <c r="CQ45" s="226" t="n"/>
      <c r="CS45" s="193" t="n"/>
      <c r="CT45" s="225" t="n"/>
      <c r="CU45" s="225" t="n"/>
      <c r="CV45" s="225" t="n"/>
      <c r="CW45" s="226" t="n"/>
      <c r="CY45" s="193" t="n"/>
      <c r="CZ45" s="225" t="n"/>
      <c r="DA45" s="225" t="n"/>
      <c r="DB45" s="225" t="n"/>
      <c r="DC45" s="226" t="n"/>
      <c r="DE45" s="193" t="n"/>
      <c r="DF45" s="225" t="n"/>
      <c r="DG45" s="225" t="n"/>
      <c r="DH45" s="225" t="n"/>
      <c r="DI45" s="226" t="n"/>
      <c r="DK45" s="193" t="n"/>
      <c r="DL45" s="225" t="n"/>
      <c r="DM45" s="225" t="n"/>
      <c r="DN45" s="225" t="n"/>
      <c r="DO45" s="226" t="n"/>
      <c r="DQ45" s="193" t="n"/>
      <c r="DR45" s="225" t="n"/>
      <c r="DS45" s="225" t="n"/>
      <c r="DT45" s="225" t="n"/>
      <c r="DU45" s="226" t="n"/>
      <c r="DW45" s="193" t="n"/>
      <c r="DX45" s="225" t="n"/>
      <c r="DY45" s="225" t="n"/>
      <c r="DZ45" s="225" t="n"/>
      <c r="EA45" s="226" t="n"/>
      <c r="EC45" s="193" t="n"/>
      <c r="ED45" s="225" t="n"/>
      <c r="EE45" s="225" t="n"/>
      <c r="EF45" s="225" t="n"/>
      <c r="EG45" s="226" t="n"/>
      <c r="EI45" s="193" t="n"/>
      <c r="EJ45" s="225" t="n"/>
      <c r="EK45" s="225" t="n"/>
      <c r="EL45" s="225" t="n"/>
      <c r="EM45" s="226" t="n"/>
      <c r="EO45" s="193" t="n"/>
      <c r="EP45" s="225" t="n"/>
      <c r="EQ45" s="225" t="n"/>
      <c r="ER45" s="225" t="n"/>
      <c r="ES45" s="226" t="n"/>
      <c r="EU45" s="193" t="inlineStr">
        <is>
          <t>Ending Balance</t>
        </is>
      </c>
      <c r="EV45" s="225">
        <f t="array" ref="EV45">index('SOL Yield Fund'!$A$8:$LX$1006,MATCH(EU$10,'SOL Yield Fund'!$A$8:$A$1006,0),MATCH($E$2,'SOL Yield Fund'!$A$8:$LX$8,0))</f>
        <v/>
      </c>
      <c r="EW45" s="225">
        <f>EV45</f>
        <v/>
      </c>
      <c r="EX45" s="225">
        <f>EV45</f>
        <v/>
      </c>
      <c r="EY45" s="226">
        <f>EV45</f>
        <v/>
      </c>
      <c r="FA45" s="193" t="inlineStr">
        <is>
          <t>Ending Balance</t>
        </is>
      </c>
      <c r="FB45" s="225">
        <f t="array" ref="FB45">index('SOL Yield Fund'!$A$8:$LX$1006,MATCH(FA$10,'SOL Yield Fund'!$A$8:$A$1006,0),MATCH($E$2,'SOL Yield Fund'!$A$8:$LX$8,0))</f>
        <v/>
      </c>
      <c r="FC45" s="225">
        <f>FB45</f>
        <v/>
      </c>
      <c r="FD45" s="225">
        <f>FB45</f>
        <v/>
      </c>
      <c r="FE45" s="226">
        <f>FB45</f>
        <v/>
      </c>
      <c r="FG45" s="193" t="n"/>
      <c r="FH45" s="225" t="n"/>
      <c r="FI45" s="225" t="n"/>
      <c r="FJ45" s="225" t="n"/>
      <c r="FK45" s="226" t="n"/>
      <c r="FM45" s="193" t="n"/>
      <c r="FN45" s="225" t="n"/>
      <c r="FO45" s="225" t="n"/>
      <c r="FP45" s="225" t="n"/>
      <c r="FQ45" s="226" t="n"/>
      <c r="FS45" s="193" t="n"/>
      <c r="FT45" s="225" t="n"/>
      <c r="FU45" s="225" t="n"/>
      <c r="FV45" s="225" t="n"/>
      <c r="FW45" s="226" t="n"/>
      <c r="FY45" s="193" t="n"/>
      <c r="FZ45" s="225" t="n"/>
      <c r="GA45" s="225" t="n"/>
      <c r="GB45" s="225" t="n"/>
      <c r="GC45" s="226" t="n"/>
      <c r="GE45" s="193" t="n"/>
      <c r="GF45" s="225" t="n"/>
      <c r="GG45" s="225" t="n"/>
      <c r="GH45" s="225" t="n"/>
      <c r="GI45" s="226" t="n"/>
      <c r="GK45" s="193" t="inlineStr">
        <is>
          <t>Ending Balance</t>
        </is>
      </c>
      <c r="GL45" s="225">
        <f t="array" ref="GL45">index('SOL Yield Fund'!$A$8:$LX$1006,MATCH(GK$10,'SOL Yield Fund'!$A$8:$A$1006,0),MATCH($E$2,'SOL Yield Fund'!$A$8:$LX$8,0))</f>
        <v/>
      </c>
      <c r="GM45" s="225">
        <f>GL45</f>
        <v/>
      </c>
      <c r="GN45" s="225">
        <f>GL45</f>
        <v/>
      </c>
      <c r="GO45" s="226">
        <f>GL45</f>
        <v/>
      </c>
      <c r="GQ45" s="193" t="inlineStr">
        <is>
          <t>Ending Balance</t>
        </is>
      </c>
      <c r="GR45" s="225">
        <f t="array" ref="GR45">index('SOL Yield Fund'!$A$8:$LX$1006,MATCH(GQ$10,'SOL Yield Fund'!$A$8:$A$1006,0),MATCH($E$2,'SOL Yield Fund'!$A$8:$LX$8,0))</f>
        <v/>
      </c>
      <c r="GS45" s="225">
        <f>GR45</f>
        <v/>
      </c>
      <c r="GT45" s="225">
        <f>GR45</f>
        <v/>
      </c>
      <c r="GU45" s="226">
        <f>GR45</f>
        <v/>
      </c>
      <c r="GW45" s="193" t="n"/>
      <c r="GX45" s="225" t="n"/>
      <c r="GY45" s="225" t="n"/>
      <c r="GZ45" s="225" t="n"/>
      <c r="HA45" s="226" t="n"/>
      <c r="HC45" s="193" t="n"/>
      <c r="HD45" s="225" t="n"/>
      <c r="HE45" s="225" t="n"/>
      <c r="HF45" s="225" t="n"/>
      <c r="HG45" s="226" t="n"/>
      <c r="HI45" s="193" t="n"/>
      <c r="HJ45" s="225" t="n"/>
      <c r="HK45" s="225" t="n"/>
      <c r="HL45" s="225" t="n"/>
      <c r="HM45" s="226" t="n"/>
      <c r="HO45" s="193" t="n"/>
      <c r="HP45" s="225" t="n"/>
      <c r="HQ45" s="225" t="n"/>
      <c r="HR45" s="225" t="n"/>
      <c r="HS45" s="226" t="n"/>
      <c r="HU45" s="193" t="n"/>
      <c r="HV45" s="225" t="n"/>
      <c r="HW45" s="225" t="n"/>
      <c r="HX45" s="225" t="n"/>
      <c r="HY45" s="226" t="n"/>
      <c r="IA45" s="193" t="n"/>
      <c r="IB45" s="225" t="n"/>
      <c r="IC45" s="225" t="n"/>
      <c r="ID45" s="225" t="n"/>
      <c r="IE45" s="226" t="n"/>
      <c r="IG45" s="193" t="inlineStr">
        <is>
          <t>Ending Balance</t>
        </is>
      </c>
      <c r="IH45" s="225">
        <f t="array" ref="IH45">index('SOL Yield Fund'!$A$8:$LX$1006,MATCH(IG$10,'SOL Yield Fund'!$A$8:$A$1006,0),MATCH($E$2,'SOL Yield Fund'!$A$8:$LX$8,0))</f>
        <v/>
      </c>
      <c r="II45" s="225">
        <f>IH45</f>
        <v/>
      </c>
      <c r="IJ45" s="225">
        <f>IH45</f>
        <v/>
      </c>
      <c r="IK45" s="226">
        <f>IH45</f>
        <v/>
      </c>
      <c r="IM45" s="193" t="n"/>
      <c r="IN45" s="225" t="n"/>
      <c r="IO45" s="225" t="n"/>
      <c r="IP45" s="225" t="n"/>
      <c r="IQ45" s="226" t="n"/>
      <c r="IS45" s="193" t="n"/>
      <c r="IT45" s="225" t="n"/>
      <c r="IU45" s="225" t="n"/>
      <c r="IV45" s="225" t="n"/>
      <c r="IW45" s="226" t="n"/>
      <c r="IY45" s="193" t="n"/>
      <c r="IZ45" s="225" t="n"/>
      <c r="JA45" s="225" t="n"/>
      <c r="JB45" s="225" t="n"/>
      <c r="JC45" s="226" t="n"/>
    </row>
    <row r="46" ht="15.75" customHeight="1" s="252">
      <c r="A46" s="198" t="inlineStr">
        <is>
          <t>Rate of Return</t>
        </is>
      </c>
      <c r="B46" s="199">
        <f>B44/B41</f>
        <v/>
      </c>
      <c r="C46" s="199">
        <f>C44/C41</f>
        <v/>
      </c>
      <c r="D46" s="199">
        <f>D44/D41</f>
        <v/>
      </c>
      <c r="E46" s="200">
        <f>E44/E41</f>
        <v/>
      </c>
      <c r="G46" s="198" t="n"/>
      <c r="H46" s="199" t="n"/>
      <c r="I46" s="199" t="n"/>
      <c r="J46" s="199" t="n"/>
      <c r="K46" s="200" t="n"/>
      <c r="M46" s="198" t="n"/>
      <c r="N46" s="199" t="n"/>
      <c r="O46" s="199" t="n"/>
      <c r="P46" s="199" t="n"/>
      <c r="Q46" s="200" t="n"/>
      <c r="S46" s="198" t="n"/>
      <c r="T46" s="199" t="n"/>
      <c r="U46" s="199" t="n"/>
      <c r="V46" s="199" t="n"/>
      <c r="W46" s="200" t="n"/>
      <c r="Y46" s="198" t="n"/>
      <c r="Z46" s="199" t="n"/>
      <c r="AA46" s="199" t="n"/>
      <c r="AB46" s="199" t="n"/>
      <c r="AC46" s="200" t="n"/>
      <c r="AE46" s="198" t="n"/>
      <c r="AF46" s="199" t="n"/>
      <c r="AG46" s="199" t="n"/>
      <c r="AH46" s="199" t="n"/>
      <c r="AI46" s="200" t="n"/>
      <c r="AK46" s="198" t="n"/>
      <c r="AL46" s="199" t="n"/>
      <c r="AM46" s="199" t="n"/>
      <c r="AN46" s="199" t="n"/>
      <c r="AO46" s="200" t="n"/>
      <c r="AQ46" s="198" t="n"/>
      <c r="AR46" s="199" t="n"/>
      <c r="AS46" s="199" t="n"/>
      <c r="AT46" s="199" t="n"/>
      <c r="AU46" s="200" t="n"/>
      <c r="AW46" s="198" t="n"/>
      <c r="AX46" s="199" t="n"/>
      <c r="AY46" s="199" t="n"/>
      <c r="AZ46" s="199" t="n"/>
      <c r="BA46" s="200" t="n"/>
      <c r="BC46" s="198" t="inlineStr">
        <is>
          <t>Rate of Return</t>
        </is>
      </c>
      <c r="BD46" s="199">
        <f>BD44/BD41</f>
        <v/>
      </c>
      <c r="BE46" s="199">
        <f>BE44/BE41</f>
        <v/>
      </c>
      <c r="BF46" s="199">
        <f>BF44/BF41</f>
        <v/>
      </c>
      <c r="BG46" s="200">
        <f>BG44/BG41</f>
        <v/>
      </c>
      <c r="BI46" s="198" t="n"/>
      <c r="BJ46" s="199" t="n"/>
      <c r="BK46" s="199" t="n"/>
      <c r="BL46" s="199" t="n"/>
      <c r="BM46" s="200" t="n"/>
      <c r="BO46" s="198" t="n"/>
      <c r="BP46" s="199" t="n"/>
      <c r="BQ46" s="199" t="n"/>
      <c r="BR46" s="199" t="n"/>
      <c r="BS46" s="200" t="n"/>
      <c r="BU46" s="198" t="n"/>
      <c r="BV46" s="199" t="n"/>
      <c r="BW46" s="199" t="n"/>
      <c r="BX46" s="199" t="n"/>
      <c r="BY46" s="200" t="n"/>
      <c r="CA46" s="198" t="n"/>
      <c r="CB46" s="199" t="n"/>
      <c r="CC46" s="199" t="n"/>
      <c r="CD46" s="199" t="n"/>
      <c r="CE46" s="200" t="n"/>
      <c r="CG46" s="198" t="n"/>
      <c r="CH46" s="199" t="n"/>
      <c r="CI46" s="199" t="n"/>
      <c r="CJ46" s="199" t="n"/>
      <c r="CK46" s="200" t="n"/>
      <c r="CM46" s="198" t="n"/>
      <c r="CN46" s="199" t="n"/>
      <c r="CO46" s="199" t="n"/>
      <c r="CP46" s="199" t="n"/>
      <c r="CQ46" s="200" t="n"/>
      <c r="CS46" s="198" t="n"/>
      <c r="CT46" s="199" t="n"/>
      <c r="CU46" s="199" t="n"/>
      <c r="CV46" s="199" t="n"/>
      <c r="CW46" s="200" t="n"/>
      <c r="CY46" s="198" t="n"/>
      <c r="CZ46" s="199" t="n"/>
      <c r="DA46" s="199" t="n"/>
      <c r="DB46" s="199" t="n"/>
      <c r="DC46" s="200" t="n"/>
      <c r="DE46" s="198" t="n"/>
      <c r="DF46" s="199" t="n"/>
      <c r="DG46" s="199" t="n"/>
      <c r="DH46" s="199" t="n"/>
      <c r="DI46" s="200" t="n"/>
      <c r="DK46" s="198" t="n"/>
      <c r="DL46" s="199" t="n"/>
      <c r="DM46" s="199" t="n"/>
      <c r="DN46" s="199" t="n"/>
      <c r="DO46" s="200" t="n"/>
      <c r="DQ46" s="198" t="n"/>
      <c r="DR46" s="199" t="n"/>
      <c r="DS46" s="199" t="n"/>
      <c r="DT46" s="199" t="n"/>
      <c r="DU46" s="200" t="n"/>
      <c r="DW46" s="198" t="n"/>
      <c r="DX46" s="199" t="n"/>
      <c r="DY46" s="199" t="n"/>
      <c r="DZ46" s="199" t="n"/>
      <c r="EA46" s="200" t="n"/>
      <c r="EC46" s="198" t="n"/>
      <c r="ED46" s="199" t="n"/>
      <c r="EE46" s="199" t="n"/>
      <c r="EF46" s="199" t="n"/>
      <c r="EG46" s="200" t="n"/>
      <c r="EI46" s="198" t="n"/>
      <c r="EJ46" s="199" t="n"/>
      <c r="EK46" s="199" t="n"/>
      <c r="EL46" s="199" t="n"/>
      <c r="EM46" s="200" t="n"/>
      <c r="EO46" s="198" t="n"/>
      <c r="EP46" s="199" t="n"/>
      <c r="EQ46" s="199" t="n"/>
      <c r="ER46" s="199" t="n"/>
      <c r="ES46" s="200" t="n"/>
      <c r="EU46" s="198" t="inlineStr">
        <is>
          <t>Rate of Return</t>
        </is>
      </c>
      <c r="EV46" s="199">
        <f>EV44/EV41</f>
        <v/>
      </c>
      <c r="EW46" s="199">
        <f>EW44/EW41</f>
        <v/>
      </c>
      <c r="EX46" s="199">
        <f>EX44/EX41</f>
        <v/>
      </c>
      <c r="EY46" s="200">
        <f>EY44/EY41</f>
        <v/>
      </c>
      <c r="FA46" s="198" t="inlineStr">
        <is>
          <t>Rate of Return</t>
        </is>
      </c>
      <c r="FB46" s="199">
        <f>FB44/FB41</f>
        <v/>
      </c>
      <c r="FC46" s="199">
        <f>FC44/FC41</f>
        <v/>
      </c>
      <c r="FD46" s="199">
        <f>FD44/FD41</f>
        <v/>
      </c>
      <c r="FE46" s="200">
        <f>FE44/FE41</f>
        <v/>
      </c>
      <c r="FG46" s="198" t="n"/>
      <c r="FH46" s="199" t="n"/>
      <c r="FI46" s="199" t="n"/>
      <c r="FJ46" s="199" t="n"/>
      <c r="FK46" s="200" t="n"/>
      <c r="FM46" s="198" t="n"/>
      <c r="FN46" s="199" t="n"/>
      <c r="FO46" s="199" t="n"/>
      <c r="FP46" s="199" t="n"/>
      <c r="FQ46" s="200" t="n"/>
      <c r="FS46" s="198" t="n"/>
      <c r="FT46" s="199" t="n"/>
      <c r="FU46" s="199" t="n"/>
      <c r="FV46" s="199" t="n"/>
      <c r="FW46" s="200" t="n"/>
      <c r="FY46" s="198" t="n"/>
      <c r="FZ46" s="199" t="n"/>
      <c r="GA46" s="199" t="n"/>
      <c r="GB46" s="199" t="n"/>
      <c r="GC46" s="200" t="n"/>
      <c r="GE46" s="198" t="n"/>
      <c r="GF46" s="199" t="n"/>
      <c r="GG46" s="199" t="n"/>
      <c r="GH46" s="199" t="n"/>
      <c r="GI46" s="200" t="n"/>
      <c r="GK46" s="198" t="inlineStr">
        <is>
          <t>Rate of Return</t>
        </is>
      </c>
      <c r="GL46" s="199">
        <f>GL44/GL41</f>
        <v/>
      </c>
      <c r="GM46" s="199">
        <f>GM44/GM41</f>
        <v/>
      </c>
      <c r="GN46" s="199">
        <f>GN44/GN41</f>
        <v/>
      </c>
      <c r="GO46" s="200">
        <f>GO44/GO41</f>
        <v/>
      </c>
      <c r="GQ46" s="198" t="inlineStr">
        <is>
          <t>Rate of Return</t>
        </is>
      </c>
      <c r="GR46" s="199">
        <f>GR44/GR41</f>
        <v/>
      </c>
      <c r="GS46" s="199">
        <f>GS44/GS41</f>
        <v/>
      </c>
      <c r="GT46" s="199">
        <f>GT44/GT41</f>
        <v/>
      </c>
      <c r="GU46" s="200">
        <f>GU44/GU41</f>
        <v/>
      </c>
      <c r="GW46" s="198" t="n"/>
      <c r="GX46" s="199" t="n"/>
      <c r="GY46" s="199" t="n"/>
      <c r="GZ46" s="199" t="n"/>
      <c r="HA46" s="200" t="n"/>
      <c r="HC46" s="198" t="n"/>
      <c r="HD46" s="199" t="n"/>
      <c r="HE46" s="199" t="n"/>
      <c r="HF46" s="199" t="n"/>
      <c r="HG46" s="200" t="n"/>
      <c r="HI46" s="198" t="n"/>
      <c r="HJ46" s="199" t="n"/>
      <c r="HK46" s="199" t="n"/>
      <c r="HL46" s="199" t="n"/>
      <c r="HM46" s="200" t="n"/>
      <c r="HO46" s="198" t="n"/>
      <c r="HP46" s="199" t="n"/>
      <c r="HQ46" s="199" t="n"/>
      <c r="HR46" s="199" t="n"/>
      <c r="HS46" s="200" t="n"/>
      <c r="HU46" s="198" t="n"/>
      <c r="HV46" s="199" t="n"/>
      <c r="HW46" s="199" t="n"/>
      <c r="HX46" s="199" t="n"/>
      <c r="HY46" s="200" t="n"/>
      <c r="IA46" s="198" t="n"/>
      <c r="IB46" s="199" t="n"/>
      <c r="IC46" s="199" t="n"/>
      <c r="ID46" s="199" t="n"/>
      <c r="IE46" s="200" t="n"/>
      <c r="IG46" s="198" t="inlineStr">
        <is>
          <t>Rate of Return</t>
        </is>
      </c>
      <c r="IH46" s="199">
        <f>IH44/IH41</f>
        <v/>
      </c>
      <c r="II46" s="199">
        <f>II44/II41</f>
        <v/>
      </c>
      <c r="IJ46" s="199">
        <f>IJ44/IJ41</f>
        <v/>
      </c>
      <c r="IK46" s="200">
        <f>IK44/IK41</f>
        <v/>
      </c>
      <c r="IM46" s="198" t="n"/>
      <c r="IN46" s="199" t="n"/>
      <c r="IO46" s="199" t="n"/>
      <c r="IP46" s="199" t="n"/>
      <c r="IQ46" s="200" t="n"/>
      <c r="IS46" s="198" t="n"/>
      <c r="IT46" s="199" t="n"/>
      <c r="IU46" s="199" t="n"/>
      <c r="IV46" s="199" t="n"/>
      <c r="IW46" s="200" t="n"/>
      <c r="IY46" s="198" t="n"/>
      <c r="IZ46" s="199" t="n"/>
      <c r="JA46" s="199" t="n"/>
      <c r="JB46" s="199" t="n"/>
      <c r="JC46" s="200" t="n"/>
    </row>
    <row r="47" ht="15.75" customHeight="1" s="252">
      <c r="GK47" s="169" t="inlineStr">
        <is>
          <t>Out</t>
        </is>
      </c>
    </row>
    <row r="48" ht="15.75" customHeight="1" s="252">
      <c r="A48" s="257" t="n"/>
      <c r="B48" s="256" t="n"/>
      <c r="C48" s="256" t="n"/>
      <c r="D48" s="256" t="n"/>
      <c r="E48" s="258" t="n"/>
      <c r="G48" s="257" t="n"/>
      <c r="H48" s="256" t="n"/>
      <c r="I48" s="256" t="n"/>
      <c r="J48" s="256" t="n"/>
      <c r="K48" s="258" t="n"/>
      <c r="M48" s="257" t="n"/>
      <c r="N48" s="256" t="n"/>
      <c r="O48" s="256" t="n"/>
      <c r="P48" s="256" t="n"/>
      <c r="Q48" s="258" t="n"/>
      <c r="S48" s="257" t="n"/>
      <c r="T48" s="256" t="n"/>
      <c r="U48" s="256" t="n"/>
      <c r="V48" s="256" t="n"/>
      <c r="W48" s="258" t="n"/>
      <c r="Y48" s="257" t="n"/>
      <c r="Z48" s="256" t="n"/>
      <c r="AA48" s="256" t="n"/>
      <c r="AB48" s="256" t="n"/>
      <c r="AC48" s="258" t="n"/>
      <c r="AE48" s="257" t="n"/>
      <c r="AF48" s="256" t="n"/>
      <c r="AG48" s="256" t="n"/>
      <c r="AH48" s="256" t="n"/>
      <c r="AI48" s="258" t="n"/>
      <c r="AK48" s="257" t="n"/>
      <c r="AL48" s="256" t="n"/>
      <c r="AM48" s="256" t="n"/>
      <c r="AN48" s="256" t="n"/>
      <c r="AO48" s="258" t="n"/>
      <c r="AQ48" s="257" t="n"/>
      <c r="AR48" s="256" t="n"/>
      <c r="AS48" s="256" t="n"/>
      <c r="AT48" s="256" t="n"/>
      <c r="AU48" s="258" t="n"/>
      <c r="AW48" s="257" t="n"/>
      <c r="AX48" s="256" t="n"/>
      <c r="AY48" s="256" t="n"/>
      <c r="AZ48" s="256" t="n"/>
      <c r="BA48" s="258" t="n"/>
      <c r="BC48" s="257" t="n"/>
      <c r="BD48" s="256" t="n"/>
      <c r="BE48" s="256" t="n"/>
      <c r="BF48" s="256" t="n"/>
      <c r="BG48" s="258" t="n"/>
      <c r="BI48" s="257" t="n"/>
      <c r="BJ48" s="256" t="n"/>
      <c r="BK48" s="256" t="n"/>
      <c r="BL48" s="256" t="n"/>
      <c r="BM48" s="258" t="n"/>
      <c r="BO48" s="257" t="n"/>
      <c r="BP48" s="256" t="n"/>
      <c r="BQ48" s="256" t="n"/>
      <c r="BR48" s="256" t="n"/>
      <c r="BS48" s="258" t="n"/>
      <c r="BU48" s="257" t="n"/>
      <c r="BV48" s="256" t="n"/>
      <c r="BW48" s="256" t="n"/>
      <c r="BX48" s="256" t="n"/>
      <c r="BY48" s="258" t="n"/>
      <c r="CA48" s="257" t="n"/>
      <c r="CB48" s="256" t="n"/>
      <c r="CC48" s="256" t="n"/>
      <c r="CD48" s="256" t="n"/>
      <c r="CE48" s="258" t="n"/>
      <c r="CG48" s="257" t="n"/>
      <c r="CH48" s="256" t="n"/>
      <c r="CI48" s="256" t="n"/>
      <c r="CJ48" s="256" t="n"/>
      <c r="CK48" s="258" t="n"/>
      <c r="CM48" s="257" t="n"/>
      <c r="CN48" s="256" t="n"/>
      <c r="CO48" s="256" t="n"/>
      <c r="CP48" s="256" t="n"/>
      <c r="CQ48" s="258" t="n"/>
      <c r="CS48" s="257" t="n"/>
      <c r="CT48" s="256" t="n"/>
      <c r="CU48" s="256" t="n"/>
      <c r="CV48" s="256" t="n"/>
      <c r="CW48" s="258" t="n"/>
      <c r="CY48" s="257" t="n"/>
      <c r="CZ48" s="256" t="n"/>
      <c r="DA48" s="256" t="n"/>
      <c r="DB48" s="256" t="n"/>
      <c r="DC48" s="258" t="n"/>
      <c r="DE48" s="257" t="n"/>
      <c r="DF48" s="256" t="n"/>
      <c r="DG48" s="256" t="n"/>
      <c r="DH48" s="256" t="n"/>
      <c r="DI48" s="258" t="n"/>
      <c r="DK48" s="257" t="n"/>
      <c r="DL48" s="256" t="n"/>
      <c r="DM48" s="256" t="n"/>
      <c r="DN48" s="256" t="n"/>
      <c r="DO48" s="258" t="n"/>
      <c r="DQ48" s="257" t="n"/>
      <c r="DR48" s="256" t="n"/>
      <c r="DS48" s="256" t="n"/>
      <c r="DT48" s="256" t="n"/>
      <c r="DU48" s="258" t="n"/>
      <c r="DW48" s="257" t="n"/>
      <c r="DX48" s="256" t="n"/>
      <c r="DY48" s="256" t="n"/>
      <c r="DZ48" s="256" t="n"/>
      <c r="EA48" s="258" t="n"/>
      <c r="EC48" s="257" t="n"/>
      <c r="ED48" s="256" t="n"/>
      <c r="EE48" s="256" t="n"/>
      <c r="EF48" s="256" t="n"/>
      <c r="EG48" s="258" t="n"/>
      <c r="EI48" s="257" t="n"/>
      <c r="EJ48" s="256" t="n"/>
      <c r="EK48" s="256" t="n"/>
      <c r="EL48" s="256" t="n"/>
      <c r="EM48" s="258" t="n"/>
      <c r="EO48" s="257" t="n"/>
      <c r="EP48" s="256" t="n"/>
      <c r="EQ48" s="256" t="n"/>
      <c r="ER48" s="256" t="n"/>
      <c r="ES48" s="258" t="n"/>
      <c r="EU48" s="257" t="n"/>
      <c r="EV48" s="256" t="n"/>
      <c r="EW48" s="256" t="n"/>
      <c r="EX48" s="256" t="n"/>
      <c r="EY48" s="258" t="n"/>
      <c r="FA48" s="257" t="n"/>
      <c r="FB48" s="256" t="n"/>
      <c r="FC48" s="256" t="n"/>
      <c r="FD48" s="256" t="n"/>
      <c r="FE48" s="258" t="n"/>
      <c r="FG48" s="257" t="n"/>
      <c r="FH48" s="256" t="n"/>
      <c r="FI48" s="256" t="n"/>
      <c r="FJ48" s="256" t="n"/>
      <c r="FK48" s="258" t="n"/>
      <c r="FM48" s="257" t="n"/>
      <c r="FN48" s="256" t="n"/>
      <c r="FO48" s="256" t="n"/>
      <c r="FP48" s="256" t="n"/>
      <c r="FQ48" s="258" t="n"/>
      <c r="FS48" s="257" t="n"/>
      <c r="FT48" s="256" t="n"/>
      <c r="FU48" s="256" t="n"/>
      <c r="FV48" s="256" t="n"/>
      <c r="FW48" s="258" t="n"/>
      <c r="FY48" s="257" t="n"/>
      <c r="FZ48" s="256" t="n"/>
      <c r="GA48" s="256" t="n"/>
      <c r="GB48" s="256" t="n"/>
      <c r="GC48" s="258" t="n"/>
      <c r="GE48" s="257" t="n"/>
      <c r="GF48" s="256" t="n"/>
      <c r="GG48" s="256" t="n"/>
      <c r="GH48" s="256" t="n"/>
      <c r="GI48" s="258" t="n"/>
      <c r="GK48" s="173" t="inlineStr">
        <is>
          <t xml:space="preserve">CAPITAL ACCOUNT SUMMARY FROM </t>
        </is>
      </c>
      <c r="GL48" s="256" t="n"/>
      <c r="GM48" s="256" t="n"/>
      <c r="GN48" s="256" t="n"/>
      <c r="GO48" s="175" t="n">
        <v>45978</v>
      </c>
      <c r="GQ48" s="173" t="inlineStr">
        <is>
          <t xml:space="preserve">CAPITAL ACCOUNT SUMMARY FROM </t>
        </is>
      </c>
      <c r="GR48" s="256" t="n"/>
      <c r="GS48" s="256" t="n"/>
      <c r="GT48" s="256" t="n"/>
      <c r="GU48" s="175" t="n">
        <v>45991</v>
      </c>
      <c r="GW48" s="257" t="n"/>
      <c r="GX48" s="256" t="n"/>
      <c r="GY48" s="256" t="n"/>
      <c r="GZ48" s="256" t="n"/>
      <c r="HA48" s="258" t="n"/>
      <c r="HC48" s="257" t="n"/>
      <c r="HD48" s="256" t="n"/>
      <c r="HE48" s="256" t="n"/>
      <c r="HF48" s="256" t="n"/>
      <c r="HG48" s="258" t="n"/>
      <c r="HI48" s="257" t="n"/>
      <c r="HJ48" s="256" t="n"/>
      <c r="HK48" s="256" t="n"/>
      <c r="HL48" s="256" t="n"/>
      <c r="HM48" s="258" t="n"/>
      <c r="HO48" s="257" t="n"/>
      <c r="HP48" s="256" t="n"/>
      <c r="HQ48" s="256" t="n"/>
      <c r="HR48" s="256" t="n"/>
      <c r="HS48" s="258" t="n"/>
      <c r="HU48" s="257" t="n"/>
      <c r="HV48" s="256" t="n"/>
      <c r="HW48" s="256" t="n"/>
      <c r="HX48" s="256" t="n"/>
      <c r="HY48" s="258" t="n"/>
      <c r="IA48" s="257" t="n"/>
      <c r="IB48" s="256" t="n"/>
      <c r="IC48" s="256" t="n"/>
      <c r="ID48" s="256" t="n"/>
      <c r="IE48" s="258" t="n"/>
      <c r="IG48" s="257" t="n"/>
      <c r="IH48" s="256" t="n"/>
      <c r="II48" s="256" t="n"/>
      <c r="IJ48" s="256" t="n"/>
      <c r="IK48" s="258" t="n"/>
      <c r="IM48" s="257" t="n"/>
      <c r="IN48" s="256" t="n"/>
      <c r="IO48" s="256" t="n"/>
      <c r="IP48" s="256" t="n"/>
      <c r="IQ48" s="258" t="n"/>
      <c r="IS48" s="257" t="n"/>
      <c r="IT48" s="256" t="n"/>
      <c r="IU48" s="256" t="n"/>
      <c r="IV48" s="256" t="n"/>
      <c r="IW48" s="258" t="n"/>
      <c r="IY48" s="257" t="n"/>
      <c r="IZ48" s="256" t="n"/>
      <c r="JA48" s="256" t="n"/>
      <c r="JB48" s="256" t="n"/>
      <c r="JC48" s="258" t="n"/>
    </row>
    <row r="49" ht="15.75" customHeight="1" s="252">
      <c r="A49" s="234" t="n"/>
      <c r="B49" s="235" t="n"/>
      <c r="C49" s="235" t="n"/>
      <c r="D49" s="235" t="n"/>
      <c r="E49" s="236" t="n"/>
      <c r="G49" s="234" t="n"/>
      <c r="H49" s="235" t="n"/>
      <c r="I49" s="235" t="n"/>
      <c r="J49" s="235" t="n"/>
      <c r="K49" s="236" t="n"/>
      <c r="M49" s="234" t="n"/>
      <c r="N49" s="235" t="n"/>
      <c r="O49" s="235" t="n"/>
      <c r="P49" s="235" t="n"/>
      <c r="Q49" s="236" t="n"/>
      <c r="S49" s="234" t="n"/>
      <c r="T49" s="235" t="n"/>
      <c r="U49" s="235" t="n"/>
      <c r="V49" s="235" t="n"/>
      <c r="W49" s="236" t="n"/>
      <c r="Y49" s="234" t="n"/>
      <c r="Z49" s="235" t="n"/>
      <c r="AA49" s="235" t="n"/>
      <c r="AB49" s="235" t="n"/>
      <c r="AC49" s="236" t="n"/>
      <c r="AE49" s="234" t="n"/>
      <c r="AF49" s="235" t="n"/>
      <c r="AG49" s="235" t="n"/>
      <c r="AH49" s="235" t="n"/>
      <c r="AI49" s="236" t="n"/>
      <c r="AK49" s="234" t="n"/>
      <c r="AL49" s="235" t="n"/>
      <c r="AM49" s="235" t="n"/>
      <c r="AN49" s="235" t="n"/>
      <c r="AO49" s="236" t="n"/>
      <c r="AQ49" s="234" t="n"/>
      <c r="AR49" s="235" t="n"/>
      <c r="AS49" s="235" t="n"/>
      <c r="AT49" s="235" t="n"/>
      <c r="AU49" s="236" t="n"/>
      <c r="AW49" s="234" t="n"/>
      <c r="AX49" s="235" t="n"/>
      <c r="AY49" s="235" t="n"/>
      <c r="AZ49" s="235" t="n"/>
      <c r="BA49" s="236" t="n"/>
      <c r="BC49" s="234" t="n"/>
      <c r="BD49" s="235" t="n"/>
      <c r="BE49" s="235" t="n"/>
      <c r="BF49" s="235" t="n"/>
      <c r="BG49" s="236" t="n"/>
      <c r="BI49" s="234" t="n"/>
      <c r="BJ49" s="235" t="n"/>
      <c r="BK49" s="235" t="n"/>
      <c r="BL49" s="235" t="n"/>
      <c r="BM49" s="236" t="n"/>
      <c r="BO49" s="234" t="n"/>
      <c r="BP49" s="235" t="n"/>
      <c r="BQ49" s="235" t="n"/>
      <c r="BR49" s="235" t="n"/>
      <c r="BS49" s="236" t="n"/>
      <c r="BU49" s="234" t="n"/>
      <c r="BV49" s="235" t="n"/>
      <c r="BW49" s="235" t="n"/>
      <c r="BX49" s="235" t="n"/>
      <c r="BY49" s="236" t="n"/>
      <c r="CA49" s="234" t="n"/>
      <c r="CB49" s="235" t="n"/>
      <c r="CC49" s="235" t="n"/>
      <c r="CD49" s="235" t="n"/>
      <c r="CE49" s="236" t="n"/>
      <c r="CG49" s="234" t="n"/>
      <c r="CH49" s="235" t="n"/>
      <c r="CI49" s="235" t="n"/>
      <c r="CJ49" s="235" t="n"/>
      <c r="CK49" s="236" t="n"/>
      <c r="CM49" s="234" t="n"/>
      <c r="CN49" s="235" t="n"/>
      <c r="CO49" s="235" t="n"/>
      <c r="CP49" s="235" t="n"/>
      <c r="CQ49" s="236" t="n"/>
      <c r="CS49" s="234" t="n"/>
      <c r="CT49" s="235" t="n"/>
      <c r="CU49" s="235" t="n"/>
      <c r="CV49" s="235" t="n"/>
      <c r="CW49" s="236" t="n"/>
      <c r="CY49" s="234" t="n"/>
      <c r="CZ49" s="235" t="n"/>
      <c r="DA49" s="235" t="n"/>
      <c r="DB49" s="235" t="n"/>
      <c r="DC49" s="236" t="n"/>
      <c r="DE49" s="234" t="n"/>
      <c r="DF49" s="235" t="n"/>
      <c r="DG49" s="235" t="n"/>
      <c r="DH49" s="235" t="n"/>
      <c r="DI49" s="236" t="n"/>
      <c r="DK49" s="234" t="n"/>
      <c r="DL49" s="235" t="n"/>
      <c r="DM49" s="235" t="n"/>
      <c r="DN49" s="235" t="n"/>
      <c r="DO49" s="236" t="n"/>
      <c r="DQ49" s="234" t="n"/>
      <c r="DR49" s="235" t="n"/>
      <c r="DS49" s="235" t="n"/>
      <c r="DT49" s="235" t="n"/>
      <c r="DU49" s="236" t="n"/>
      <c r="DW49" s="234" t="n"/>
      <c r="DX49" s="235" t="n"/>
      <c r="DY49" s="235" t="n"/>
      <c r="DZ49" s="235" t="n"/>
      <c r="EA49" s="236" t="n"/>
      <c r="EC49" s="234" t="n"/>
      <c r="ED49" s="235" t="n"/>
      <c r="EE49" s="235" t="n"/>
      <c r="EF49" s="235" t="n"/>
      <c r="EG49" s="236" t="n"/>
      <c r="EI49" s="234" t="n"/>
      <c r="EJ49" s="235" t="n"/>
      <c r="EK49" s="235" t="n"/>
      <c r="EL49" s="235" t="n"/>
      <c r="EM49" s="236" t="n"/>
      <c r="EO49" s="234" t="n"/>
      <c r="EP49" s="235" t="n"/>
      <c r="EQ49" s="235" t="n"/>
      <c r="ER49" s="235" t="n"/>
      <c r="ES49" s="236" t="n"/>
      <c r="EU49" s="234" t="n"/>
      <c r="EV49" s="235" t="n"/>
      <c r="EW49" s="235" t="n"/>
      <c r="EX49" s="235" t="n"/>
      <c r="EY49" s="236" t="n"/>
      <c r="FA49" s="234" t="n"/>
      <c r="FB49" s="235" t="n"/>
      <c r="FC49" s="235" t="n"/>
      <c r="FD49" s="235" t="n"/>
      <c r="FE49" s="236" t="n"/>
      <c r="FG49" s="234" t="n"/>
      <c r="FH49" s="235" t="n"/>
      <c r="FI49" s="235" t="n"/>
      <c r="FJ49" s="235" t="n"/>
      <c r="FK49" s="236" t="n"/>
      <c r="FM49" s="234" t="n"/>
      <c r="FN49" s="235" t="n"/>
      <c r="FO49" s="235" t="n"/>
      <c r="FP49" s="235" t="n"/>
      <c r="FQ49" s="236" t="n"/>
      <c r="FS49" s="234" t="n"/>
      <c r="FT49" s="235" t="n"/>
      <c r="FU49" s="235" t="n"/>
      <c r="FV49" s="235" t="n"/>
      <c r="FW49" s="236" t="n"/>
      <c r="FY49" s="234" t="n"/>
      <c r="FZ49" s="235" t="n"/>
      <c r="GA49" s="235" t="n"/>
      <c r="GB49" s="235" t="n"/>
      <c r="GC49" s="236" t="n"/>
      <c r="GE49" s="234" t="n"/>
      <c r="GF49" s="235" t="n"/>
      <c r="GG49" s="235" t="n"/>
      <c r="GH49" s="235" t="n"/>
      <c r="GI49" s="236" t="n"/>
      <c r="GK49" s="234" t="n"/>
      <c r="GL49" s="235" t="inlineStr">
        <is>
          <t>MTD (XRP)</t>
        </is>
      </c>
      <c r="GM49" s="235" t="inlineStr">
        <is>
          <t>QTD (XRP)</t>
        </is>
      </c>
      <c r="GN49" s="235" t="inlineStr">
        <is>
          <t>YTD (XRP)</t>
        </is>
      </c>
      <c r="GO49" s="236" t="inlineStr">
        <is>
          <t>ITD (XRP)</t>
        </is>
      </c>
      <c r="GQ49" s="234" t="n"/>
      <c r="GR49" s="235" t="inlineStr">
        <is>
          <t>MTD (XRP)</t>
        </is>
      </c>
      <c r="GS49" s="235" t="inlineStr">
        <is>
          <t>QTD (XRP)</t>
        </is>
      </c>
      <c r="GT49" s="235" t="inlineStr">
        <is>
          <t>YTD (XRP)</t>
        </is>
      </c>
      <c r="GU49" s="236" t="inlineStr">
        <is>
          <t>ITD (XRP)</t>
        </is>
      </c>
      <c r="GW49" s="234" t="n"/>
      <c r="GX49" s="235" t="n"/>
      <c r="GY49" s="235" t="n"/>
      <c r="GZ49" s="235" t="n"/>
      <c r="HA49" s="236" t="n"/>
      <c r="HC49" s="234" t="n"/>
      <c r="HD49" s="235" t="n"/>
      <c r="HE49" s="235" t="n"/>
      <c r="HF49" s="235" t="n"/>
      <c r="HG49" s="236" t="n"/>
      <c r="HI49" s="234" t="n"/>
      <c r="HJ49" s="235" t="n"/>
      <c r="HK49" s="235" t="n"/>
      <c r="HL49" s="235" t="n"/>
      <c r="HM49" s="236" t="n"/>
      <c r="HO49" s="234" t="n"/>
      <c r="HP49" s="235" t="n"/>
      <c r="HQ49" s="235" t="n"/>
      <c r="HR49" s="235" t="n"/>
      <c r="HS49" s="236" t="n"/>
      <c r="HU49" s="234" t="n"/>
      <c r="HV49" s="235" t="n"/>
      <c r="HW49" s="235" t="n"/>
      <c r="HX49" s="235" t="n"/>
      <c r="HY49" s="236" t="n"/>
      <c r="IA49" s="234" t="n"/>
      <c r="IB49" s="235" t="n"/>
      <c r="IC49" s="235" t="n"/>
      <c r="ID49" s="235" t="n"/>
      <c r="IE49" s="236" t="n"/>
      <c r="IG49" s="234" t="n"/>
      <c r="IH49" s="235" t="n"/>
      <c r="II49" s="235" t="n"/>
      <c r="IJ49" s="235" t="n"/>
      <c r="IK49" s="236" t="n"/>
      <c r="IM49" s="234" t="n"/>
      <c r="IN49" s="235" t="n"/>
      <c r="IO49" s="235" t="n"/>
      <c r="IP49" s="235" t="n"/>
      <c r="IQ49" s="236" t="n"/>
      <c r="IS49" s="234" t="n"/>
      <c r="IT49" s="235" t="n"/>
      <c r="IU49" s="235" t="n"/>
      <c r="IV49" s="235" t="n"/>
      <c r="IW49" s="236" t="n"/>
      <c r="IY49" s="234" t="n"/>
      <c r="IZ49" s="235" t="n"/>
      <c r="JA49" s="235" t="n"/>
      <c r="JB49" s="235" t="n"/>
      <c r="JC49" s="236" t="n"/>
    </row>
    <row r="50" ht="15.75" customHeight="1" s="252">
      <c r="A50" s="183" t="n"/>
      <c r="B50" s="215" t="n"/>
      <c r="C50" s="215" t="n"/>
      <c r="D50" s="215" t="n"/>
      <c r="E50" s="216" t="n"/>
      <c r="G50" s="183" t="n"/>
      <c r="H50" s="215" t="n"/>
      <c r="I50" s="215" t="n"/>
      <c r="J50" s="215" t="n"/>
      <c r="K50" s="216" t="n"/>
      <c r="M50" s="183" t="n"/>
      <c r="N50" s="215" t="n"/>
      <c r="O50" s="215" t="n"/>
      <c r="P50" s="215" t="n"/>
      <c r="Q50" s="216" t="n"/>
      <c r="S50" s="183" t="n"/>
      <c r="T50" s="215" t="n"/>
      <c r="U50" s="215" t="n"/>
      <c r="V50" s="215" t="n"/>
      <c r="W50" s="216" t="n"/>
      <c r="Y50" s="183" t="n"/>
      <c r="Z50" s="215" t="n"/>
      <c r="AA50" s="215" t="n"/>
      <c r="AB50" s="215" t="n"/>
      <c r="AC50" s="216" t="n"/>
      <c r="AE50" s="183" t="n"/>
      <c r="AF50" s="215" t="n"/>
      <c r="AG50" s="215" t="n"/>
      <c r="AH50" s="215" t="n"/>
      <c r="AI50" s="216" t="n"/>
      <c r="AK50" s="183" t="n"/>
      <c r="AL50" s="215" t="n"/>
      <c r="AM50" s="215" t="n"/>
      <c r="AN50" s="215" t="n"/>
      <c r="AO50" s="216" t="n"/>
      <c r="AQ50" s="183" t="n"/>
      <c r="AR50" s="215" t="n"/>
      <c r="AS50" s="215" t="n"/>
      <c r="AT50" s="215" t="n"/>
      <c r="AU50" s="216" t="n"/>
      <c r="AW50" s="183" t="n"/>
      <c r="AX50" s="215" t="n"/>
      <c r="AY50" s="215" t="n"/>
      <c r="AZ50" s="215" t="n"/>
      <c r="BA50" s="216" t="n"/>
      <c r="BC50" s="183" t="n"/>
      <c r="BD50" s="215" t="n"/>
      <c r="BE50" s="215" t="n"/>
      <c r="BF50" s="215" t="n"/>
      <c r="BG50" s="216" t="n"/>
      <c r="BI50" s="183" t="n"/>
      <c r="BJ50" s="215" t="n"/>
      <c r="BK50" s="215" t="n"/>
      <c r="BL50" s="215" t="n"/>
      <c r="BM50" s="216" t="n"/>
      <c r="BO50" s="183" t="n"/>
      <c r="BP50" s="215" t="n"/>
      <c r="BQ50" s="215" t="n"/>
      <c r="BR50" s="215" t="n"/>
      <c r="BS50" s="216" t="n"/>
      <c r="BU50" s="183" t="n"/>
      <c r="BV50" s="215" t="n"/>
      <c r="BW50" s="215" t="n"/>
      <c r="BX50" s="215" t="n"/>
      <c r="BY50" s="216" t="n"/>
      <c r="CA50" s="183" t="n"/>
      <c r="CB50" s="215" t="n"/>
      <c r="CC50" s="215" t="n"/>
      <c r="CD50" s="215" t="n"/>
      <c r="CE50" s="216" t="n"/>
      <c r="CG50" s="183" t="n"/>
      <c r="CH50" s="215" t="n"/>
      <c r="CI50" s="215" t="n"/>
      <c r="CJ50" s="215" t="n"/>
      <c r="CK50" s="216" t="n"/>
      <c r="CM50" s="183" t="n"/>
      <c r="CN50" s="215" t="n"/>
      <c r="CO50" s="215" t="n"/>
      <c r="CP50" s="215" t="n"/>
      <c r="CQ50" s="216" t="n"/>
      <c r="CS50" s="183" t="n"/>
      <c r="CT50" s="215" t="n"/>
      <c r="CU50" s="215" t="n"/>
      <c r="CV50" s="215" t="n"/>
      <c r="CW50" s="216" t="n"/>
      <c r="CY50" s="183" t="n"/>
      <c r="CZ50" s="215" t="n"/>
      <c r="DA50" s="215" t="n"/>
      <c r="DB50" s="215" t="n"/>
      <c r="DC50" s="216" t="n"/>
      <c r="DE50" s="183" t="n"/>
      <c r="DF50" s="215" t="n"/>
      <c r="DG50" s="215" t="n"/>
      <c r="DH50" s="215" t="n"/>
      <c r="DI50" s="216" t="n"/>
      <c r="DK50" s="183" t="n"/>
      <c r="DL50" s="215" t="n"/>
      <c r="DM50" s="215" t="n"/>
      <c r="DN50" s="215" t="n"/>
      <c r="DO50" s="216" t="n"/>
      <c r="DQ50" s="183" t="n"/>
      <c r="DR50" s="215" t="n"/>
      <c r="DS50" s="215" t="n"/>
      <c r="DT50" s="215" t="n"/>
      <c r="DU50" s="216" t="n"/>
      <c r="DW50" s="183" t="n"/>
      <c r="DX50" s="215" t="n"/>
      <c r="DY50" s="215" t="n"/>
      <c r="DZ50" s="215" t="n"/>
      <c r="EA50" s="216" t="n"/>
      <c r="EC50" s="183" t="n"/>
      <c r="ED50" s="215" t="n"/>
      <c r="EE50" s="215" t="n"/>
      <c r="EF50" s="215" t="n"/>
      <c r="EG50" s="216" t="n"/>
      <c r="EI50" s="183" t="n"/>
      <c r="EJ50" s="215" t="n"/>
      <c r="EK50" s="215" t="n"/>
      <c r="EL50" s="215" t="n"/>
      <c r="EM50" s="216" t="n"/>
      <c r="EO50" s="183" t="n"/>
      <c r="EP50" s="215" t="n"/>
      <c r="EQ50" s="215" t="n"/>
      <c r="ER50" s="215" t="n"/>
      <c r="ES50" s="216" t="n"/>
      <c r="EU50" s="183" t="n"/>
      <c r="EV50" s="215" t="n"/>
      <c r="EW50" s="215" t="n"/>
      <c r="EX50" s="215" t="n"/>
      <c r="EY50" s="216" t="n"/>
      <c r="FA50" s="183" t="n"/>
      <c r="FB50" s="215" t="n"/>
      <c r="FC50" s="215" t="n"/>
      <c r="FD50" s="215" t="n"/>
      <c r="FE50" s="216" t="n"/>
      <c r="FG50" s="183" t="n"/>
      <c r="FH50" s="215" t="n"/>
      <c r="FI50" s="215" t="n"/>
      <c r="FJ50" s="215" t="n"/>
      <c r="FK50" s="216" t="n"/>
      <c r="FM50" s="183" t="n"/>
      <c r="FN50" s="215" t="n"/>
      <c r="FO50" s="215" t="n"/>
      <c r="FP50" s="215" t="n"/>
      <c r="FQ50" s="216" t="n"/>
      <c r="FS50" s="183" t="n"/>
      <c r="FT50" s="215" t="n"/>
      <c r="FU50" s="215" t="n"/>
      <c r="FV50" s="215" t="n"/>
      <c r="FW50" s="216" t="n"/>
      <c r="FY50" s="183" t="n"/>
      <c r="FZ50" s="215" t="n"/>
      <c r="GA50" s="215" t="n"/>
      <c r="GB50" s="215" t="n"/>
      <c r="GC50" s="216" t="n"/>
      <c r="GE50" s="183" t="n"/>
      <c r="GF50" s="215" t="n"/>
      <c r="GG50" s="215" t="n"/>
      <c r="GH50" s="215" t="n"/>
      <c r="GI50" s="216" t="n"/>
      <c r="GK50" s="183" t="inlineStr">
        <is>
          <t>Beginning Balance</t>
        </is>
      </c>
      <c r="GL50" s="215">
        <f t="array" ref="GL50">index('XRP Yield Fund'!$A$8:$LL$1006,MATCH(GK$10,'XRP Yield Fund'!$A$8:$A$1006,0),MATCH(IF(GO48&gt;$D$2,GO48,$D$2),'XRP Yield Fund'!$A$8:$LL$8,0))</f>
        <v/>
      </c>
      <c r="GM50" s="215">
        <f t="array" ref="GM50">index('XRP Yield Fund'!$A$8:$LL$1006,MATCH(GK$10,'XRP Yield Fund'!$A$8:$A$1006,0),MATCH(IF(GO48&gt;$D$3,GO48,$D$3),'XRP Yield Fund'!$A$8:$LL$8,0))</f>
        <v/>
      </c>
      <c r="GN50" s="215">
        <f t="array" ref="GN50">index('XRP Yield Fund'!$A$8:$LL$1006,MATCH(GK$10,'XRP Yield Fund'!$A$8:$A$1006,0),MATCH(IF(GO48&gt;$D$4,GO48,$D$4),'XRP Yield Fund'!$A$8:$LL$8,0))</f>
        <v/>
      </c>
      <c r="GO50" s="216">
        <f t="array" ref="GO50">index('XRP Yield Fund'!$A$8:$LL$1006,MATCH(GK$10,'XRP Yield Fund'!$A$8:$A$1006,0),MATCH(GO48,'XRP Yield Fund'!$A$8:$LL$8,0))</f>
        <v/>
      </c>
      <c r="GQ50" s="183" t="inlineStr">
        <is>
          <t>Beginning Balance</t>
        </is>
      </c>
      <c r="GR50" s="215">
        <f t="array" ref="GR50">index('XRP Yield Fund'!$A$8:$LL$1006,MATCH(GQ$10,'XRP Yield Fund'!$A$8:$A$1006,0),MATCH(IF(GU48&gt;$D$2,GU48,$D$2),'XRP Yield Fund'!$A$8:$LL$8,0))</f>
        <v/>
      </c>
      <c r="GS50" s="215">
        <f t="array" ref="GS50">index('XRP Yield Fund'!$A$8:$LL$1006,MATCH(GQ$10,'XRP Yield Fund'!$A$8:$A$1006,0),MATCH(IF(GU48&gt;$D$3,GU48,$D$3),'XRP Yield Fund'!$A$8:$LL$8,0))</f>
        <v/>
      </c>
      <c r="GT50" s="215">
        <f t="array" ref="GT50">index('XRP Yield Fund'!$A$8:$LL$1006,MATCH(GQ$10,'XRP Yield Fund'!$A$8:$A$1006,0),MATCH(IF(GU48&gt;$D$4,GU48,$D$4),'XRP Yield Fund'!$A$8:$LL$8,0))</f>
        <v/>
      </c>
      <c r="GU50" s="216">
        <f t="array" ref="GU50">index('XRP Yield Fund'!$A$8:$LL$1006,MATCH(GQ$10,'XRP Yield Fund'!$A$8:$A$1006,0),MATCH(GU48,'XRP Yield Fund'!$A$8:$LL$8,0))</f>
        <v/>
      </c>
      <c r="GW50" s="183" t="n"/>
      <c r="GX50" s="215" t="n"/>
      <c r="GY50" s="215" t="n"/>
      <c r="GZ50" s="215" t="n"/>
      <c r="HA50" s="216" t="n"/>
      <c r="HC50" s="183" t="n"/>
      <c r="HD50" s="215" t="n"/>
      <c r="HE50" s="215" t="n"/>
      <c r="HF50" s="215" t="n"/>
      <c r="HG50" s="216" t="n"/>
      <c r="HI50" s="183" t="n"/>
      <c r="HJ50" s="215" t="n"/>
      <c r="HK50" s="215" t="n"/>
      <c r="HL50" s="215" t="n"/>
      <c r="HM50" s="216" t="n"/>
      <c r="HO50" s="183" t="n"/>
      <c r="HP50" s="215" t="n"/>
      <c r="HQ50" s="215" t="n"/>
      <c r="HR50" s="215" t="n"/>
      <c r="HS50" s="216" t="n"/>
      <c r="HU50" s="183" t="n"/>
      <c r="HV50" s="215" t="n"/>
      <c r="HW50" s="215" t="n"/>
      <c r="HX50" s="215" t="n"/>
      <c r="HY50" s="216" t="n"/>
      <c r="IA50" s="183" t="n"/>
      <c r="IB50" s="215" t="n"/>
      <c r="IC50" s="215" t="n"/>
      <c r="ID50" s="215" t="n"/>
      <c r="IE50" s="216" t="n"/>
      <c r="IG50" s="183" t="n"/>
      <c r="IH50" s="215" t="n"/>
      <c r="II50" s="215" t="n"/>
      <c r="IJ50" s="215" t="n"/>
      <c r="IK50" s="216" t="n"/>
      <c r="IM50" s="183" t="n"/>
      <c r="IN50" s="215" t="n"/>
      <c r="IO50" s="215" t="n"/>
      <c r="IP50" s="215" t="n"/>
      <c r="IQ50" s="216" t="n"/>
      <c r="IS50" s="183" t="n"/>
      <c r="IT50" s="215" t="n"/>
      <c r="IU50" s="215" t="n"/>
      <c r="IV50" s="215" t="n"/>
      <c r="IW50" s="216" t="n"/>
      <c r="IY50" s="183" t="n"/>
      <c r="IZ50" s="215" t="n"/>
      <c r="JA50" s="215" t="n"/>
      <c r="JB50" s="215" t="n"/>
      <c r="JC50" s="216" t="n"/>
    </row>
    <row r="51" ht="15.75" customHeight="1" s="252">
      <c r="A51" s="188" t="n"/>
      <c r="B51" s="220" t="n"/>
      <c r="C51" s="220" t="n"/>
      <c r="D51" s="220" t="n"/>
      <c r="E51" s="221" t="n"/>
      <c r="G51" s="188" t="n"/>
      <c r="H51" s="220" t="n"/>
      <c r="I51" s="220" t="n"/>
      <c r="J51" s="220" t="n"/>
      <c r="K51" s="221" t="n"/>
      <c r="M51" s="188" t="n"/>
      <c r="N51" s="220" t="n"/>
      <c r="O51" s="220" t="n"/>
      <c r="P51" s="220" t="n"/>
      <c r="Q51" s="221" t="n"/>
      <c r="S51" s="188" t="n"/>
      <c r="T51" s="220" t="n"/>
      <c r="U51" s="220" t="n"/>
      <c r="V51" s="220" t="n"/>
      <c r="W51" s="221" t="n"/>
      <c r="Y51" s="188" t="n"/>
      <c r="Z51" s="220" t="n"/>
      <c r="AA51" s="220" t="n"/>
      <c r="AB51" s="220" t="n"/>
      <c r="AC51" s="221" t="n"/>
      <c r="AE51" s="188" t="n"/>
      <c r="AF51" s="220" t="n"/>
      <c r="AG51" s="220" t="n"/>
      <c r="AH51" s="220" t="n"/>
      <c r="AI51" s="221" t="n"/>
      <c r="AK51" s="188" t="n"/>
      <c r="AL51" s="220" t="n"/>
      <c r="AM51" s="220" t="n"/>
      <c r="AN51" s="220" t="n"/>
      <c r="AO51" s="221" t="n"/>
      <c r="AQ51" s="188" t="n"/>
      <c r="AR51" s="220" t="n"/>
      <c r="AS51" s="220" t="n"/>
      <c r="AT51" s="220" t="n"/>
      <c r="AU51" s="221" t="n"/>
      <c r="AW51" s="188" t="n"/>
      <c r="AX51" s="220" t="n"/>
      <c r="AY51" s="220" t="n"/>
      <c r="AZ51" s="220" t="n"/>
      <c r="BA51" s="221" t="n"/>
      <c r="BC51" s="188" t="n"/>
      <c r="BD51" s="220" t="n"/>
      <c r="BE51" s="220" t="n"/>
      <c r="BF51" s="220" t="n"/>
      <c r="BG51" s="221" t="n"/>
      <c r="BI51" s="188" t="n"/>
      <c r="BJ51" s="220" t="n"/>
      <c r="BK51" s="220" t="n"/>
      <c r="BL51" s="220" t="n"/>
      <c r="BM51" s="221" t="n"/>
      <c r="BO51" s="188" t="n"/>
      <c r="BP51" s="220" t="n"/>
      <c r="BQ51" s="220" t="n"/>
      <c r="BR51" s="220" t="n"/>
      <c r="BS51" s="221" t="n"/>
      <c r="BU51" s="188" t="n"/>
      <c r="BV51" s="220" t="n"/>
      <c r="BW51" s="220" t="n"/>
      <c r="BX51" s="220" t="n"/>
      <c r="BY51" s="221" t="n"/>
      <c r="CA51" s="188" t="n"/>
      <c r="CB51" s="220" t="n"/>
      <c r="CC51" s="220" t="n"/>
      <c r="CD51" s="220" t="n"/>
      <c r="CE51" s="221" t="n"/>
      <c r="CG51" s="188" t="n"/>
      <c r="CH51" s="220" t="n"/>
      <c r="CI51" s="220" t="n"/>
      <c r="CJ51" s="220" t="n"/>
      <c r="CK51" s="221" t="n"/>
      <c r="CM51" s="188" t="n"/>
      <c r="CN51" s="220" t="n"/>
      <c r="CO51" s="220" t="n"/>
      <c r="CP51" s="220" t="n"/>
      <c r="CQ51" s="221" t="n"/>
      <c r="CS51" s="188" t="n"/>
      <c r="CT51" s="220" t="n"/>
      <c r="CU51" s="220" t="n"/>
      <c r="CV51" s="220" t="n"/>
      <c r="CW51" s="221" t="n"/>
      <c r="CY51" s="188" t="n"/>
      <c r="CZ51" s="220" t="n"/>
      <c r="DA51" s="220" t="n"/>
      <c r="DB51" s="220" t="n"/>
      <c r="DC51" s="221" t="n"/>
      <c r="DE51" s="188" t="n"/>
      <c r="DF51" s="220" t="n"/>
      <c r="DG51" s="220" t="n"/>
      <c r="DH51" s="220" t="n"/>
      <c r="DI51" s="221" t="n"/>
      <c r="DK51" s="188" t="n"/>
      <c r="DL51" s="220" t="n"/>
      <c r="DM51" s="220" t="n"/>
      <c r="DN51" s="220" t="n"/>
      <c r="DO51" s="221" t="n"/>
      <c r="DQ51" s="188" t="n"/>
      <c r="DR51" s="220" t="n"/>
      <c r="DS51" s="220" t="n"/>
      <c r="DT51" s="220" t="n"/>
      <c r="DU51" s="221" t="n"/>
      <c r="DW51" s="188" t="n"/>
      <c r="DX51" s="220" t="n"/>
      <c r="DY51" s="220" t="n"/>
      <c r="DZ51" s="220" t="n"/>
      <c r="EA51" s="221" t="n"/>
      <c r="EC51" s="188" t="n"/>
      <c r="ED51" s="220" t="n"/>
      <c r="EE51" s="220" t="n"/>
      <c r="EF51" s="220" t="n"/>
      <c r="EG51" s="221" t="n"/>
      <c r="EI51" s="188" t="n"/>
      <c r="EJ51" s="220" t="n"/>
      <c r="EK51" s="220" t="n"/>
      <c r="EL51" s="220" t="n"/>
      <c r="EM51" s="221" t="n"/>
      <c r="EO51" s="188" t="n"/>
      <c r="EP51" s="220" t="n"/>
      <c r="EQ51" s="220" t="n"/>
      <c r="ER51" s="220" t="n"/>
      <c r="ES51" s="221" t="n"/>
      <c r="EU51" s="188" t="n"/>
      <c r="EV51" s="220" t="n"/>
      <c r="EW51" s="220" t="n"/>
      <c r="EX51" s="220" t="n"/>
      <c r="EY51" s="221" t="n"/>
      <c r="FA51" s="188" t="n"/>
      <c r="FB51" s="220" t="n"/>
      <c r="FC51" s="220" t="n"/>
      <c r="FD51" s="220" t="n"/>
      <c r="FE51" s="221" t="n"/>
      <c r="FG51" s="188" t="n"/>
      <c r="FH51" s="220" t="n"/>
      <c r="FI51" s="220" t="n"/>
      <c r="FJ51" s="220" t="n"/>
      <c r="FK51" s="221" t="n"/>
      <c r="FM51" s="188" t="n"/>
      <c r="FN51" s="220" t="n"/>
      <c r="FO51" s="220" t="n"/>
      <c r="FP51" s="220" t="n"/>
      <c r="FQ51" s="221" t="n"/>
      <c r="FS51" s="188" t="n"/>
      <c r="FT51" s="220" t="n"/>
      <c r="FU51" s="220" t="n"/>
      <c r="FV51" s="220" t="n"/>
      <c r="FW51" s="221" t="n"/>
      <c r="FY51" s="188" t="n"/>
      <c r="FZ51" s="220" t="n"/>
      <c r="GA51" s="220" t="n"/>
      <c r="GB51" s="220" t="n"/>
      <c r="GC51" s="221" t="n"/>
      <c r="GE51" s="188" t="n"/>
      <c r="GF51" s="220" t="n"/>
      <c r="GG51" s="220" t="n"/>
      <c r="GH51" s="220" t="n"/>
      <c r="GI51" s="221" t="n"/>
      <c r="GK51" s="188" t="inlineStr">
        <is>
          <t xml:space="preserve">Additions </t>
        </is>
      </c>
      <c r="GL51" s="220">
        <f>SUMIFS(Investments!$D:$D,Investments!$B:$B,GK$10,Investments!$C:$C,$A$5,Investments!$A:$A,"&gt;"&amp;IF(GO48&gt;$D$2,GO48,$D$2),Investments!$A:$A,"&lt;="&amp;$E$2,Investments!$D:$D,"&gt;"&amp;0)</f>
        <v/>
      </c>
      <c r="GM51" s="220">
        <f>SUMIFS(Investments!$D:$D,Investments!$B:$B,GK$10,Investments!$C:$C,$A$5,Investments!$A:$A,"&gt;"&amp;IF(GO48&gt;$D$3,GO48,$D$3),Investments!$A:$A,"&lt;="&amp;$E$3,Investments!$D:$D,"&gt;"&amp;0)</f>
        <v/>
      </c>
      <c r="GN51" s="220">
        <f>SUMIFS(Investments!$D:$D,Investments!$B:$B,GK$10,Investments!$C:$C,$A$5,Investments!$A:$A,"&gt;"&amp;IF(GO48&gt;$D$4,GO48,$D$4),Investments!$A:$A,"&lt;="&amp;$E$4,Investments!$D:$D,"&gt;"&amp;0)</f>
        <v/>
      </c>
      <c r="GO51" s="221">
        <f>SUMIFS(Investments!$D:$D,Investments!$B:$B,GK$10,Investments!$C:$C,$A$5,Investments!$A:$A,"&gt;"&amp;GO48,Investments!$A:$A,"&lt;="&amp;$E$4,Investments!$D:$D,"&gt;"&amp;0)</f>
        <v/>
      </c>
      <c r="GQ51" s="188" t="inlineStr">
        <is>
          <t xml:space="preserve">Additions </t>
        </is>
      </c>
      <c r="GR51" s="220">
        <f>SUMIFS(Investments!$D:$D,Investments!$B:$B,GQ$10,Investments!$C:$C,$A$5,Investments!$A:$A,"&gt;"&amp;IF(GU48&gt;$D$2,GU48,$D$2),Investments!$A:$A,"&lt;="&amp;$E$2,Investments!$D:$D,"&gt;"&amp;0)</f>
        <v/>
      </c>
      <c r="GS51" s="220">
        <f>SUMIFS(Investments!$D:$D,Investments!$B:$B,GQ$10,Investments!$C:$C,$A$5,Investments!$A:$A,"&gt;"&amp;IF(GU48&gt;$D$3,GU48,$D$3),Investments!$A:$A,"&lt;="&amp;$E$3,Investments!$D:$D,"&gt;"&amp;0)</f>
        <v/>
      </c>
      <c r="GT51" s="220">
        <f>SUMIFS(Investments!$D:$D,Investments!$B:$B,GQ$10,Investments!$C:$C,$A$5,Investments!$A:$A,"&gt;"&amp;IF(GU48&gt;$D$4,GU48,$D$4),Investments!$A:$A,"&lt;="&amp;$E$4,Investments!$D:$D,"&gt;"&amp;0)</f>
        <v/>
      </c>
      <c r="GU51" s="221">
        <f>SUMIFS(Investments!$D:$D,Investments!$B:$B,GQ$10,Investments!$C:$C,$A$5,Investments!$A:$A,"&gt;"&amp;GU48,Investments!$A:$A,"&lt;="&amp;$E$4,Investments!$D:$D,"&gt;"&amp;0)</f>
        <v/>
      </c>
      <c r="GW51" s="188" t="n"/>
      <c r="GX51" s="220" t="n"/>
      <c r="GY51" s="220" t="n"/>
      <c r="GZ51" s="220" t="n"/>
      <c r="HA51" s="221" t="n"/>
      <c r="HC51" s="188" t="n"/>
      <c r="HD51" s="220" t="n"/>
      <c r="HE51" s="220" t="n"/>
      <c r="HF51" s="220" t="n"/>
      <c r="HG51" s="221" t="n"/>
      <c r="HI51" s="188" t="n"/>
      <c r="HJ51" s="220" t="n"/>
      <c r="HK51" s="220" t="n"/>
      <c r="HL51" s="220" t="n"/>
      <c r="HM51" s="221" t="n"/>
      <c r="HO51" s="188" t="n"/>
      <c r="HP51" s="220" t="n"/>
      <c r="HQ51" s="220" t="n"/>
      <c r="HR51" s="220" t="n"/>
      <c r="HS51" s="221" t="n"/>
      <c r="HU51" s="188" t="n"/>
      <c r="HV51" s="220" t="n"/>
      <c r="HW51" s="220" t="n"/>
      <c r="HX51" s="220" t="n"/>
      <c r="HY51" s="221" t="n"/>
      <c r="IA51" s="188" t="n"/>
      <c r="IB51" s="220" t="n"/>
      <c r="IC51" s="220" t="n"/>
      <c r="ID51" s="220" t="n"/>
      <c r="IE51" s="221" t="n"/>
      <c r="IG51" s="188" t="n"/>
      <c r="IH51" s="220" t="n"/>
      <c r="II51" s="220" t="n"/>
      <c r="IJ51" s="220" t="n"/>
      <c r="IK51" s="221" t="n"/>
      <c r="IM51" s="188" t="n"/>
      <c r="IN51" s="220" t="n"/>
      <c r="IO51" s="220" t="n"/>
      <c r="IP51" s="220" t="n"/>
      <c r="IQ51" s="221" t="n"/>
      <c r="IS51" s="188" t="n"/>
      <c r="IT51" s="220" t="n"/>
      <c r="IU51" s="220" t="n"/>
      <c r="IV51" s="220" t="n"/>
      <c r="IW51" s="221" t="n"/>
      <c r="IY51" s="188" t="n"/>
      <c r="IZ51" s="220" t="n"/>
      <c r="JA51" s="220" t="n"/>
      <c r="JB51" s="220" t="n"/>
      <c r="JC51" s="221" t="n"/>
    </row>
    <row r="52" ht="15.75" customHeight="1" s="252">
      <c r="A52" s="188" t="n"/>
      <c r="B52" s="220" t="n"/>
      <c r="C52" s="220" t="n"/>
      <c r="D52" s="220" t="n"/>
      <c r="E52" s="221" t="n"/>
      <c r="G52" s="188" t="n"/>
      <c r="H52" s="220" t="n"/>
      <c r="I52" s="220" t="n"/>
      <c r="J52" s="220" t="n"/>
      <c r="K52" s="221" t="n"/>
      <c r="M52" s="188" t="n"/>
      <c r="N52" s="220" t="n"/>
      <c r="O52" s="220" t="n"/>
      <c r="P52" s="220" t="n"/>
      <c r="Q52" s="221" t="n"/>
      <c r="S52" s="188" t="n"/>
      <c r="T52" s="220" t="n"/>
      <c r="U52" s="220" t="n"/>
      <c r="V52" s="220" t="n"/>
      <c r="W52" s="221" t="n"/>
      <c r="Y52" s="188" t="n"/>
      <c r="Z52" s="220" t="n"/>
      <c r="AA52" s="220" t="n"/>
      <c r="AB52" s="220" t="n"/>
      <c r="AC52" s="221" t="n"/>
      <c r="AE52" s="188" t="n"/>
      <c r="AF52" s="220" t="n"/>
      <c r="AG52" s="220" t="n"/>
      <c r="AH52" s="220" t="n"/>
      <c r="AI52" s="221" t="n"/>
      <c r="AK52" s="188" t="n"/>
      <c r="AL52" s="220" t="n"/>
      <c r="AM52" s="220" t="n"/>
      <c r="AN52" s="220" t="n"/>
      <c r="AO52" s="221" t="n"/>
      <c r="AQ52" s="188" t="n"/>
      <c r="AR52" s="220" t="n"/>
      <c r="AS52" s="220" t="n"/>
      <c r="AT52" s="220" t="n"/>
      <c r="AU52" s="221" t="n"/>
      <c r="AW52" s="188" t="n"/>
      <c r="AX52" s="220" t="n"/>
      <c r="AY52" s="220" t="n"/>
      <c r="AZ52" s="220" t="n"/>
      <c r="BA52" s="221" t="n"/>
      <c r="BC52" s="188" t="n"/>
      <c r="BD52" s="220" t="n"/>
      <c r="BE52" s="220" t="n"/>
      <c r="BF52" s="220" t="n"/>
      <c r="BG52" s="221" t="n"/>
      <c r="BI52" s="188" t="n"/>
      <c r="BJ52" s="220" t="n"/>
      <c r="BK52" s="220" t="n"/>
      <c r="BL52" s="220" t="n"/>
      <c r="BM52" s="221" t="n"/>
      <c r="BO52" s="188" t="n"/>
      <c r="BP52" s="220" t="n"/>
      <c r="BQ52" s="220" t="n"/>
      <c r="BR52" s="220" t="n"/>
      <c r="BS52" s="221" t="n"/>
      <c r="BU52" s="188" t="n"/>
      <c r="BV52" s="220" t="n"/>
      <c r="BW52" s="220" t="n"/>
      <c r="BX52" s="220" t="n"/>
      <c r="BY52" s="221" t="n"/>
      <c r="CA52" s="188" t="n"/>
      <c r="CB52" s="220" t="n"/>
      <c r="CC52" s="220" t="n"/>
      <c r="CD52" s="220" t="n"/>
      <c r="CE52" s="221" t="n"/>
      <c r="CG52" s="188" t="n"/>
      <c r="CH52" s="220" t="n"/>
      <c r="CI52" s="220" t="n"/>
      <c r="CJ52" s="220" t="n"/>
      <c r="CK52" s="221" t="n"/>
      <c r="CM52" s="188" t="n"/>
      <c r="CN52" s="220" t="n"/>
      <c r="CO52" s="220" t="n"/>
      <c r="CP52" s="220" t="n"/>
      <c r="CQ52" s="221" t="n"/>
      <c r="CS52" s="188" t="n"/>
      <c r="CT52" s="220" t="n"/>
      <c r="CU52" s="220" t="n"/>
      <c r="CV52" s="220" t="n"/>
      <c r="CW52" s="221" t="n"/>
      <c r="CY52" s="188" t="n"/>
      <c r="CZ52" s="220" t="n"/>
      <c r="DA52" s="220" t="n"/>
      <c r="DB52" s="220" t="n"/>
      <c r="DC52" s="221" t="n"/>
      <c r="DE52" s="188" t="n"/>
      <c r="DF52" s="220" t="n"/>
      <c r="DG52" s="220" t="n"/>
      <c r="DH52" s="220" t="n"/>
      <c r="DI52" s="221" t="n"/>
      <c r="DK52" s="188" t="n"/>
      <c r="DL52" s="220" t="n"/>
      <c r="DM52" s="220" t="n"/>
      <c r="DN52" s="220" t="n"/>
      <c r="DO52" s="221" t="n"/>
      <c r="DQ52" s="188" t="n"/>
      <c r="DR52" s="220" t="n"/>
      <c r="DS52" s="220" t="n"/>
      <c r="DT52" s="220" t="n"/>
      <c r="DU52" s="221" t="n"/>
      <c r="DW52" s="188" t="n"/>
      <c r="DX52" s="220" t="n"/>
      <c r="DY52" s="220" t="n"/>
      <c r="DZ52" s="220" t="n"/>
      <c r="EA52" s="221" t="n"/>
      <c r="EC52" s="188" t="n"/>
      <c r="ED52" s="220" t="n"/>
      <c r="EE52" s="220" t="n"/>
      <c r="EF52" s="220" t="n"/>
      <c r="EG52" s="221" t="n"/>
      <c r="EI52" s="188" t="n"/>
      <c r="EJ52" s="220" t="n"/>
      <c r="EK52" s="220" t="n"/>
      <c r="EL52" s="220" t="n"/>
      <c r="EM52" s="221" t="n"/>
      <c r="EO52" s="188" t="n"/>
      <c r="EP52" s="220" t="n"/>
      <c r="EQ52" s="220" t="n"/>
      <c r="ER52" s="220" t="n"/>
      <c r="ES52" s="221" t="n"/>
      <c r="EU52" s="188" t="n"/>
      <c r="EV52" s="220" t="n"/>
      <c r="EW52" s="220" t="n"/>
      <c r="EX52" s="220" t="n"/>
      <c r="EY52" s="221" t="n"/>
      <c r="FA52" s="188" t="n"/>
      <c r="FB52" s="220" t="n"/>
      <c r="FC52" s="220" t="n"/>
      <c r="FD52" s="220" t="n"/>
      <c r="FE52" s="221" t="n"/>
      <c r="FG52" s="188" t="n"/>
      <c r="FH52" s="220" t="n"/>
      <c r="FI52" s="220" t="n"/>
      <c r="FJ52" s="220" t="n"/>
      <c r="FK52" s="221" t="n"/>
      <c r="FM52" s="188" t="n"/>
      <c r="FN52" s="220" t="n"/>
      <c r="FO52" s="220" t="n"/>
      <c r="FP52" s="220" t="n"/>
      <c r="FQ52" s="221" t="n"/>
      <c r="FS52" s="188" t="n"/>
      <c r="FT52" s="220" t="n"/>
      <c r="FU52" s="220" t="n"/>
      <c r="FV52" s="220" t="n"/>
      <c r="FW52" s="221" t="n"/>
      <c r="FY52" s="188" t="n"/>
      <c r="FZ52" s="220" t="n"/>
      <c r="GA52" s="220" t="n"/>
      <c r="GB52" s="220" t="n"/>
      <c r="GC52" s="221" t="n"/>
      <c r="GE52" s="188" t="n"/>
      <c r="GF52" s="220" t="n"/>
      <c r="GG52" s="220" t="n"/>
      <c r="GH52" s="220" t="n"/>
      <c r="GI52" s="221" t="n"/>
      <c r="GK52" s="188" t="inlineStr">
        <is>
          <t>Redemptions</t>
        </is>
      </c>
      <c r="GL52" s="220">
        <f>SUMIFS(Investments!$D:$D,Investments!$B:$B,GK$10,Investments!$C:$C,$A$5,Investments!$A:$A,"&gt;"&amp;IF(GO48&gt;$D$2,GO48,$D$2),Investments!$A:$A,"&lt;"&amp;$E$2,Investments!$D:$D,"&lt;"&amp;0)</f>
        <v/>
      </c>
      <c r="GM52" s="220">
        <f>SUMIFS(Investments!$D:$D,Investments!$B:$B,GK$10,Investments!$C:$C,$A$5,Investments!$A:$A,"&gt;"&amp;IF(GO48&gt;$D$3,GO48,$D$3),Investments!$A:$A,"&lt;="&amp;$E$3,Investments!$D:$D,"&lt;"&amp;0)</f>
        <v/>
      </c>
      <c r="GN52" s="220">
        <f>SUMIFS(Investments!$D:$D,Investments!$B:$B,GK$10,Investments!$C:$C,$A$5,Investments!$A:$A,"&gt;"&amp;IF(GO48&gt;$D$4,GO48,$D$4),Investments!$A:$A,"&lt;="&amp;$E$4,Investments!$D:$D,"&lt;"&amp;0)</f>
        <v/>
      </c>
      <c r="GO52" s="221">
        <f>SUMIFS(Investments!$D:$D,Investments!$B:$B,GK$10,Investments!$C:$C,$A$5,Investments!$A:$A,"&gt;"&amp;GO48,Investments!$A:$A,"&lt;="&amp;$E$4,Investments!$D:$D,"&lt;"&amp;0)</f>
        <v/>
      </c>
      <c r="GQ52" s="188" t="inlineStr">
        <is>
          <t>Redemptions</t>
        </is>
      </c>
      <c r="GR52" s="220">
        <f>SUMIFS(Investments!$D:$D,Investments!$B:$B,GQ$10,Investments!$C:$C,$A$5,Investments!$A:$A,"&gt;"&amp;IF(GU48&gt;$D$2,GU48,$D$2),Investments!$A:$A,"&lt;"&amp;$E$2,Investments!$D:$D,"&lt;"&amp;0)</f>
        <v/>
      </c>
      <c r="GS52" s="220">
        <f>SUMIFS(Investments!$D:$D,Investments!$B:$B,GQ$10,Investments!$C:$C,$A$5,Investments!$A:$A,"&gt;"&amp;IF(GU48&gt;$D$3,GU48,$D$3),Investments!$A:$A,"&lt;="&amp;$E$3,Investments!$D:$D,"&lt;"&amp;0)</f>
        <v/>
      </c>
      <c r="GT52" s="220">
        <f>SUMIFS(Investments!$D:$D,Investments!$B:$B,GQ$10,Investments!$C:$C,$A$5,Investments!$A:$A,"&gt;"&amp;IF(GU48&gt;$D$4,GU48,$D$4),Investments!$A:$A,"&lt;="&amp;$E$4,Investments!$D:$D,"&lt;"&amp;0)</f>
        <v/>
      </c>
      <c r="GU52" s="221">
        <f>SUMIFS(Investments!$D:$D,Investments!$B:$B,GQ$10,Investments!$C:$C,$A$5,Investments!$A:$A,"&gt;"&amp;GU48,Investments!$A:$A,"&lt;="&amp;$E$4,Investments!$D:$D,"&lt;"&amp;0)</f>
        <v/>
      </c>
      <c r="GW52" s="188" t="n"/>
      <c r="GX52" s="220" t="n"/>
      <c r="GY52" s="220" t="n"/>
      <c r="GZ52" s="220" t="n"/>
      <c r="HA52" s="221" t="n"/>
      <c r="HC52" s="188" t="n"/>
      <c r="HD52" s="220" t="n"/>
      <c r="HE52" s="220" t="n"/>
      <c r="HF52" s="220" t="n"/>
      <c r="HG52" s="221" t="n"/>
      <c r="HI52" s="188" t="n"/>
      <c r="HJ52" s="220" t="n"/>
      <c r="HK52" s="220" t="n"/>
      <c r="HL52" s="220" t="n"/>
      <c r="HM52" s="221" t="n"/>
      <c r="HO52" s="188" t="n"/>
      <c r="HP52" s="220" t="n"/>
      <c r="HQ52" s="220" t="n"/>
      <c r="HR52" s="220" t="n"/>
      <c r="HS52" s="221" t="n"/>
      <c r="HU52" s="188" t="n"/>
      <c r="HV52" s="220" t="n"/>
      <c r="HW52" s="220" t="n"/>
      <c r="HX52" s="220" t="n"/>
      <c r="HY52" s="221" t="n"/>
      <c r="IA52" s="188" t="n"/>
      <c r="IB52" s="220" t="n"/>
      <c r="IC52" s="220" t="n"/>
      <c r="ID52" s="220" t="n"/>
      <c r="IE52" s="221" t="n"/>
      <c r="IG52" s="188" t="n"/>
      <c r="IH52" s="220" t="n"/>
      <c r="II52" s="220" t="n"/>
      <c r="IJ52" s="220" t="n"/>
      <c r="IK52" s="221" t="n"/>
      <c r="IM52" s="188" t="n"/>
      <c r="IN52" s="220" t="n"/>
      <c r="IO52" s="220" t="n"/>
      <c r="IP52" s="220" t="n"/>
      <c r="IQ52" s="221" t="n"/>
      <c r="IS52" s="188" t="n"/>
      <c r="IT52" s="220" t="n"/>
      <c r="IU52" s="220" t="n"/>
      <c r="IV52" s="220" t="n"/>
      <c r="IW52" s="221" t="n"/>
      <c r="IY52" s="188" t="n"/>
      <c r="IZ52" s="220" t="n"/>
      <c r="JA52" s="220" t="n"/>
      <c r="JB52" s="220" t="n"/>
      <c r="JC52" s="221" t="n"/>
    </row>
    <row r="53" ht="15.75" customHeight="1" s="252">
      <c r="A53" s="188" t="n"/>
      <c r="B53" s="189" t="n"/>
      <c r="C53" s="189" t="n"/>
      <c r="D53" s="189" t="n"/>
      <c r="E53" s="190" t="n"/>
      <c r="G53" s="188" t="n"/>
      <c r="H53" s="189" t="n"/>
      <c r="I53" s="189" t="n"/>
      <c r="J53" s="189" t="n"/>
      <c r="K53" s="190" t="n"/>
      <c r="M53" s="188" t="n"/>
      <c r="N53" s="189" t="n"/>
      <c r="O53" s="189" t="n"/>
      <c r="P53" s="189" t="n"/>
      <c r="Q53" s="190" t="n"/>
      <c r="S53" s="188" t="n"/>
      <c r="T53" s="189" t="n"/>
      <c r="U53" s="189" t="n"/>
      <c r="V53" s="189" t="n"/>
      <c r="W53" s="190" t="n"/>
      <c r="Y53" s="188" t="n"/>
      <c r="Z53" s="189" t="n"/>
      <c r="AA53" s="189" t="n"/>
      <c r="AB53" s="189" t="n"/>
      <c r="AC53" s="190" t="n"/>
      <c r="AE53" s="188" t="n"/>
      <c r="AF53" s="189" t="n"/>
      <c r="AG53" s="189" t="n"/>
      <c r="AH53" s="189" t="n"/>
      <c r="AI53" s="190" t="n"/>
      <c r="AK53" s="188" t="n"/>
      <c r="AL53" s="189" t="n"/>
      <c r="AM53" s="189" t="n"/>
      <c r="AN53" s="189" t="n"/>
      <c r="AO53" s="190" t="n"/>
      <c r="AQ53" s="188" t="n"/>
      <c r="AR53" s="189" t="n"/>
      <c r="AS53" s="189" t="n"/>
      <c r="AT53" s="189" t="n"/>
      <c r="AU53" s="190" t="n"/>
      <c r="AW53" s="188" t="n"/>
      <c r="AX53" s="189" t="n"/>
      <c r="AY53" s="189" t="n"/>
      <c r="AZ53" s="189" t="n"/>
      <c r="BA53" s="190" t="n"/>
      <c r="BC53" s="188" t="n"/>
      <c r="BD53" s="189" t="n"/>
      <c r="BE53" s="189" t="n"/>
      <c r="BF53" s="189" t="n"/>
      <c r="BG53" s="190" t="n"/>
      <c r="BI53" s="188" t="n"/>
      <c r="BJ53" s="189" t="n"/>
      <c r="BK53" s="189" t="n"/>
      <c r="BL53" s="189" t="n"/>
      <c r="BM53" s="190" t="n"/>
      <c r="BO53" s="188" t="n"/>
      <c r="BP53" s="189" t="n"/>
      <c r="BQ53" s="189" t="n"/>
      <c r="BR53" s="189" t="n"/>
      <c r="BS53" s="190" t="n"/>
      <c r="BU53" s="188" t="n"/>
      <c r="BV53" s="189" t="n"/>
      <c r="BW53" s="189" t="n"/>
      <c r="BX53" s="189" t="n"/>
      <c r="BY53" s="190" t="n"/>
      <c r="CA53" s="188" t="n"/>
      <c r="CB53" s="189" t="n"/>
      <c r="CC53" s="189" t="n"/>
      <c r="CD53" s="189" t="n"/>
      <c r="CE53" s="190" t="n"/>
      <c r="CG53" s="188" t="n"/>
      <c r="CH53" s="189" t="n"/>
      <c r="CI53" s="189" t="n"/>
      <c r="CJ53" s="189" t="n"/>
      <c r="CK53" s="190" t="n"/>
      <c r="CM53" s="188" t="n"/>
      <c r="CN53" s="189" t="n"/>
      <c r="CO53" s="189" t="n"/>
      <c r="CP53" s="189" t="n"/>
      <c r="CQ53" s="190" t="n"/>
      <c r="CS53" s="188" t="n"/>
      <c r="CT53" s="189" t="n"/>
      <c r="CU53" s="189" t="n"/>
      <c r="CV53" s="189" t="n"/>
      <c r="CW53" s="190" t="n"/>
      <c r="CY53" s="188" t="n"/>
      <c r="CZ53" s="189" t="n"/>
      <c r="DA53" s="189" t="n"/>
      <c r="DB53" s="189" t="n"/>
      <c r="DC53" s="190" t="n"/>
      <c r="DE53" s="188" t="n"/>
      <c r="DF53" s="189" t="n"/>
      <c r="DG53" s="189" t="n"/>
      <c r="DH53" s="189" t="n"/>
      <c r="DI53" s="190" t="n"/>
      <c r="DK53" s="188" t="n"/>
      <c r="DL53" s="189" t="n"/>
      <c r="DM53" s="189" t="n"/>
      <c r="DN53" s="189" t="n"/>
      <c r="DO53" s="190" t="n"/>
      <c r="DQ53" s="188" t="n"/>
      <c r="DR53" s="189" t="n"/>
      <c r="DS53" s="189" t="n"/>
      <c r="DT53" s="189" t="n"/>
      <c r="DU53" s="190" t="n"/>
      <c r="DW53" s="188" t="n"/>
      <c r="DX53" s="189" t="n"/>
      <c r="DY53" s="189" t="n"/>
      <c r="DZ53" s="189" t="n"/>
      <c r="EA53" s="190" t="n"/>
      <c r="EC53" s="188" t="n"/>
      <c r="ED53" s="189" t="n"/>
      <c r="EE53" s="189" t="n"/>
      <c r="EF53" s="189" t="n"/>
      <c r="EG53" s="190" t="n"/>
      <c r="EI53" s="188" t="n"/>
      <c r="EJ53" s="189" t="n"/>
      <c r="EK53" s="189" t="n"/>
      <c r="EL53" s="189" t="n"/>
      <c r="EM53" s="190" t="n"/>
      <c r="EO53" s="188" t="n"/>
      <c r="EP53" s="189" t="n"/>
      <c r="EQ53" s="189" t="n"/>
      <c r="ER53" s="189" t="n"/>
      <c r="ES53" s="190" t="n"/>
      <c r="EU53" s="188" t="n"/>
      <c r="EV53" s="189" t="n"/>
      <c r="EW53" s="189" t="n"/>
      <c r="EX53" s="189" t="n"/>
      <c r="EY53" s="190" t="n"/>
      <c r="FA53" s="188" t="n"/>
      <c r="FB53" s="189" t="n"/>
      <c r="FC53" s="189" t="n"/>
      <c r="FD53" s="189" t="n"/>
      <c r="FE53" s="190" t="n"/>
      <c r="FG53" s="188" t="n"/>
      <c r="FH53" s="189" t="n"/>
      <c r="FI53" s="189" t="n"/>
      <c r="FJ53" s="189" t="n"/>
      <c r="FK53" s="190" t="n"/>
      <c r="FM53" s="188" t="n"/>
      <c r="FN53" s="189" t="n"/>
      <c r="FO53" s="189" t="n"/>
      <c r="FP53" s="189" t="n"/>
      <c r="FQ53" s="190" t="n"/>
      <c r="FS53" s="188" t="n"/>
      <c r="FT53" s="189" t="n"/>
      <c r="FU53" s="189" t="n"/>
      <c r="FV53" s="189" t="n"/>
      <c r="FW53" s="190" t="n"/>
      <c r="FY53" s="188" t="n"/>
      <c r="FZ53" s="189" t="n"/>
      <c r="GA53" s="189" t="n"/>
      <c r="GB53" s="189" t="n"/>
      <c r="GC53" s="190" t="n"/>
      <c r="GE53" s="188" t="n"/>
      <c r="GF53" s="189" t="n"/>
      <c r="GG53" s="189" t="n"/>
      <c r="GH53" s="189" t="n"/>
      <c r="GI53" s="190" t="n"/>
      <c r="GK53" s="188" t="inlineStr">
        <is>
          <t>Net Income</t>
        </is>
      </c>
      <c r="GL53" s="220">
        <f>GL54-GL50-GL52-GL51</f>
        <v/>
      </c>
      <c r="GM53" s="220">
        <f>GM54-GM50-GM52-GM51</f>
        <v/>
      </c>
      <c r="GN53" s="220">
        <f>GN54-GN50-GN52-GN51</f>
        <v/>
      </c>
      <c r="GO53" s="221">
        <f>GO54-GO50-GO52-GO51</f>
        <v/>
      </c>
      <c r="GQ53" s="188" t="inlineStr">
        <is>
          <t>Net Income</t>
        </is>
      </c>
      <c r="GR53" s="220">
        <f>GR54-GR50-GR52-GR51</f>
        <v/>
      </c>
      <c r="GS53" s="220">
        <f>GS54-GS50-GS52-GS51</f>
        <v/>
      </c>
      <c r="GT53" s="220">
        <f>GT54-GT50-GT52-GT51</f>
        <v/>
      </c>
      <c r="GU53" s="221">
        <f>GU54-GU50-GU52-GU51</f>
        <v/>
      </c>
      <c r="GW53" s="188" t="n"/>
      <c r="GX53" s="189" t="n"/>
      <c r="GY53" s="189" t="n"/>
      <c r="GZ53" s="189" t="n"/>
      <c r="HA53" s="190" t="n"/>
      <c r="HC53" s="188" t="n"/>
      <c r="HD53" s="189" t="n"/>
      <c r="HE53" s="189" t="n"/>
      <c r="HF53" s="189" t="n"/>
      <c r="HG53" s="190" t="n"/>
      <c r="HI53" s="188" t="n"/>
      <c r="HJ53" s="189" t="n"/>
      <c r="HK53" s="189" t="n"/>
      <c r="HL53" s="189" t="n"/>
      <c r="HM53" s="190" t="n"/>
      <c r="HO53" s="188" t="n"/>
      <c r="HP53" s="189" t="n"/>
      <c r="HQ53" s="189" t="n"/>
      <c r="HR53" s="189" t="n"/>
      <c r="HS53" s="190" t="n"/>
      <c r="HU53" s="188" t="n"/>
      <c r="HV53" s="189" t="n"/>
      <c r="HW53" s="189" t="n"/>
      <c r="HX53" s="189" t="n"/>
      <c r="HY53" s="190" t="n"/>
      <c r="IA53" s="188" t="n"/>
      <c r="IB53" s="189" t="n"/>
      <c r="IC53" s="189" t="n"/>
      <c r="ID53" s="189" t="n"/>
      <c r="IE53" s="190" t="n"/>
      <c r="IG53" s="188" t="n"/>
      <c r="IH53" s="189" t="n"/>
      <c r="II53" s="189" t="n"/>
      <c r="IJ53" s="189" t="n"/>
      <c r="IK53" s="190" t="n"/>
      <c r="IM53" s="188" t="n"/>
      <c r="IN53" s="189" t="n"/>
      <c r="IO53" s="189" t="n"/>
      <c r="IP53" s="189" t="n"/>
      <c r="IQ53" s="190" t="n"/>
      <c r="IS53" s="188" t="n"/>
      <c r="IT53" s="189" t="n"/>
      <c r="IU53" s="189" t="n"/>
      <c r="IV53" s="189" t="n"/>
      <c r="IW53" s="190" t="n"/>
      <c r="IY53" s="188" t="n"/>
      <c r="IZ53" s="189" t="n"/>
      <c r="JA53" s="189" t="n"/>
      <c r="JB53" s="189" t="n"/>
      <c r="JC53" s="190" t="n"/>
    </row>
    <row r="54" ht="15.75" customHeight="1" s="252">
      <c r="A54" s="193" t="n"/>
      <c r="B54" s="225" t="n"/>
      <c r="C54" s="225" t="n"/>
      <c r="D54" s="225" t="n"/>
      <c r="E54" s="226" t="n"/>
      <c r="G54" s="193" t="n"/>
      <c r="H54" s="225" t="n"/>
      <c r="I54" s="225" t="n"/>
      <c r="J54" s="225" t="n"/>
      <c r="K54" s="226" t="n"/>
      <c r="M54" s="193" t="n"/>
      <c r="N54" s="225" t="n"/>
      <c r="O54" s="225" t="n"/>
      <c r="P54" s="225" t="n"/>
      <c r="Q54" s="226" t="n"/>
      <c r="S54" s="193" t="n"/>
      <c r="T54" s="225" t="n"/>
      <c r="U54" s="225" t="n"/>
      <c r="V54" s="225" t="n"/>
      <c r="W54" s="226" t="n"/>
      <c r="Y54" s="193" t="n"/>
      <c r="Z54" s="225" t="n"/>
      <c r="AA54" s="225" t="n"/>
      <c r="AB54" s="225" t="n"/>
      <c r="AC54" s="226" t="n"/>
      <c r="AE54" s="193" t="n"/>
      <c r="AF54" s="225" t="n"/>
      <c r="AG54" s="225" t="n"/>
      <c r="AH54" s="225" t="n"/>
      <c r="AI54" s="226" t="n"/>
      <c r="AK54" s="193" t="n"/>
      <c r="AL54" s="225" t="n"/>
      <c r="AM54" s="225" t="n"/>
      <c r="AN54" s="225" t="n"/>
      <c r="AO54" s="226" t="n"/>
      <c r="AQ54" s="193" t="n"/>
      <c r="AR54" s="225" t="n"/>
      <c r="AS54" s="225" t="n"/>
      <c r="AT54" s="225" t="n"/>
      <c r="AU54" s="226" t="n"/>
      <c r="AW54" s="193" t="n"/>
      <c r="AX54" s="225" t="n"/>
      <c r="AY54" s="225" t="n"/>
      <c r="AZ54" s="225" t="n"/>
      <c r="BA54" s="226" t="n"/>
      <c r="BC54" s="193" t="n"/>
      <c r="BD54" s="225" t="n"/>
      <c r="BE54" s="225" t="n"/>
      <c r="BF54" s="225" t="n"/>
      <c r="BG54" s="226" t="n"/>
      <c r="BI54" s="193" t="n"/>
      <c r="BJ54" s="225" t="n"/>
      <c r="BK54" s="225" t="n"/>
      <c r="BL54" s="225" t="n"/>
      <c r="BM54" s="226" t="n"/>
      <c r="BO54" s="193" t="n"/>
      <c r="BP54" s="225" t="n"/>
      <c r="BQ54" s="225" t="n"/>
      <c r="BR54" s="225" t="n"/>
      <c r="BS54" s="226" t="n"/>
      <c r="BU54" s="193" t="n"/>
      <c r="BV54" s="225" t="n"/>
      <c r="BW54" s="225" t="n"/>
      <c r="BX54" s="225" t="n"/>
      <c r="BY54" s="226" t="n"/>
      <c r="CA54" s="193" t="n"/>
      <c r="CB54" s="225" t="n"/>
      <c r="CC54" s="225" t="n"/>
      <c r="CD54" s="225" t="n"/>
      <c r="CE54" s="226" t="n"/>
      <c r="CG54" s="193" t="n"/>
      <c r="CH54" s="225" t="n"/>
      <c r="CI54" s="225" t="n"/>
      <c r="CJ54" s="225" t="n"/>
      <c r="CK54" s="226" t="n"/>
      <c r="CM54" s="193" t="n"/>
      <c r="CN54" s="225" t="n"/>
      <c r="CO54" s="225" t="n"/>
      <c r="CP54" s="225" t="n"/>
      <c r="CQ54" s="226" t="n"/>
      <c r="CS54" s="193" t="n"/>
      <c r="CT54" s="225" t="n"/>
      <c r="CU54" s="225" t="n"/>
      <c r="CV54" s="225" t="n"/>
      <c r="CW54" s="226" t="n"/>
      <c r="CY54" s="193" t="n"/>
      <c r="CZ54" s="225" t="n"/>
      <c r="DA54" s="225" t="n"/>
      <c r="DB54" s="225" t="n"/>
      <c r="DC54" s="226" t="n"/>
      <c r="DE54" s="193" t="n"/>
      <c r="DF54" s="225" t="n"/>
      <c r="DG54" s="225" t="n"/>
      <c r="DH54" s="225" t="n"/>
      <c r="DI54" s="226" t="n"/>
      <c r="DK54" s="193" t="n"/>
      <c r="DL54" s="225" t="n"/>
      <c r="DM54" s="225" t="n"/>
      <c r="DN54" s="225" t="n"/>
      <c r="DO54" s="226" t="n"/>
      <c r="DQ54" s="193" t="n"/>
      <c r="DR54" s="225" t="n"/>
      <c r="DS54" s="225" t="n"/>
      <c r="DT54" s="225" t="n"/>
      <c r="DU54" s="226" t="n"/>
      <c r="DW54" s="193" t="n"/>
      <c r="DX54" s="225" t="n"/>
      <c r="DY54" s="225" t="n"/>
      <c r="DZ54" s="225" t="n"/>
      <c r="EA54" s="226" t="n"/>
      <c r="EC54" s="193" t="n"/>
      <c r="ED54" s="225" t="n"/>
      <c r="EE54" s="225" t="n"/>
      <c r="EF54" s="225" t="n"/>
      <c r="EG54" s="226" t="n"/>
      <c r="EI54" s="193" t="n"/>
      <c r="EJ54" s="225" t="n"/>
      <c r="EK54" s="225" t="n"/>
      <c r="EL54" s="225" t="n"/>
      <c r="EM54" s="226" t="n"/>
      <c r="EO54" s="193" t="n"/>
      <c r="EP54" s="225" t="n"/>
      <c r="EQ54" s="225" t="n"/>
      <c r="ER54" s="225" t="n"/>
      <c r="ES54" s="226" t="n"/>
      <c r="EU54" s="193" t="n"/>
      <c r="EV54" s="225" t="n"/>
      <c r="EW54" s="225" t="n"/>
      <c r="EX54" s="225" t="n"/>
      <c r="EY54" s="226" t="n"/>
      <c r="FA54" s="193" t="n"/>
      <c r="FB54" s="225" t="n"/>
      <c r="FC54" s="225" t="n"/>
      <c r="FD54" s="225" t="n"/>
      <c r="FE54" s="226" t="n"/>
      <c r="FG54" s="193" t="n"/>
      <c r="FH54" s="225" t="n"/>
      <c r="FI54" s="225" t="n"/>
      <c r="FJ54" s="225" t="n"/>
      <c r="FK54" s="226" t="n"/>
      <c r="FM54" s="193" t="n"/>
      <c r="FN54" s="225" t="n"/>
      <c r="FO54" s="225" t="n"/>
      <c r="FP54" s="225" t="n"/>
      <c r="FQ54" s="226" t="n"/>
      <c r="FS54" s="193" t="n"/>
      <c r="FT54" s="225" t="n"/>
      <c r="FU54" s="225" t="n"/>
      <c r="FV54" s="225" t="n"/>
      <c r="FW54" s="226" t="n"/>
      <c r="FY54" s="193" t="n"/>
      <c r="FZ54" s="225" t="n"/>
      <c r="GA54" s="225" t="n"/>
      <c r="GB54" s="225" t="n"/>
      <c r="GC54" s="226" t="n"/>
      <c r="GE54" s="193" t="n"/>
      <c r="GF54" s="225" t="n"/>
      <c r="GG54" s="225" t="n"/>
      <c r="GH54" s="225" t="n"/>
      <c r="GI54" s="226" t="n"/>
      <c r="GK54" s="193" t="inlineStr">
        <is>
          <t>Ending Balance</t>
        </is>
      </c>
      <c r="GL54" s="225">
        <f t="array" ref="GL54">index('XRP Yield Fund'!$A$8:$LL$1006,MATCH(GK$10,'XRP Yield Fund'!$A$8:$A$1006,0),MATCH($E$2,'XRP Yield Fund'!$A$8:$LL$8,0))</f>
        <v/>
      </c>
      <c r="GM54" s="225">
        <f>GL54</f>
        <v/>
      </c>
      <c r="GN54" s="225">
        <f>GL54</f>
        <v/>
      </c>
      <c r="GO54" s="226">
        <f>GL54</f>
        <v/>
      </c>
      <c r="GQ54" s="193" t="inlineStr">
        <is>
          <t>Ending Balance</t>
        </is>
      </c>
      <c r="GR54" s="225">
        <f t="array" ref="GR54">index('XRP Yield Fund'!$A$8:$LL$1006,MATCH(GQ$10,'XRP Yield Fund'!$A$8:$A$1006,0),MATCH($E$2,'XRP Yield Fund'!$A$8:$LL$8,0))</f>
        <v/>
      </c>
      <c r="GS54" s="225">
        <f>GR54</f>
        <v/>
      </c>
      <c r="GT54" s="225">
        <f>GR54</f>
        <v/>
      </c>
      <c r="GU54" s="226">
        <f>GR54</f>
        <v/>
      </c>
      <c r="GW54" s="193" t="n"/>
      <c r="GX54" s="225" t="n"/>
      <c r="GY54" s="225" t="n"/>
      <c r="GZ54" s="225" t="n"/>
      <c r="HA54" s="226" t="n"/>
      <c r="HC54" s="193" t="n"/>
      <c r="HD54" s="225" t="n"/>
      <c r="HE54" s="225" t="n"/>
      <c r="HF54" s="225" t="n"/>
      <c r="HG54" s="226" t="n"/>
      <c r="HI54" s="193" t="n"/>
      <c r="HJ54" s="225" t="n"/>
      <c r="HK54" s="225" t="n"/>
      <c r="HL54" s="225" t="n"/>
      <c r="HM54" s="226" t="n"/>
      <c r="HO54" s="193" t="n"/>
      <c r="HP54" s="225" t="n"/>
      <c r="HQ54" s="225" t="n"/>
      <c r="HR54" s="225" t="n"/>
      <c r="HS54" s="226" t="n"/>
      <c r="HU54" s="193" t="n"/>
      <c r="HV54" s="225" t="n"/>
      <c r="HW54" s="225" t="n"/>
      <c r="HX54" s="225" t="n"/>
      <c r="HY54" s="226" t="n"/>
      <c r="IA54" s="193" t="n"/>
      <c r="IB54" s="225" t="n"/>
      <c r="IC54" s="225" t="n"/>
      <c r="ID54" s="225" t="n"/>
      <c r="IE54" s="226" t="n"/>
      <c r="IG54" s="193" t="n"/>
      <c r="IH54" s="225" t="n"/>
      <c r="II54" s="225" t="n"/>
      <c r="IJ54" s="225" t="n"/>
      <c r="IK54" s="226" t="n"/>
      <c r="IM54" s="193" t="n"/>
      <c r="IN54" s="225" t="n"/>
      <c r="IO54" s="225" t="n"/>
      <c r="IP54" s="225" t="n"/>
      <c r="IQ54" s="226" t="n"/>
      <c r="IS54" s="193" t="n"/>
      <c r="IT54" s="225" t="n"/>
      <c r="IU54" s="225" t="n"/>
      <c r="IV54" s="225" t="n"/>
      <c r="IW54" s="226" t="n"/>
      <c r="IY54" s="193" t="n"/>
      <c r="IZ54" s="225" t="n"/>
      <c r="JA54" s="225" t="n"/>
      <c r="JB54" s="225" t="n"/>
      <c r="JC54" s="226" t="n"/>
    </row>
    <row r="55" ht="15.75" customHeight="1" s="252">
      <c r="A55" s="198" t="n"/>
      <c r="B55" s="199" t="n"/>
      <c r="C55" s="199" t="n"/>
      <c r="D55" s="199" t="n"/>
      <c r="E55" s="200" t="n"/>
      <c r="G55" s="198" t="n"/>
      <c r="H55" s="199" t="n"/>
      <c r="I55" s="199" t="n"/>
      <c r="J55" s="199" t="n"/>
      <c r="K55" s="200" t="n"/>
      <c r="M55" s="198" t="n"/>
      <c r="N55" s="199" t="n"/>
      <c r="O55" s="199" t="n"/>
      <c r="P55" s="199" t="n"/>
      <c r="Q55" s="200" t="n"/>
      <c r="S55" s="198" t="n"/>
      <c r="T55" s="199" t="n"/>
      <c r="U55" s="199" t="n"/>
      <c r="V55" s="199" t="n"/>
      <c r="W55" s="200" t="n"/>
      <c r="Y55" s="198" t="n"/>
      <c r="Z55" s="199" t="n"/>
      <c r="AA55" s="199" t="n"/>
      <c r="AB55" s="199" t="n"/>
      <c r="AC55" s="200" t="n"/>
      <c r="AE55" s="198" t="n"/>
      <c r="AF55" s="199" t="n"/>
      <c r="AG55" s="199" t="n"/>
      <c r="AH55" s="199" t="n"/>
      <c r="AI55" s="200" t="n"/>
      <c r="AK55" s="198" t="n"/>
      <c r="AL55" s="199" t="n"/>
      <c r="AM55" s="199" t="n"/>
      <c r="AN55" s="199" t="n"/>
      <c r="AO55" s="200" t="n"/>
      <c r="AQ55" s="198" t="n"/>
      <c r="AR55" s="199" t="n"/>
      <c r="AS55" s="199" t="n"/>
      <c r="AT55" s="199" t="n"/>
      <c r="AU55" s="200" t="n"/>
      <c r="AW55" s="198" t="n"/>
      <c r="AX55" s="199" t="n"/>
      <c r="AY55" s="199" t="n"/>
      <c r="AZ55" s="199" t="n"/>
      <c r="BA55" s="200" t="n"/>
      <c r="BC55" s="198" t="n"/>
      <c r="BD55" s="199" t="n"/>
      <c r="BE55" s="199" t="n"/>
      <c r="BF55" s="199" t="n"/>
      <c r="BG55" s="200" t="n"/>
      <c r="BI55" s="198" t="n"/>
      <c r="BJ55" s="199" t="n"/>
      <c r="BK55" s="199" t="n"/>
      <c r="BL55" s="199" t="n"/>
      <c r="BM55" s="200" t="n"/>
      <c r="BO55" s="198" t="n"/>
      <c r="BP55" s="199" t="n"/>
      <c r="BQ55" s="199" t="n"/>
      <c r="BR55" s="199" t="n"/>
      <c r="BS55" s="200" t="n"/>
      <c r="BU55" s="198" t="n"/>
      <c r="BV55" s="199" t="n"/>
      <c r="BW55" s="199" t="n"/>
      <c r="BX55" s="199" t="n"/>
      <c r="BY55" s="200" t="n"/>
      <c r="CA55" s="198" t="n"/>
      <c r="CB55" s="199" t="n"/>
      <c r="CC55" s="199" t="n"/>
      <c r="CD55" s="199" t="n"/>
      <c r="CE55" s="200" t="n"/>
      <c r="CG55" s="198" t="n"/>
      <c r="CH55" s="199" t="n"/>
      <c r="CI55" s="199" t="n"/>
      <c r="CJ55" s="199" t="n"/>
      <c r="CK55" s="200" t="n"/>
      <c r="CM55" s="198" t="n"/>
      <c r="CN55" s="199" t="n"/>
      <c r="CO55" s="199" t="n"/>
      <c r="CP55" s="199" t="n"/>
      <c r="CQ55" s="200" t="n"/>
      <c r="CS55" s="198" t="n"/>
      <c r="CT55" s="199" t="n"/>
      <c r="CU55" s="199" t="n"/>
      <c r="CV55" s="199" t="n"/>
      <c r="CW55" s="200" t="n"/>
      <c r="CY55" s="198" t="n"/>
      <c r="CZ55" s="199" t="n"/>
      <c r="DA55" s="199" t="n"/>
      <c r="DB55" s="199" t="n"/>
      <c r="DC55" s="200" t="n"/>
      <c r="DE55" s="198" t="n"/>
      <c r="DF55" s="199" t="n"/>
      <c r="DG55" s="199" t="n"/>
      <c r="DH55" s="199" t="n"/>
      <c r="DI55" s="200" t="n"/>
      <c r="DK55" s="198" t="n"/>
      <c r="DL55" s="199" t="n"/>
      <c r="DM55" s="199" t="n"/>
      <c r="DN55" s="199" t="n"/>
      <c r="DO55" s="200" t="n"/>
      <c r="DQ55" s="198" t="n"/>
      <c r="DR55" s="199" t="n"/>
      <c r="DS55" s="199" t="n"/>
      <c r="DT55" s="199" t="n"/>
      <c r="DU55" s="200" t="n"/>
      <c r="DW55" s="198" t="n"/>
      <c r="DX55" s="199" t="n"/>
      <c r="DY55" s="199" t="n"/>
      <c r="DZ55" s="199" t="n"/>
      <c r="EA55" s="200" t="n"/>
      <c r="EC55" s="198" t="n"/>
      <c r="ED55" s="199" t="n"/>
      <c r="EE55" s="199" t="n"/>
      <c r="EF55" s="199" t="n"/>
      <c r="EG55" s="200" t="n"/>
      <c r="EI55" s="198" t="n"/>
      <c r="EJ55" s="199" t="n"/>
      <c r="EK55" s="199" t="n"/>
      <c r="EL55" s="199" t="n"/>
      <c r="EM55" s="200" t="n"/>
      <c r="EO55" s="198" t="n"/>
      <c r="EP55" s="199" t="n"/>
      <c r="EQ55" s="199" t="n"/>
      <c r="ER55" s="199" t="n"/>
      <c r="ES55" s="200" t="n"/>
      <c r="EU55" s="198" t="n"/>
      <c r="EV55" s="199" t="n"/>
      <c r="EW55" s="199" t="n"/>
      <c r="EX55" s="199" t="n"/>
      <c r="EY55" s="200" t="n"/>
      <c r="FA55" s="198" t="n"/>
      <c r="FB55" s="199" t="n"/>
      <c r="FC55" s="199" t="n"/>
      <c r="FD55" s="199" t="n"/>
      <c r="FE55" s="200" t="n"/>
      <c r="FG55" s="198" t="n"/>
      <c r="FH55" s="199" t="n"/>
      <c r="FI55" s="199" t="n"/>
      <c r="FJ55" s="199" t="n"/>
      <c r="FK55" s="200" t="n"/>
      <c r="FM55" s="198" t="n"/>
      <c r="FN55" s="199" t="n"/>
      <c r="FO55" s="199" t="n"/>
      <c r="FP55" s="199" t="n"/>
      <c r="FQ55" s="200" t="n"/>
      <c r="FS55" s="198" t="n"/>
      <c r="FT55" s="199" t="n"/>
      <c r="FU55" s="199" t="n"/>
      <c r="FV55" s="199" t="n"/>
      <c r="FW55" s="200" t="n"/>
      <c r="FY55" s="198" t="n"/>
      <c r="FZ55" s="199" t="n"/>
      <c r="GA55" s="199" t="n"/>
      <c r="GB55" s="199" t="n"/>
      <c r="GC55" s="200" t="n"/>
      <c r="GE55" s="198" t="n"/>
      <c r="GF55" s="199" t="n"/>
      <c r="GG55" s="199" t="n"/>
      <c r="GH55" s="199" t="n"/>
      <c r="GI55" s="200" t="n"/>
      <c r="GK55" s="198" t="inlineStr">
        <is>
          <t>Rate of Return</t>
        </is>
      </c>
      <c r="GL55" s="199">
        <f>GL53/GL50</f>
        <v/>
      </c>
      <c r="GM55" s="199">
        <f>GM53/GM50</f>
        <v/>
      </c>
      <c r="GN55" s="199">
        <f>GN53/GN50</f>
        <v/>
      </c>
      <c r="GO55" s="200">
        <f>GO53/GO50</f>
        <v/>
      </c>
      <c r="GQ55" s="198" t="inlineStr">
        <is>
          <t>Rate of Return</t>
        </is>
      </c>
      <c r="GR55" s="199">
        <f>GR53/GR50</f>
        <v/>
      </c>
      <c r="GS55" s="199">
        <f>GS53/GS50</f>
        <v/>
      </c>
      <c r="GT55" s="199">
        <f>GT53/GT50</f>
        <v/>
      </c>
      <c r="GU55" s="200">
        <f>GU53/GU50</f>
        <v/>
      </c>
      <c r="GW55" s="198" t="n"/>
      <c r="GX55" s="199" t="n"/>
      <c r="GY55" s="199" t="n"/>
      <c r="GZ55" s="199" t="n"/>
      <c r="HA55" s="200" t="n"/>
      <c r="HC55" s="198" t="n"/>
      <c r="HD55" s="199" t="n"/>
      <c r="HE55" s="199" t="n"/>
      <c r="HF55" s="199" t="n"/>
      <c r="HG55" s="200" t="n"/>
      <c r="HI55" s="198" t="n"/>
      <c r="HJ55" s="199" t="n"/>
      <c r="HK55" s="199" t="n"/>
      <c r="HL55" s="199" t="n"/>
      <c r="HM55" s="200" t="n"/>
      <c r="HO55" s="198" t="n"/>
      <c r="HP55" s="199" t="n"/>
      <c r="HQ55" s="199" t="n"/>
      <c r="HR55" s="199" t="n"/>
      <c r="HS55" s="200" t="n"/>
      <c r="HU55" s="198" t="n"/>
      <c r="HV55" s="199" t="n"/>
      <c r="HW55" s="199" t="n"/>
      <c r="HX55" s="199" t="n"/>
      <c r="HY55" s="200" t="n"/>
      <c r="IA55" s="198" t="n"/>
      <c r="IB55" s="199" t="n"/>
      <c r="IC55" s="199" t="n"/>
      <c r="ID55" s="199" t="n"/>
      <c r="IE55" s="200" t="n"/>
      <c r="IG55" s="198" t="n"/>
      <c r="IH55" s="199" t="n"/>
      <c r="II55" s="199" t="n"/>
      <c r="IJ55" s="199" t="n"/>
      <c r="IK55" s="200" t="n"/>
      <c r="IM55" s="198" t="n"/>
      <c r="IN55" s="199" t="n"/>
      <c r="IO55" s="199" t="n"/>
      <c r="IP55" s="199" t="n"/>
      <c r="IQ55" s="200" t="n"/>
      <c r="IS55" s="198" t="n"/>
      <c r="IT55" s="199" t="n"/>
      <c r="IU55" s="199" t="n"/>
      <c r="IV55" s="199" t="n"/>
      <c r="IW55" s="200" t="n"/>
      <c r="IY55" s="198" t="n"/>
      <c r="IZ55" s="199" t="n"/>
      <c r="JA55" s="199" t="n"/>
      <c r="JB55" s="199" t="n"/>
      <c r="JC55" s="200" t="n"/>
    </row>
    <row r="56" ht="15.75" customHeight="1" s="252"/>
    <row r="57" ht="15.75" customHeight="1" s="252"/>
    <row r="58" ht="15.75" customHeight="1" s="252"/>
    <row r="59" ht="15.75" customHeight="1" s="252"/>
    <row r="60" ht="15.75" customHeight="1" s="252"/>
    <row r="61" ht="15.75" customHeight="1" s="252"/>
    <row r="62" ht="15.75" customHeight="1" s="252"/>
    <row r="63" ht="15.75" customHeight="1" s="252"/>
    <row r="64" ht="15.75" customHeight="1" s="252"/>
    <row r="65" ht="15.75" customHeight="1" s="252"/>
    <row r="66" ht="15.75" customHeight="1" s="252"/>
    <row r="67" ht="15.75" customHeight="1" s="252"/>
    <row r="68" ht="15.75" customHeight="1" s="252"/>
    <row r="69" ht="15.75" customHeight="1" s="252"/>
    <row r="70" ht="15.75" customHeight="1" s="252"/>
    <row r="71" ht="15.75" customHeight="1" s="252"/>
    <row r="72" ht="15.75" customHeight="1" s="252"/>
    <row r="73" ht="15.75" customHeight="1" s="252"/>
    <row r="74" ht="15.75" customHeight="1" s="252"/>
    <row r="75" ht="15.75" customHeight="1" s="252"/>
    <row r="76" ht="15.75" customHeight="1" s="252"/>
    <row r="77" ht="15.75" customHeight="1" s="252"/>
    <row r="78" ht="15.75" customHeight="1" s="252"/>
    <row r="79" ht="15.75" customHeight="1" s="252"/>
    <row r="80" ht="15.75" customHeight="1" s="252"/>
    <row r="81" ht="15.75" customHeight="1" s="252"/>
    <row r="82" ht="15.75" customHeight="1" s="252"/>
    <row r="83" ht="15.75" customHeight="1" s="252"/>
    <row r="84" ht="15.75" customHeight="1" s="252"/>
    <row r="85" ht="15.75" customHeight="1" s="252"/>
    <row r="86" ht="15.75" customHeight="1" s="252"/>
    <row r="87" ht="15.75" customHeight="1" s="252"/>
    <row r="88" ht="15.75" customHeight="1" s="252"/>
    <row r="89" ht="15.75" customHeight="1" s="252"/>
    <row r="90" ht="15.75" customHeight="1" s="252"/>
    <row r="91" ht="15.75" customHeight="1" s="252"/>
    <row r="92" ht="15.75" customHeight="1" s="252"/>
    <row r="93" ht="15.75" customHeight="1" s="252"/>
    <row r="94" ht="15.75" customHeight="1" s="252"/>
    <row r="95" ht="15.75" customHeight="1" s="252"/>
    <row r="96" ht="15.75" customHeight="1" s="252"/>
    <row r="97" ht="15.75" customHeight="1" s="252"/>
    <row r="98" ht="15.75" customHeight="1" s="252"/>
    <row r="99" ht="15.75" customHeight="1" s="252"/>
    <row r="100" ht="15.75" customHeight="1" s="252"/>
    <row r="101" ht="15.75" customHeight="1" s="252"/>
    <row r="102" ht="15.75" customHeight="1" s="252"/>
    <row r="103" ht="15.75" customHeight="1" s="252"/>
    <row r="104" ht="15.75" customHeight="1" s="252"/>
    <row r="105" ht="15.75" customHeight="1" s="252"/>
    <row r="106" ht="15.75" customHeight="1" s="252"/>
    <row r="107" ht="15.75" customHeight="1" s="252"/>
    <row r="108" ht="15.75" customHeight="1" s="252"/>
    <row r="109" ht="15.75" customHeight="1" s="252"/>
    <row r="110" ht="15.75" customHeight="1" s="252"/>
    <row r="111" ht="15.75" customHeight="1" s="252"/>
    <row r="112" ht="15.75" customHeight="1" s="252"/>
    <row r="113" ht="15.75" customHeight="1" s="252"/>
    <row r="114" ht="15.75" customHeight="1" s="252"/>
    <row r="115" ht="15.75" customHeight="1" s="252"/>
    <row r="116" ht="15.75" customHeight="1" s="252"/>
    <row r="117" ht="15.75" customHeight="1" s="252"/>
    <row r="118" ht="15.75" customHeight="1" s="252"/>
    <row r="119" ht="15.75" customHeight="1" s="252"/>
    <row r="120" ht="15.75" customHeight="1" s="252"/>
    <row r="121" ht="15.75" customHeight="1" s="252"/>
    <row r="122" ht="15.75" customHeight="1" s="252"/>
    <row r="123" ht="15.75" customHeight="1" s="252"/>
    <row r="124" ht="15.75" customHeight="1" s="252"/>
    <row r="125" ht="15.75" customHeight="1" s="252"/>
    <row r="126" ht="15.75" customHeight="1" s="252"/>
    <row r="127" ht="15.75" customHeight="1" s="252"/>
    <row r="128" ht="15.75" customHeight="1" s="252"/>
    <row r="129" ht="15.75" customHeight="1" s="252"/>
    <row r="130" ht="15.75" customHeight="1" s="252"/>
    <row r="131" ht="15.75" customHeight="1" s="252"/>
    <row r="132" ht="15.75" customHeight="1" s="252"/>
    <row r="133" ht="15.75" customHeight="1" s="252"/>
    <row r="134" ht="15.75" customHeight="1" s="252"/>
    <row r="135" ht="15.75" customHeight="1" s="252"/>
    <row r="136" ht="15.75" customHeight="1" s="252"/>
    <row r="137" ht="15.75" customHeight="1" s="252"/>
    <row r="138" ht="15.75" customHeight="1" s="252"/>
    <row r="139" ht="15.75" customHeight="1" s="252"/>
    <row r="140" ht="15.75" customHeight="1" s="252"/>
    <row r="141" ht="15.75" customHeight="1" s="252"/>
    <row r="142" ht="15.75" customHeight="1" s="252"/>
    <row r="143" ht="15.75" customHeight="1" s="252"/>
    <row r="144" ht="15.75" customHeight="1" s="252"/>
    <row r="145" ht="15.75" customHeight="1" s="252"/>
    <row r="146" ht="15.75" customHeight="1" s="252"/>
    <row r="147" ht="15.75" customHeight="1" s="252"/>
    <row r="148" ht="15.75" customHeight="1" s="252"/>
    <row r="149" ht="15.75" customHeight="1" s="252"/>
    <row r="150" ht="15.75" customHeight="1" s="252"/>
    <row r="151" ht="15.75" customHeight="1" s="252"/>
    <row r="152" ht="15.75" customHeight="1" s="252"/>
    <row r="153" ht="15.75" customHeight="1" s="252"/>
    <row r="154" ht="15.75" customHeight="1" s="252"/>
    <row r="155" ht="15.75" customHeight="1" s="252"/>
    <row r="156" ht="15.75" customHeight="1" s="252"/>
    <row r="157" ht="15.75" customHeight="1" s="252"/>
    <row r="158" ht="15.75" customHeight="1" s="252"/>
    <row r="159" ht="15.75" customHeight="1" s="252"/>
    <row r="160" ht="15.75" customHeight="1" s="252"/>
    <row r="161" ht="15.75" customHeight="1" s="252"/>
    <row r="162" ht="15.75" customHeight="1" s="252"/>
    <row r="163" ht="15.75" customHeight="1" s="252"/>
    <row r="164" ht="15.75" customHeight="1" s="252"/>
    <row r="165" ht="15.75" customHeight="1" s="252"/>
    <row r="166" ht="15.75" customHeight="1" s="252"/>
    <row r="167" ht="15.75" customHeight="1" s="252"/>
    <row r="168" ht="15.75" customHeight="1" s="252"/>
    <row r="169" ht="15.75" customHeight="1" s="252"/>
    <row r="170" ht="15.75" customHeight="1" s="252"/>
    <row r="171" ht="15.75" customHeight="1" s="252"/>
    <row r="172" ht="15.75" customHeight="1" s="252"/>
    <row r="173" ht="15.75" customHeight="1" s="252"/>
    <row r="174" ht="15.75" customHeight="1" s="252"/>
    <row r="175" ht="15.75" customHeight="1" s="252"/>
    <row r="176" ht="15.75" customHeight="1" s="252"/>
    <row r="177" ht="15.75" customHeight="1" s="252"/>
    <row r="178" ht="15.75" customHeight="1" s="252"/>
    <row r="179" ht="15.75" customHeight="1" s="252"/>
    <row r="180" ht="15.75" customHeight="1" s="252"/>
    <row r="181" ht="15.75" customHeight="1" s="252"/>
    <row r="182" ht="15.75" customHeight="1" s="252"/>
    <row r="183" ht="15.75" customHeight="1" s="252"/>
    <row r="184" ht="15.75" customHeight="1" s="252"/>
    <row r="185" ht="15.75" customHeight="1" s="252"/>
    <row r="186" ht="15.75" customHeight="1" s="252"/>
    <row r="187" ht="15.75" customHeight="1" s="252"/>
    <row r="188" ht="15.75" customHeight="1" s="252"/>
    <row r="189" ht="15.75" customHeight="1" s="252"/>
    <row r="190" ht="15.75" customHeight="1" s="252"/>
    <row r="191" ht="15.75" customHeight="1" s="252"/>
    <row r="192" ht="15.75" customHeight="1" s="252"/>
    <row r="193" ht="15.75" customHeight="1" s="252"/>
    <row r="194" ht="15.75" customHeight="1" s="252"/>
    <row r="195" ht="15.75" customHeight="1" s="252"/>
    <row r="196" ht="15.75" customHeight="1" s="252"/>
    <row r="197" ht="15.75" customHeight="1" s="252"/>
    <row r="198" ht="15.75" customHeight="1" s="252"/>
    <row r="199" ht="15.75" customHeight="1" s="252"/>
    <row r="200" ht="15.75" customHeight="1" s="252"/>
    <row r="201" ht="15.75" customHeight="1" s="252"/>
    <row r="202" ht="15.75" customHeight="1" s="252"/>
    <row r="203" ht="15.75" customHeight="1" s="252"/>
    <row r="204" ht="15.75" customHeight="1" s="252"/>
    <row r="205" ht="15.75" customHeight="1" s="252"/>
    <row r="206" ht="15.75" customHeight="1" s="252"/>
    <row r="207" ht="15.75" customHeight="1" s="252"/>
    <row r="208" ht="15.75" customHeight="1" s="252"/>
    <row r="209" ht="15.75" customHeight="1" s="252"/>
    <row r="210" ht="15.75" customHeight="1" s="252"/>
    <row r="211" ht="15.75" customHeight="1" s="252"/>
    <row r="212" ht="15.75" customHeight="1" s="252"/>
    <row r="213" ht="15.75" customHeight="1" s="252"/>
    <row r="214" ht="15.75" customHeight="1" s="252"/>
    <row r="215" ht="15.75" customHeight="1" s="252"/>
    <row r="216" ht="15.75" customHeight="1" s="252"/>
    <row r="217" ht="15.75" customHeight="1" s="252"/>
    <row r="218" ht="15.75" customHeight="1" s="252"/>
    <row r="219" ht="15.75" customHeight="1" s="252"/>
    <row r="220" ht="15.75" customHeight="1" s="252"/>
    <row r="221" ht="15.75" customHeight="1" s="252"/>
    <row r="222" ht="15.75" customHeight="1" s="252"/>
    <row r="223" ht="15.75" customHeight="1" s="252"/>
    <row r="224" ht="15.75" customHeight="1" s="252"/>
    <row r="225" ht="15.75" customHeight="1" s="252"/>
    <row r="226" ht="15.75" customHeight="1" s="252"/>
    <row r="227" ht="15.75" customHeight="1" s="252"/>
    <row r="228" ht="15.75" customHeight="1" s="252"/>
    <row r="229" ht="15.75" customHeight="1" s="252"/>
    <row r="230" ht="15.75" customHeight="1" s="252"/>
    <row r="231" ht="15.75" customHeight="1" s="252"/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mergeCells count="287">
    <mergeCell ref="DQ10:DU10"/>
    <mergeCell ref="BC9:BG9"/>
    <mergeCell ref="GQ48:GT48"/>
    <mergeCell ref="AQ30:AU30"/>
    <mergeCell ref="A48:E48"/>
    <mergeCell ref="FS10:FW10"/>
    <mergeCell ref="FA10:FE10"/>
    <mergeCell ref="IM12:IQ12"/>
    <mergeCell ref="EC10:EG10"/>
    <mergeCell ref="FM10:FQ10"/>
    <mergeCell ref="Y12:AB12"/>
    <mergeCell ref="GE10:GI10"/>
    <mergeCell ref="AE30:AH30"/>
    <mergeCell ref="BO39:BS39"/>
    <mergeCell ref="CY39:DC39"/>
    <mergeCell ref="IA48:IE48"/>
    <mergeCell ref="GW12:HA12"/>
    <mergeCell ref="GW21:HA21"/>
    <mergeCell ref="IM39:IQ39"/>
    <mergeCell ref="G39:K39"/>
    <mergeCell ref="IM48:IQ48"/>
    <mergeCell ref="AW21:AZ21"/>
    <mergeCell ref="G48:K48"/>
    <mergeCell ref="BI39:BM39"/>
    <mergeCell ref="S39:W39"/>
    <mergeCell ref="AK39:AO39"/>
    <mergeCell ref="S48:W48"/>
    <mergeCell ref="CM9:CQ9"/>
    <mergeCell ref="BU39:BY39"/>
    <mergeCell ref="CG12:CK12"/>
    <mergeCell ref="CG30:CJ30"/>
    <mergeCell ref="CG21:CK21"/>
    <mergeCell ref="CG39:CK39"/>
    <mergeCell ref="EI30:EL30"/>
    <mergeCell ref="EI9:EM9"/>
    <mergeCell ref="CS21:CW21"/>
    <mergeCell ref="GW30:GZ30"/>
    <mergeCell ref="FG12:FK12"/>
    <mergeCell ref="BC30:BF30"/>
    <mergeCell ref="EI29:EM29"/>
    <mergeCell ref="GK20:GO20"/>
    <mergeCell ref="M21:Q21"/>
    <mergeCell ref="HI12:HM12"/>
    <mergeCell ref="DE30:DH30"/>
    <mergeCell ref="BO30:BR30"/>
    <mergeCell ref="BO21:BS21"/>
    <mergeCell ref="CY12:DC12"/>
    <mergeCell ref="GE12:GH12"/>
    <mergeCell ref="CY21:DC21"/>
    <mergeCell ref="AE48:AI48"/>
    <mergeCell ref="AK10:AO10"/>
    <mergeCell ref="DK12:DO12"/>
    <mergeCell ref="IG12:IJ12"/>
    <mergeCell ref="EC12:EG12"/>
    <mergeCell ref="FM12:FQ12"/>
    <mergeCell ref="CS39:CW39"/>
    <mergeCell ref="CS48:CW48"/>
    <mergeCell ref="EO21:ER21"/>
    <mergeCell ref="FY12:GC12"/>
    <mergeCell ref="DE39:DI39"/>
    <mergeCell ref="FA12:FD12"/>
    <mergeCell ref="DW30:EA30"/>
    <mergeCell ref="FG39:FK39"/>
    <mergeCell ref="FY30:GB30"/>
    <mergeCell ref="HI39:HM39"/>
    <mergeCell ref="EU38:EY38"/>
    <mergeCell ref="GK48:GN48"/>
    <mergeCell ref="HU30:HY30"/>
    <mergeCell ref="G9:K9"/>
    <mergeCell ref="DE10:DI10"/>
    <mergeCell ref="FG21:FJ21"/>
    <mergeCell ref="GQ21:GT21"/>
    <mergeCell ref="IG39:IJ39"/>
    <mergeCell ref="IM30:IP30"/>
    <mergeCell ref="GQ39:GT39"/>
    <mergeCell ref="IG30:IK30"/>
    <mergeCell ref="HI30:HL30"/>
    <mergeCell ref="S30:V30"/>
    <mergeCell ref="G11:K11"/>
    <mergeCell ref="FA39:FD39"/>
    <mergeCell ref="CA10:CE10"/>
    <mergeCell ref="IA39:IE39"/>
    <mergeCell ref="GE29:GI29"/>
    <mergeCell ref="M9:Q9"/>
    <mergeCell ref="M39:Q39"/>
    <mergeCell ref="HC30:HG30"/>
    <mergeCell ref="CM10:CQ10"/>
    <mergeCell ref="M48:Q48"/>
    <mergeCell ref="CY10:DC10"/>
    <mergeCell ref="IY12:JC12"/>
    <mergeCell ref="EO10:ES10"/>
    <mergeCell ref="Y30:AC30"/>
    <mergeCell ref="Y39:AC39"/>
    <mergeCell ref="IY48:JC48"/>
    <mergeCell ref="IA12:ID12"/>
    <mergeCell ref="IA21:ID21"/>
    <mergeCell ref="CA39:CE39"/>
    <mergeCell ref="M11:Q11"/>
    <mergeCell ref="A30:D30"/>
    <mergeCell ref="AK30:AO30"/>
    <mergeCell ref="FG48:FK48"/>
    <mergeCell ref="G12:J12"/>
    <mergeCell ref="HI48:HM48"/>
    <mergeCell ref="GK38:GO38"/>
    <mergeCell ref="BI12:BL12"/>
    <mergeCell ref="S12:V12"/>
    <mergeCell ref="HU48:HY48"/>
    <mergeCell ref="AE39:AI39"/>
    <mergeCell ref="G30:K30"/>
    <mergeCell ref="AQ39:AU39"/>
    <mergeCell ref="BC12:BG12"/>
    <mergeCell ref="IS21:IW21"/>
    <mergeCell ref="BI30:BM30"/>
    <mergeCell ref="EU9:EY9"/>
    <mergeCell ref="AE21:AH21"/>
    <mergeCell ref="DE12:DI12"/>
    <mergeCell ref="BO12:BS12"/>
    <mergeCell ref="AQ12:AT12"/>
    <mergeCell ref="DQ12:DU12"/>
    <mergeCell ref="IG10:IK10"/>
    <mergeCell ref="CS12:CV12"/>
    <mergeCell ref="EU20:EY20"/>
    <mergeCell ref="FS12:FW12"/>
    <mergeCell ref="EU12:EX12"/>
    <mergeCell ref="EC21:EF21"/>
    <mergeCell ref="IY21:JC21"/>
    <mergeCell ref="EU21:EX21"/>
    <mergeCell ref="Y48:AC48"/>
    <mergeCell ref="CA12:CE12"/>
    <mergeCell ref="AK21:AN21"/>
    <mergeCell ref="CA48:CE48"/>
    <mergeCell ref="BC38:BG38"/>
    <mergeCell ref="GQ12:GT12"/>
    <mergeCell ref="CM48:CQ48"/>
    <mergeCell ref="HC12:HF12"/>
    <mergeCell ref="GK39:GN39"/>
    <mergeCell ref="HC9:HG9"/>
    <mergeCell ref="DQ39:DU39"/>
    <mergeCell ref="CS30:CW30"/>
    <mergeCell ref="HU10:HY10"/>
    <mergeCell ref="EC30:EG30"/>
    <mergeCell ref="EU39:EX39"/>
    <mergeCell ref="EU30:EY30"/>
    <mergeCell ref="DQ30:DT30"/>
    <mergeCell ref="FG30:FK30"/>
    <mergeCell ref="DQ21:DU21"/>
    <mergeCell ref="FS30:FV30"/>
    <mergeCell ref="FS21:FW21"/>
    <mergeCell ref="GK47:GO47"/>
    <mergeCell ref="CY48:DC48"/>
    <mergeCell ref="BI48:BM48"/>
    <mergeCell ref="GE21:GI21"/>
    <mergeCell ref="FA30:FE30"/>
    <mergeCell ref="DK48:DO48"/>
    <mergeCell ref="DW21:DZ21"/>
    <mergeCell ref="A39:D39"/>
    <mergeCell ref="FM48:FQ48"/>
    <mergeCell ref="G10:K10"/>
    <mergeCell ref="FY39:GC39"/>
    <mergeCell ref="BI10:BM10"/>
    <mergeCell ref="FY48:GC48"/>
    <mergeCell ref="GK12:GN12"/>
    <mergeCell ref="DK10:DO10"/>
    <mergeCell ref="GK21:GN21"/>
    <mergeCell ref="BO48:BS48"/>
    <mergeCell ref="BU10:BY10"/>
    <mergeCell ref="HU39:HY39"/>
    <mergeCell ref="IA30:IE30"/>
    <mergeCell ref="DQ48:DU48"/>
    <mergeCell ref="DW10:EA10"/>
    <mergeCell ref="M30:Q30"/>
    <mergeCell ref="EC39:EG39"/>
    <mergeCell ref="FS48:FW48"/>
    <mergeCell ref="EC48:EG48"/>
    <mergeCell ref="EI10:EM10"/>
    <mergeCell ref="GE39:GI39"/>
    <mergeCell ref="EU48:EY48"/>
    <mergeCell ref="AK12:AN12"/>
    <mergeCell ref="GE48:GI48"/>
    <mergeCell ref="GK10:GO10"/>
    <mergeCell ref="AE12:AH12"/>
    <mergeCell ref="GW48:HA48"/>
    <mergeCell ref="AQ10:AU10"/>
    <mergeCell ref="IG48:IK48"/>
    <mergeCell ref="HC21:HG21"/>
    <mergeCell ref="IS39:IW39"/>
    <mergeCell ref="IY30:JC30"/>
    <mergeCell ref="IS48:IW48"/>
    <mergeCell ref="CY30:DB30"/>
    <mergeCell ref="A12:D12"/>
    <mergeCell ref="FG10:FK10"/>
    <mergeCell ref="BC20:BG20"/>
    <mergeCell ref="GQ10:GU10"/>
    <mergeCell ref="A21:D21"/>
    <mergeCell ref="BC29:BG29"/>
    <mergeCell ref="HI10:HM10"/>
    <mergeCell ref="AW12:BA12"/>
    <mergeCell ref="IS10:IW10"/>
    <mergeCell ref="BC21:BF21"/>
    <mergeCell ref="M12:P12"/>
    <mergeCell ref="HC10:HG10"/>
    <mergeCell ref="BC39:BF39"/>
    <mergeCell ref="HO48:HS48"/>
    <mergeCell ref="CM39:CQ39"/>
    <mergeCell ref="BU30:BX30"/>
    <mergeCell ref="HI21:HM21"/>
    <mergeCell ref="FY21:GC21"/>
    <mergeCell ref="AK48:AO48"/>
    <mergeCell ref="IM21:IQ21"/>
    <mergeCell ref="G21:K21"/>
    <mergeCell ref="AW39:BA39"/>
    <mergeCell ref="EU11:EY11"/>
    <mergeCell ref="AW48:BA48"/>
    <mergeCell ref="BI21:BM21"/>
    <mergeCell ref="S21:W21"/>
    <mergeCell ref="FY10:GC10"/>
    <mergeCell ref="DK30:DN30"/>
    <mergeCell ref="BU12:BY12"/>
    <mergeCell ref="BU21:BY21"/>
    <mergeCell ref="DK39:DO39"/>
    <mergeCell ref="CM29:CQ29"/>
    <mergeCell ref="DW12:EA12"/>
    <mergeCell ref="EI12:EM12"/>
    <mergeCell ref="HO10:HS10"/>
    <mergeCell ref="EI21:EM21"/>
    <mergeCell ref="Y21:AC21"/>
    <mergeCell ref="GK30:GN30"/>
    <mergeCell ref="AQ21:AU21"/>
    <mergeCell ref="IA10:IE10"/>
    <mergeCell ref="CA30:CD30"/>
    <mergeCell ref="CA21:CE21"/>
    <mergeCell ref="M10:Q10"/>
    <mergeCell ref="FM39:FQ39"/>
    <mergeCell ref="CM12:CQ12"/>
    <mergeCell ref="CM30:CP30"/>
    <mergeCell ref="CM21:CQ21"/>
    <mergeCell ref="GE30:GH30"/>
    <mergeCell ref="EO12:ES12"/>
    <mergeCell ref="DE21:DI21"/>
    <mergeCell ref="EO30:ER30"/>
    <mergeCell ref="Y10:AC10"/>
    <mergeCell ref="BU48:BY48"/>
    <mergeCell ref="IM10:IQ10"/>
    <mergeCell ref="DW39:EA39"/>
    <mergeCell ref="GQ30:GT30"/>
    <mergeCell ref="DW48:EA48"/>
    <mergeCell ref="CG48:CK48"/>
    <mergeCell ref="IY10:JC10"/>
    <mergeCell ref="EI39:EM39"/>
    <mergeCell ref="S10:W10"/>
    <mergeCell ref="IS30:IV30"/>
    <mergeCell ref="EI48:EM48"/>
    <mergeCell ref="DK21:DO21"/>
    <mergeCell ref="AE10:AI10"/>
    <mergeCell ref="AQ48:AU48"/>
    <mergeCell ref="AW10:BA10"/>
    <mergeCell ref="FM30:FP30"/>
    <mergeCell ref="GW39:HA39"/>
    <mergeCell ref="CG10:CK10"/>
    <mergeCell ref="IS12:IW12"/>
    <mergeCell ref="HO30:HR30"/>
    <mergeCell ref="IY39:JC39"/>
    <mergeCell ref="BC48:BG48"/>
    <mergeCell ref="GK11:GO11"/>
    <mergeCell ref="HC11:HG11"/>
    <mergeCell ref="CS10:CW10"/>
    <mergeCell ref="EO39:ES39"/>
    <mergeCell ref="DE48:DI48"/>
    <mergeCell ref="HU12:HY12"/>
    <mergeCell ref="HU21:HX21"/>
    <mergeCell ref="EO48:ES48"/>
    <mergeCell ref="EU10:EY10"/>
    <mergeCell ref="A10:E10"/>
    <mergeCell ref="IG21:IJ21"/>
    <mergeCell ref="GW10:HA10"/>
    <mergeCell ref="AW30:AZ30"/>
    <mergeCell ref="FS39:FW39"/>
    <mergeCell ref="FA48:FE48"/>
    <mergeCell ref="HC39:HG39"/>
    <mergeCell ref="HO12:HS12"/>
    <mergeCell ref="BC10:BG10"/>
    <mergeCell ref="FM21:FQ21"/>
    <mergeCell ref="HC48:HG48"/>
    <mergeCell ref="HO21:HS21"/>
    <mergeCell ref="BO10:BS10"/>
    <mergeCell ref="HO39:HS39"/>
    <mergeCell ref="FA21:FD2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00FF"/>
    <outlinePr summaryBelow="0" summaryRight="0"/>
    <pageSetUpPr/>
  </sheetPr>
  <dimension ref="A1:AI2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2.63" customWidth="1" style="252" min="1" max="4"/>
    <col width="11.25" customWidth="1" style="252" min="5" max="7"/>
    <col width="3.75" customWidth="1" style="252" min="8" max="8"/>
    <col width="3.75" customWidth="1" style="252" min="14" max="14"/>
    <col width="15.75" customWidth="1" style="252" min="15" max="15"/>
    <col width="12.63" customWidth="1" style="252" min="16" max="18"/>
    <col width="13.88" customWidth="1" style="252" min="20" max="22"/>
    <col width="16.5" customWidth="1" style="252" min="23" max="23"/>
    <col width="14.38" customWidth="1" style="252" min="24" max="24"/>
    <col width="3.75" customWidth="1" style="252" min="25" max="25"/>
    <col width="12" customWidth="1" style="252" min="26" max="26"/>
    <col width="16.75" customWidth="1" style="252" min="27" max="27"/>
    <col width="16.38" customWidth="1" style="252" min="28" max="30"/>
  </cols>
  <sheetData>
    <row r="1" ht="15.75" customHeight="1" s="252">
      <c r="B1" s="237" t="inlineStr">
        <is>
          <t>Net Performance</t>
        </is>
      </c>
      <c r="G1" s="237" t="n"/>
      <c r="I1" s="237" t="inlineStr">
        <is>
          <t>APY (NET * 12)</t>
        </is>
      </c>
      <c r="O1" s="237" t="inlineStr">
        <is>
          <t>Indigo Fees</t>
        </is>
      </c>
      <c r="Z1" s="237" t="inlineStr">
        <is>
          <t>Currency value to USD</t>
        </is>
      </c>
      <c r="AE1" s="84" t="n"/>
      <c r="AF1" s="84" t="n"/>
      <c r="AG1" s="84" t="n"/>
      <c r="AH1" s="84" t="n"/>
      <c r="AI1" s="84" t="n"/>
    </row>
    <row r="2" ht="15.75" customHeight="1" s="252">
      <c r="A2" s="15" t="inlineStr">
        <is>
          <t>Alertes</t>
        </is>
      </c>
      <c r="B2" s="238">
        <f>3.5%/12</f>
        <v/>
      </c>
      <c r="C2" s="238">
        <f>7.5%/12</f>
        <v/>
      </c>
      <c r="D2" s="238">
        <f>7.75%/12</f>
        <v/>
      </c>
      <c r="E2" s="238" t="n"/>
      <c r="F2" s="238" t="n"/>
      <c r="G2" s="238" t="n"/>
      <c r="I2" s="238" t="n"/>
      <c r="J2" s="238" t="n"/>
      <c r="K2" s="238" t="n"/>
      <c r="L2" s="238" t="n"/>
      <c r="M2" s="238" t="n"/>
      <c r="O2" s="239">
        <f>SUM(O4:O1002)</f>
        <v/>
      </c>
      <c r="P2" s="239">
        <f>SUM(P4:P1002)</f>
        <v/>
      </c>
      <c r="Q2" s="239">
        <f>SUM(Q4:Q1002)</f>
        <v/>
      </c>
      <c r="R2" s="239">
        <f>SUM(R4:R1002)</f>
        <v/>
      </c>
      <c r="S2" s="239">
        <f>SUM(S4:S1002)</f>
        <v/>
      </c>
      <c r="T2" s="240">
        <f>SUM(T4:T1002)</f>
        <v/>
      </c>
      <c r="U2" s="240">
        <f>SUM(U4:U1002)</f>
        <v/>
      </c>
      <c r="V2" s="240" t="n"/>
      <c r="W2" s="241">
        <f>SUM(W4:W1002)</f>
        <v/>
      </c>
      <c r="X2" s="241">
        <f>SUM(X4:X1002)</f>
        <v/>
      </c>
      <c r="Z2" s="242" t="inlineStr">
        <is>
          <t>Yahoo Finance</t>
        </is>
      </c>
      <c r="AE2" s="243" t="n"/>
      <c r="AF2" s="243" t="n"/>
      <c r="AG2" s="243" t="n"/>
      <c r="AH2" s="243" t="n"/>
      <c r="AI2" s="243" t="n"/>
    </row>
    <row r="3" ht="15.75" customHeight="1" s="252">
      <c r="B3" s="244" t="inlineStr">
        <is>
          <t>BTC</t>
        </is>
      </c>
      <c r="C3" s="244" t="inlineStr">
        <is>
          <t>ETH</t>
        </is>
      </c>
      <c r="D3" s="244" t="inlineStr">
        <is>
          <t>Stable</t>
        </is>
      </c>
      <c r="E3" s="244" t="inlineStr">
        <is>
          <t>SOL</t>
        </is>
      </c>
      <c r="F3" s="244" t="inlineStr">
        <is>
          <t>XRP</t>
        </is>
      </c>
      <c r="G3" s="244" t="inlineStr">
        <is>
          <t>EUR</t>
        </is>
      </c>
      <c r="I3" s="244" t="inlineStr">
        <is>
          <t>BTC</t>
        </is>
      </c>
      <c r="J3" s="244" t="inlineStr">
        <is>
          <t>ETH</t>
        </is>
      </c>
      <c r="K3" s="244" t="inlineStr">
        <is>
          <t>Stable</t>
        </is>
      </c>
      <c r="L3" s="244" t="inlineStr">
        <is>
          <t>SOL</t>
        </is>
      </c>
      <c r="M3" s="244" t="inlineStr">
        <is>
          <t>XRP</t>
        </is>
      </c>
      <c r="O3" s="244" t="inlineStr">
        <is>
          <t>BTC Yield Fund</t>
        </is>
      </c>
      <c r="P3" s="244" t="inlineStr">
        <is>
          <t>BTC BP</t>
        </is>
      </c>
      <c r="Q3" s="244" t="inlineStr">
        <is>
          <t>BTC TAC</t>
        </is>
      </c>
      <c r="R3" s="244" t="inlineStr">
        <is>
          <t>ETH Yield Fund</t>
        </is>
      </c>
      <c r="S3" s="244" t="inlineStr">
        <is>
          <t>ETH TAC</t>
        </is>
      </c>
      <c r="T3" s="244" t="inlineStr">
        <is>
          <t>USDT Yield Fund</t>
        </is>
      </c>
      <c r="U3" s="244" t="inlineStr">
        <is>
          <t>SOL Yiled Fund</t>
        </is>
      </c>
      <c r="V3" s="244" t="inlineStr">
        <is>
          <t>XRP Yiled Fund</t>
        </is>
      </c>
      <c r="W3" s="245" t="inlineStr">
        <is>
          <t>End of month Value</t>
        </is>
      </c>
      <c r="X3" s="245" t="inlineStr">
        <is>
          <t>Today Value</t>
        </is>
      </c>
      <c r="Z3" s="244" t="n"/>
      <c r="AA3" s="244" t="inlineStr">
        <is>
          <t>BTC → USD</t>
        </is>
      </c>
      <c r="AB3" s="244" t="inlineStr">
        <is>
          <t>ETH → USD</t>
        </is>
      </c>
      <c r="AC3" s="244" t="inlineStr">
        <is>
          <t>SOL → USD</t>
        </is>
      </c>
      <c r="AD3" s="244" t="inlineStr">
        <is>
          <t>XRP → USD</t>
        </is>
      </c>
      <c r="AE3" s="243" t="n"/>
      <c r="AF3" s="243" t="n"/>
      <c r="AG3" s="243" t="n"/>
      <c r="AH3" s="243" t="n"/>
      <c r="AI3" s="243" t="n"/>
    </row>
    <row r="4" ht="15.75" customHeight="1" s="252">
      <c r="A4" s="246" t="n">
        <v>45504</v>
      </c>
      <c r="B4" s="89">
        <f>'BTC Yield Fund'!E5</f>
        <v/>
      </c>
      <c r="C4" s="89">
        <f>'Done - ETH TAC Program'!E3</f>
        <v/>
      </c>
      <c r="D4" s="247" t="n">
        <v>0.0123</v>
      </c>
      <c r="E4" s="247" t="n">
        <v>0.0071</v>
      </c>
      <c r="F4" s="89" t="n"/>
      <c r="G4" s="89" t="n"/>
      <c r="I4" s="89">
        <f>B4*12</f>
        <v/>
      </c>
      <c r="J4" s="89">
        <f>C4*12</f>
        <v/>
      </c>
      <c r="K4" s="89">
        <f>D4*12</f>
        <v/>
      </c>
      <c r="L4" s="89">
        <f>E4*12</f>
        <v/>
      </c>
      <c r="M4" s="89">
        <f>F4*12</f>
        <v/>
      </c>
      <c r="O4" s="189">
        <f>'BTC Yield Fund'!E9</f>
        <v/>
      </c>
      <c r="P4" s="189" t="n">
        <v>0</v>
      </c>
      <c r="Q4" s="189" t="n">
        <v>0</v>
      </c>
      <c r="R4" s="189" t="n">
        <v>0</v>
      </c>
      <c r="S4" s="189">
        <f>'Done - ETH TAC Program'!K2</f>
        <v/>
      </c>
      <c r="T4" s="220" t="n">
        <v>0</v>
      </c>
      <c r="U4" s="220" t="n"/>
      <c r="V4" s="220" t="n"/>
      <c r="W4" s="225">
        <f>SUM(O4:Q4)*AA4+SUM(R4:S4)*AB4+T4+U4*AC4+V4*AD4</f>
        <v/>
      </c>
      <c r="X4" s="225">
        <f>SUM(O4:Q4)*VLOOKUP(max($Z$4:$Z$1002),$Z$4:$AA$1002,2,FALSE)+SUM(R4:S4)*VLOOKUP(max($Z$4:$Z$1002),$Z$4:$AB$1002,3,FALSE)+T4+U4*VLOOKUP(max($Z$4:$Z$1002),$Z$4:$AC$1002,4,FALSE)+V4*VLOOKUP(max($Z$4:$Z$1002),$Z$4:$AD$1002,5,FALSE)</f>
        <v/>
      </c>
      <c r="Z4" s="172" t="n">
        <v>45505</v>
      </c>
      <c r="AA4" s="248" t="n">
        <v>58969.9</v>
      </c>
      <c r="AB4" s="248" t="n">
        <v>2513.39</v>
      </c>
      <c r="AC4" s="248" t="n">
        <v>135.37</v>
      </c>
      <c r="AD4" s="248" t="n"/>
      <c r="AE4" s="243" t="n"/>
      <c r="AF4" s="243" t="n"/>
      <c r="AG4" s="243" t="n"/>
      <c r="AH4" s="243" t="n"/>
      <c r="AI4" s="243" t="n"/>
    </row>
    <row r="5" ht="15.75" customHeight="1" s="252">
      <c r="A5" s="246" t="n">
        <v>45535</v>
      </c>
      <c r="B5" s="89">
        <f>(1+'BTC Yield Fund'!G5)*(1+'BTC Yield Fund'!F5)-1</f>
        <v/>
      </c>
      <c r="C5" s="89">
        <f>'Done - ETH TAC Program'!E4</f>
        <v/>
      </c>
      <c r="D5" s="247" t="n">
        <v>0.0136</v>
      </c>
      <c r="E5" s="247" t="n">
        <v>0.0074</v>
      </c>
      <c r="F5" s="89" t="n"/>
      <c r="G5" s="89" t="n"/>
      <c r="I5" s="89">
        <f>B5*12</f>
        <v/>
      </c>
      <c r="J5" s="89">
        <f>C5*12</f>
        <v/>
      </c>
      <c r="K5" s="89">
        <f>D5*12</f>
        <v/>
      </c>
      <c r="L5" s="89">
        <f>E5*12</f>
        <v/>
      </c>
      <c r="M5" s="89">
        <f>F5*12</f>
        <v/>
      </c>
      <c r="O5" s="189">
        <f>'BTC Yield Fund'!G9-'BTC Yield Fund'!E9</f>
        <v/>
      </c>
      <c r="P5" s="189" t="n">
        <v>0</v>
      </c>
      <c r="Q5" s="189" t="n">
        <v>0</v>
      </c>
      <c r="R5" s="189" t="n">
        <v>0</v>
      </c>
      <c r="S5" s="189">
        <f>'Done - ETH TAC Program'!L2-'Done - ETH TAC Program'!K2</f>
        <v/>
      </c>
      <c r="T5" s="220" t="n">
        <v>0</v>
      </c>
      <c r="U5" s="220" t="n"/>
      <c r="V5" s="220" t="n"/>
      <c r="W5" s="225">
        <f>SUM(O5:Q5)*AA5+SUM(R5:S5)*AB5+T5+U5*AC5+V5*AD5</f>
        <v/>
      </c>
      <c r="X5" s="225">
        <f>SUM(O5:Q5)*VLOOKUP(max($Z$4:$Z$1002),$Z$4:$AA$1002,2,FALSE)+SUM(R5:S5)*VLOOKUP(max($Z$4:$Z$1002),$Z$4:$AB$1002,3,FALSE)+T5+U5*VLOOKUP(max($Z$4:$Z$1002),$Z$4:$AC$1002,4,FALSE)+V5*VLOOKUP(max($Z$4:$Z$1002),$Z$4:$AD$1002,5,FALSE)</f>
        <v/>
      </c>
      <c r="Z5" s="172" t="n">
        <v>45536</v>
      </c>
      <c r="AA5" s="248" t="n">
        <v>63329.5</v>
      </c>
      <c r="AB5" s="248" t="n">
        <v>2603.06</v>
      </c>
      <c r="AC5" s="248" t="n">
        <v>152.62</v>
      </c>
      <c r="AD5" s="248" t="n"/>
      <c r="AE5" s="243" t="n"/>
      <c r="AF5" s="243" t="n"/>
      <c r="AG5" s="243" t="n"/>
      <c r="AH5" s="243" t="n"/>
      <c r="AI5" s="243" t="n"/>
    </row>
    <row r="6" ht="15.75" customHeight="1" s="252">
      <c r="A6" s="246" t="n">
        <v>45565</v>
      </c>
      <c r="B6" s="89">
        <f>'BTC Yield Fund'!H5</f>
        <v/>
      </c>
      <c r="C6" s="89">
        <f>'Done - ETH TAC Program'!E5</f>
        <v/>
      </c>
      <c r="D6" s="247" t="n">
        <v>0.0128</v>
      </c>
      <c r="E6" s="247" t="n">
        <v>0.0066</v>
      </c>
      <c r="F6" s="89" t="n"/>
      <c r="G6" s="89" t="n"/>
      <c r="I6" s="89">
        <f>B6*12</f>
        <v/>
      </c>
      <c r="J6" s="89">
        <f>C6*12</f>
        <v/>
      </c>
      <c r="K6" s="89">
        <f>D6*12</f>
        <v/>
      </c>
      <c r="L6" s="89">
        <f>E6*12</f>
        <v/>
      </c>
      <c r="M6" s="89">
        <f>F6*12</f>
        <v/>
      </c>
      <c r="O6" s="189">
        <f>'BTC Yield Fund'!H9-'BTC Yield Fund'!G9</f>
        <v/>
      </c>
      <c r="P6" s="189" t="n">
        <v>0</v>
      </c>
      <c r="Q6" s="189" t="n">
        <v>0</v>
      </c>
      <c r="R6" s="189" t="n">
        <v>0</v>
      </c>
      <c r="S6" s="189">
        <f>'Done - ETH TAC Program'!M2-'Done - ETH TAC Program'!L2</f>
        <v/>
      </c>
      <c r="T6" s="220" t="n">
        <v>0</v>
      </c>
      <c r="U6" s="220" t="n"/>
      <c r="V6" s="220" t="n"/>
      <c r="W6" s="225">
        <f>SUM(O6:Q6)*AA6+SUM(R6:S6)*AB6+T6+U6*AC6+V6*AD6</f>
        <v/>
      </c>
      <c r="X6" s="225">
        <f>SUM(O6:Q6)*VLOOKUP(max($Z$4:$Z$1002),$Z$4:$AA$1002,2,FALSE)+SUM(R6:S6)*VLOOKUP(max($Z$4:$Z$1002),$Z$4:$AB$1002,3,FALSE)+T6+U6*VLOOKUP(max($Z$4:$Z$1002),$Z$4:$AC$1002,4,FALSE)+V6*VLOOKUP(max($Z$4:$Z$1002),$Z$4:$AD$1002,5,FALSE)</f>
        <v/>
      </c>
      <c r="Z6" s="172" t="n">
        <v>45566</v>
      </c>
      <c r="AA6" s="248" t="n">
        <v>70215.19</v>
      </c>
      <c r="AB6" s="248" t="n">
        <v>2515.8</v>
      </c>
      <c r="AC6" s="248" t="n">
        <v>168.43</v>
      </c>
      <c r="AD6" s="248" t="n"/>
      <c r="AE6" s="243" t="n"/>
      <c r="AF6" s="243" t="n"/>
      <c r="AG6" s="243" t="n"/>
      <c r="AH6" s="243" t="n"/>
      <c r="AI6" s="243" t="n"/>
    </row>
    <row r="7" ht="15.75" customHeight="1" s="252">
      <c r="A7" s="246" t="n">
        <v>45596</v>
      </c>
      <c r="B7" s="89">
        <f>'BTC Yield Fund'!I5</f>
        <v/>
      </c>
      <c r="C7" s="89">
        <f>1.66%*0.8</f>
        <v/>
      </c>
      <c r="D7" s="247" t="n">
        <v>0.0132</v>
      </c>
      <c r="E7" s="247" t="n">
        <v>0.007</v>
      </c>
      <c r="F7" s="89" t="n"/>
      <c r="G7" s="89" t="n"/>
      <c r="I7" s="89">
        <f>B7*12</f>
        <v/>
      </c>
      <c r="J7" s="89">
        <f>C7*12</f>
        <v/>
      </c>
      <c r="K7" s="89">
        <f>D7*12</f>
        <v/>
      </c>
      <c r="L7" s="89">
        <f>E7*12</f>
        <v/>
      </c>
      <c r="M7" s="89">
        <f>F7*12</f>
        <v/>
      </c>
      <c r="O7" s="189">
        <f>'BTC Yield Fund'!I9-'BTC Yield Fund'!H9</f>
        <v/>
      </c>
      <c r="P7" s="189" t="n">
        <v>0</v>
      </c>
      <c r="Q7" s="189" t="n">
        <v>0</v>
      </c>
      <c r="R7" s="189" t="n">
        <v>0</v>
      </c>
      <c r="S7" s="189">
        <f>'Done - ETH TAC Program'!O2-'Done - ETH TAC Program'!M2</f>
        <v/>
      </c>
      <c r="T7" s="220" t="n">
        <v>0</v>
      </c>
      <c r="U7" s="220" t="n"/>
      <c r="V7" s="220" t="n"/>
      <c r="W7" s="225">
        <f>SUM(O7:Q7)*AA7+SUM(R7:S7)*AB7+T7+U7*AC7+V7*AD7</f>
        <v/>
      </c>
      <c r="X7" s="225">
        <f>SUM(O7:Q7)*VLOOKUP(max($Z$4:$Z$1002),$Z$4:$AA$1002,2,FALSE)+SUM(R7:S7)*VLOOKUP(max($Z$4:$Z$1002),$Z$4:$AB$1002,3,FALSE)+T7+U7*VLOOKUP(max($Z$4:$Z$1002),$Z$4:$AC$1002,4,FALSE)+V7*VLOOKUP(max($Z$4:$Z$1002),$Z$4:$AD$1002,5,FALSE)</f>
        <v/>
      </c>
      <c r="Z7" s="172" t="n">
        <v>45597</v>
      </c>
      <c r="AA7" s="248" t="n">
        <v>96449.05</v>
      </c>
      <c r="AB7" s="248" t="n">
        <v>3705.71</v>
      </c>
      <c r="AC7" s="248" t="n">
        <v>237.74</v>
      </c>
      <c r="AD7" s="248" t="n"/>
      <c r="AE7" s="243" t="n"/>
      <c r="AF7" s="243" t="n"/>
      <c r="AG7" s="243" t="n"/>
      <c r="AH7" s="243" t="n"/>
      <c r="AI7" s="243" t="n"/>
    </row>
    <row r="8" ht="15.75" customHeight="1" s="252">
      <c r="A8" s="246" t="n">
        <v>45626</v>
      </c>
      <c r="B8" s="89">
        <f>(1+'BTC Yield Fund'!J5)*(1+'BTC Yield Fund'!K5)-1</f>
        <v/>
      </c>
      <c r="C8" s="89">
        <f>1.66%*0.8</f>
        <v/>
      </c>
      <c r="D8" s="247" t="n">
        <v>0.0124</v>
      </c>
      <c r="E8" s="247" t="n">
        <v>0.0086</v>
      </c>
      <c r="F8" s="89" t="n"/>
      <c r="G8" s="89" t="n"/>
      <c r="I8" s="89">
        <f>B8*12</f>
        <v/>
      </c>
      <c r="J8" s="89">
        <f>C8*12</f>
        <v/>
      </c>
      <c r="K8" s="89">
        <f>D8*12</f>
        <v/>
      </c>
      <c r="L8" s="89">
        <f>E8*12</f>
        <v/>
      </c>
      <c r="M8" s="89">
        <f>F8*12</f>
        <v/>
      </c>
      <c r="O8" s="189">
        <f>'BTC Yield Fund'!K9-'BTC Yield Fund'!I9</f>
        <v/>
      </c>
      <c r="P8" s="189" t="n">
        <v>0</v>
      </c>
      <c r="Q8" s="189" t="n">
        <v>0</v>
      </c>
      <c r="R8" s="189" t="n">
        <v>0</v>
      </c>
      <c r="S8" s="189">
        <f>'Done - ETH TAC Program'!P2-'Done - ETH TAC Program'!O2</f>
        <v/>
      </c>
      <c r="T8" s="220" t="n">
        <v>0</v>
      </c>
      <c r="U8" s="220" t="n"/>
      <c r="V8" s="220" t="n"/>
      <c r="W8" s="225">
        <f>SUM(O8:Q8)*AA8+SUM(R8:S8)*AB8+T8+U8*AC8+V8*AD8</f>
        <v/>
      </c>
      <c r="X8" s="225">
        <f>SUM(O8:Q8)*VLOOKUP(max($Z$4:$Z$1002),$Z$4:$AA$1002,2,FALSE)+SUM(R8:S8)*VLOOKUP(max($Z$4:$Z$1002),$Z$4:$AB$1002,3,FALSE)+T8+U8*VLOOKUP(max($Z$4:$Z$1002),$Z$4:$AC$1002,4,FALSE)+V8*VLOOKUP(max($Z$4:$Z$1002),$Z$4:$AD$1002,5,FALSE)</f>
        <v/>
      </c>
      <c r="Z8" s="172" t="n">
        <v>45627</v>
      </c>
      <c r="AA8" s="248" t="n">
        <v>93429.2</v>
      </c>
      <c r="AB8" s="248" t="n">
        <v>3332.53</v>
      </c>
      <c r="AC8" s="248" t="n">
        <v>189.26</v>
      </c>
      <c r="AD8" s="248" t="n"/>
      <c r="AE8" s="243" t="n"/>
      <c r="AF8" s="243" t="n"/>
      <c r="AG8" s="243" t="n"/>
      <c r="AH8" s="243" t="n"/>
      <c r="AI8" s="243" t="n"/>
    </row>
    <row r="9" ht="15.75" customHeight="1" s="252">
      <c r="A9" s="246" t="n">
        <v>45657</v>
      </c>
      <c r="B9" s="89">
        <f>(1+'BTC Yield Fund'!L5)*(1+'BTC Yield Fund'!N5)-1</f>
        <v/>
      </c>
      <c r="C9" s="89">
        <f>1.66%*0.8</f>
        <v/>
      </c>
      <c r="D9" s="247" t="n">
        <v>0.0127</v>
      </c>
      <c r="E9" s="247" t="n">
        <v>0.0102</v>
      </c>
      <c r="F9" s="89" t="n"/>
      <c r="G9" s="89" t="n"/>
      <c r="I9" s="89">
        <f>B9*12</f>
        <v/>
      </c>
      <c r="J9" s="89">
        <f>C9*12</f>
        <v/>
      </c>
      <c r="K9" s="89">
        <f>D9*12</f>
        <v/>
      </c>
      <c r="L9" s="89">
        <f>E9*12</f>
        <v/>
      </c>
      <c r="M9" s="89">
        <f>F9*12</f>
        <v/>
      </c>
      <c r="O9" s="189">
        <f>'BTC Yield Fund'!N9-'BTC Yield Fund'!K9</f>
        <v/>
      </c>
      <c r="P9" s="189">
        <f>'DONE - BTC Boosted Program'!L2</f>
        <v/>
      </c>
      <c r="Q9" s="189" t="n">
        <v>0</v>
      </c>
      <c r="R9" s="189" t="n">
        <v>0</v>
      </c>
      <c r="S9" s="189">
        <f>'Done - ETH TAC Program'!Q2-'Done - ETH TAC Program'!P2</f>
        <v/>
      </c>
      <c r="T9" s="220" t="n">
        <v>0</v>
      </c>
      <c r="U9" s="220" t="n"/>
      <c r="V9" s="220" t="n"/>
      <c r="W9" s="225">
        <f>SUM(O9:Q9)*AA9+SUM(R9:S9)*AB9+T9+U9*AC9+V9*AD9</f>
        <v/>
      </c>
      <c r="X9" s="225">
        <f>SUM(O9:Q9)*VLOOKUP(max($Z$4:$Z$1002),$Z$4:$AA$1002,2,FALSE)+SUM(R9:S9)*VLOOKUP(max($Z$4:$Z$1002),$Z$4:$AB$1002,3,FALSE)+T9+U9*VLOOKUP(max($Z$4:$Z$1002),$Z$4:$AC$1002,4,FALSE)+V9*VLOOKUP(max($Z$4:$Z$1002),$Z$4:$AD$1002,5,FALSE)</f>
        <v/>
      </c>
      <c r="Z9" s="172" t="n">
        <v>45658</v>
      </c>
      <c r="AA9" s="248" t="n">
        <v>102405.02</v>
      </c>
      <c r="AB9" s="248" t="n">
        <v>3298.27</v>
      </c>
      <c r="AC9" s="248" t="n">
        <v>231.64</v>
      </c>
      <c r="AD9" s="248" t="n"/>
      <c r="AE9" s="243" t="n"/>
      <c r="AF9" s="243" t="n"/>
      <c r="AG9" s="243" t="n"/>
      <c r="AH9" s="243" t="n"/>
      <c r="AI9" s="243" t="n"/>
    </row>
    <row r="10" ht="15.75" customHeight="1" s="252">
      <c r="A10" s="246" t="n">
        <v>45688</v>
      </c>
      <c r="B10" s="89">
        <f>'BTC Yield Fund'!O5</f>
        <v/>
      </c>
      <c r="C10" s="89">
        <f>'Done - ETH TAC Program'!E12</f>
        <v/>
      </c>
      <c r="D10" s="247" t="n">
        <v>0.013</v>
      </c>
      <c r="E10" s="247" t="n">
        <v>0.0105</v>
      </c>
      <c r="F10" s="89" t="n"/>
      <c r="G10" s="89" t="n"/>
      <c r="I10" s="89">
        <f>B10*12</f>
        <v/>
      </c>
      <c r="J10" s="89">
        <f>C10*12</f>
        <v/>
      </c>
      <c r="K10" s="89">
        <f>D10*12</f>
        <v/>
      </c>
      <c r="L10" s="89">
        <f>E10*12</f>
        <v/>
      </c>
      <c r="M10" s="89">
        <f>F10*12</f>
        <v/>
      </c>
      <c r="O10" s="189">
        <f>'BTC Yield Fund'!O9-'BTC Yield Fund'!N9</f>
        <v/>
      </c>
      <c r="P10" s="189">
        <f>'DONE - BTC Boosted Program'!M2-'DONE - BTC Boosted Program'!L2</f>
        <v/>
      </c>
      <c r="Q10" s="189" t="n">
        <v>0</v>
      </c>
      <c r="R10" s="189" t="n">
        <v>0</v>
      </c>
      <c r="S10" s="189">
        <f>'Done - ETH TAC Program'!R2-'Done - ETH TAC Program'!Q2</f>
        <v/>
      </c>
      <c r="T10" s="220" t="n">
        <v>0</v>
      </c>
      <c r="U10" s="220" t="n"/>
      <c r="V10" s="220" t="n"/>
      <c r="W10" s="225">
        <f>SUM(O10:Q10)*AA10+SUM(R10:S10)*AB10+T10+U10*AC10+V10*AD10</f>
        <v/>
      </c>
      <c r="X10" s="225">
        <f>SUM(O10:Q10)*VLOOKUP(max($Z$4:$Z$1002),$Z$4:$AA$1002,2,FALSE)+SUM(R10:S10)*VLOOKUP(max($Z$4:$Z$1002),$Z$4:$AB$1002,3,FALSE)+T10+U10*VLOOKUP(max($Z$4:$Z$1002),$Z$4:$AC$1002,4,FALSE)+V10*VLOOKUP(max($Z$4:$Z$1002),$Z$4:$AD$1002,5,FALSE)</f>
        <v/>
      </c>
      <c r="Z10" s="172" t="n">
        <v>45689</v>
      </c>
      <c r="AA10" s="248" t="n">
        <v>84373.00999999999</v>
      </c>
      <c r="AB10" s="248" t="n">
        <v>2237.91</v>
      </c>
      <c r="AC10" s="248" t="n">
        <v>148.03</v>
      </c>
      <c r="AD10" s="248" t="n"/>
      <c r="AE10" s="243" t="n"/>
      <c r="AF10" s="243" t="n"/>
      <c r="AG10" s="243" t="n"/>
      <c r="AH10" s="243" t="n"/>
      <c r="AI10" s="243" t="n"/>
    </row>
    <row r="11" ht="15.75" customHeight="1" s="252">
      <c r="A11" s="246" t="n">
        <v>45716</v>
      </c>
      <c r="B11" s="89">
        <f>'BTC Yield Fund'!P5</f>
        <v/>
      </c>
      <c r="C11" s="89">
        <f>'Done - ETH TAC Program'!E13</f>
        <v/>
      </c>
      <c r="D11" s="247" t="n">
        <v>0.0126</v>
      </c>
      <c r="E11" s="247" t="n">
        <v>0.0089</v>
      </c>
      <c r="F11" s="89" t="n"/>
      <c r="G11" s="89" t="n"/>
      <c r="I11" s="89">
        <f>B11*12</f>
        <v/>
      </c>
      <c r="J11" s="89">
        <f>C11*12</f>
        <v/>
      </c>
      <c r="K11" s="89">
        <f>D11*12</f>
        <v/>
      </c>
      <c r="L11" s="89">
        <f>E11*12</f>
        <v/>
      </c>
      <c r="M11" s="89">
        <f>F11*12</f>
        <v/>
      </c>
      <c r="O11" s="189">
        <f>'BTC Yield Fund'!P9-'BTC Yield Fund'!O9</f>
        <v/>
      </c>
      <c r="P11" s="189">
        <f>'DONE - BTC Boosted Program'!N2-'DONE - BTC Boosted Program'!M2</f>
        <v/>
      </c>
      <c r="Q11" s="189" t="n">
        <v>0</v>
      </c>
      <c r="R11" s="189" t="n">
        <v>0</v>
      </c>
      <c r="S11" s="189">
        <f>'Done - ETH TAC Program'!S2-'Done - ETH TAC Program'!R2</f>
        <v/>
      </c>
      <c r="T11" s="220" t="n">
        <v>0</v>
      </c>
      <c r="U11" s="220" t="n"/>
      <c r="V11" s="220" t="n"/>
      <c r="W11" s="225">
        <f>SUM(O11:Q11)*AA11+SUM(R11:S11)*AB11+T11+U11*AC11+V11*AD11</f>
        <v/>
      </c>
      <c r="X11" s="225">
        <f>SUM(O11:Q11)*VLOOKUP(max($Z$4:$Z$1002),$Z$4:$AA$1002,2,FALSE)+SUM(R11:S11)*VLOOKUP(max($Z$4:$Z$1002),$Z$4:$AB$1002,3,FALSE)+T11+U11*VLOOKUP(max($Z$4:$Z$1002),$Z$4:$AC$1002,4,FALSE)+V11*VLOOKUP(max($Z$4:$Z$1002),$Z$4:$AD$1002,5,FALSE)</f>
        <v/>
      </c>
      <c r="Z11" s="172" t="n">
        <v>45717</v>
      </c>
      <c r="AA11" s="248" t="n">
        <v>82548.91</v>
      </c>
      <c r="AB11" s="248" t="n">
        <v>1823.48</v>
      </c>
      <c r="AC11" s="248" t="n">
        <v>124.69</v>
      </c>
      <c r="AD11" s="248" t="n"/>
      <c r="AE11" s="243" t="n"/>
      <c r="AF11" s="243" t="n"/>
      <c r="AG11" s="243" t="n"/>
      <c r="AH11" s="243" t="n"/>
      <c r="AI11" s="243" t="n"/>
    </row>
    <row r="12" ht="15.75" customHeight="1" s="252">
      <c r="A12" s="246" t="n">
        <v>45747</v>
      </c>
      <c r="B12" s="89">
        <f>'BTC Yield Fund'!Q5</f>
        <v/>
      </c>
      <c r="C12" s="89">
        <f>'Done - ETH TAC Program'!E15</f>
        <v/>
      </c>
      <c r="D12" s="247" t="n">
        <v>0.0131</v>
      </c>
      <c r="E12" s="247" t="n">
        <v>0.009900000000000001</v>
      </c>
      <c r="F12" s="89" t="n"/>
      <c r="G12" s="14" t="n">
        <v>0.0108</v>
      </c>
      <c r="I12" s="89">
        <f>B12*12</f>
        <v/>
      </c>
      <c r="J12" s="89">
        <f>C12*12</f>
        <v/>
      </c>
      <c r="K12" s="89">
        <f>D12*12</f>
        <v/>
      </c>
      <c r="L12" s="89">
        <f>E12*12</f>
        <v/>
      </c>
      <c r="M12" s="89">
        <f>F12*12</f>
        <v/>
      </c>
      <c r="O12" s="189">
        <f>'BTC Yield Fund'!Q9-'BTC Yield Fund'!P9</f>
        <v/>
      </c>
      <c r="P12" s="189">
        <f>'DONE - BTC Boosted Program'!O2-'DONE - BTC Boosted Program'!N2</f>
        <v/>
      </c>
      <c r="Q12" s="189" t="n">
        <v>0</v>
      </c>
      <c r="R12" s="189" t="n">
        <v>0</v>
      </c>
      <c r="S12" s="189">
        <f>'Done - ETH TAC Program'!T2-'Done - ETH TAC Program'!S2</f>
        <v/>
      </c>
      <c r="T12" s="220" t="n">
        <v>0</v>
      </c>
      <c r="U12" s="220" t="n"/>
      <c r="V12" s="220" t="n"/>
      <c r="W12" s="225">
        <f>SUM(O12:Q12)*AA12+SUM(R12:S12)*AB12+T12+U12*AC12+V12*AD12</f>
        <v/>
      </c>
      <c r="X12" s="225">
        <f>SUM(O12:Q12)*VLOOKUP(max($Z$4:$Z$1002),$Z$4:$AA$1002,2,FALSE)+SUM(R12:S12)*VLOOKUP(max($Z$4:$Z$1002),$Z$4:$AB$1002,3,FALSE)+T12+U12*VLOOKUP(max($Z$4:$Z$1002),$Z$4:$AC$1002,4,FALSE)+V12*VLOOKUP(max($Z$4:$Z$1002),$Z$4:$AD$1002,5,FALSE)</f>
        <v/>
      </c>
      <c r="Z12" s="172" t="n">
        <v>45748</v>
      </c>
      <c r="AA12" s="248" t="n">
        <v>94207.31</v>
      </c>
      <c r="AB12" s="248" t="n">
        <v>1793.78</v>
      </c>
      <c r="AC12" s="248" t="n">
        <v>147.64</v>
      </c>
      <c r="AD12" s="248" t="n"/>
      <c r="AE12" s="243" t="n"/>
      <c r="AF12" s="243" t="n"/>
      <c r="AG12" s="243" t="n"/>
      <c r="AH12" s="243" t="n"/>
      <c r="AI12" s="243" t="n"/>
    </row>
    <row r="13" ht="15.75" customHeight="1" s="252">
      <c r="A13" s="246" t="n">
        <v>45777</v>
      </c>
      <c r="B13" s="89">
        <f>(1+'BTC Yield Fund'!R5)*(1+'BTC Yield Fund'!S5)-1</f>
        <v/>
      </c>
      <c r="C13" s="89">
        <f>'Done - ETH TAC Program'!E17</f>
        <v/>
      </c>
      <c r="D13" s="247" t="n">
        <v>0.00826</v>
      </c>
      <c r="E13" s="247" t="n">
        <v>0.0098</v>
      </c>
      <c r="F13" s="89" t="n"/>
      <c r="G13" s="14" t="n">
        <v>0.0064</v>
      </c>
      <c r="I13" s="89">
        <f>B13*12</f>
        <v/>
      </c>
      <c r="J13" s="89">
        <f>C13*12</f>
        <v/>
      </c>
      <c r="K13" s="89">
        <f>D13*12</f>
        <v/>
      </c>
      <c r="L13" s="89">
        <f>E13*12</f>
        <v/>
      </c>
      <c r="M13" s="89">
        <f>F13*12</f>
        <v/>
      </c>
      <c r="O13" s="189">
        <f>'BTC Yield Fund'!S9-'BTC Yield Fund'!Q9-SUM(P9:P13)</f>
        <v/>
      </c>
      <c r="P13" s="189">
        <f>'DONE - BTC Boosted Program'!P2-'DONE - BTC Boosted Program'!O2</f>
        <v/>
      </c>
      <c r="Q13" s="189" t="n">
        <v>0</v>
      </c>
      <c r="R13" s="189" t="n">
        <v>0</v>
      </c>
      <c r="S13" s="189">
        <f>'Done - ETH TAC Program'!U2-'Done - ETH TAC Program'!T2</f>
        <v/>
      </c>
      <c r="T13" s="220" t="n">
        <v>0</v>
      </c>
      <c r="U13" s="220" t="n"/>
      <c r="V13" s="220" t="n"/>
      <c r="W13" s="225">
        <f>SUM(O13:Q13)*AA13+SUM(R13:S13)*AB13+T13+U13*AC13+V13*AD13</f>
        <v/>
      </c>
      <c r="X13" s="225">
        <f>SUM(O13:Q13)*VLOOKUP(max($Z$4:$Z$1002),$Z$4:$AA$1002,2,FALSE)+SUM(R13:S13)*VLOOKUP(max($Z$4:$Z$1002),$Z$4:$AB$1002,3,FALSE)+T13+U13*VLOOKUP(max($Z$4:$Z$1002),$Z$4:$AC$1002,4,FALSE)+V13*VLOOKUP(max($Z$4:$Z$1002),$Z$4:$AD$1002,5,FALSE)</f>
        <v/>
      </c>
      <c r="Z13" s="172" t="n">
        <v>45778</v>
      </c>
      <c r="AA13" s="248" t="n">
        <v>104638.09</v>
      </c>
      <c r="AB13" s="248" t="n">
        <v>2529.09</v>
      </c>
      <c r="AC13" s="248" t="n">
        <v>156.64</v>
      </c>
      <c r="AD13" s="248" t="n"/>
      <c r="AE13" s="243" t="n"/>
      <c r="AF13" s="243" t="n"/>
      <c r="AG13" s="243" t="n"/>
      <c r="AH13" s="243" t="n"/>
      <c r="AI13" s="243" t="n"/>
    </row>
    <row r="14" ht="15.75" customHeight="1" s="252">
      <c r="A14" s="246" t="n">
        <v>45808</v>
      </c>
      <c r="B14" s="89">
        <f>(1+'BTC Yield Fund'!T5)*(1+'BTC Yield Fund'!U5)-1</f>
        <v/>
      </c>
      <c r="C14" s="89">
        <f>'Done - ETH TAC Program'!E18</f>
        <v/>
      </c>
      <c r="D14" s="247" t="n">
        <v>0.00765</v>
      </c>
      <c r="E14" s="247" t="n">
        <v>0.0102</v>
      </c>
      <c r="F14" s="89" t="n"/>
      <c r="G14" s="14" t="n">
        <v>0.0068</v>
      </c>
      <c r="I14" s="89">
        <f>B14*12</f>
        <v/>
      </c>
      <c r="J14" s="89">
        <f>C14*12</f>
        <v/>
      </c>
      <c r="K14" s="89">
        <f>D14*12</f>
        <v/>
      </c>
      <c r="L14" s="89">
        <f>E14*12</f>
        <v/>
      </c>
      <c r="M14" s="89">
        <f>F14*12</f>
        <v/>
      </c>
      <c r="O14" s="189">
        <f>'BTC Yield Fund'!U9-'BTC Yield Fund'!S9</f>
        <v/>
      </c>
      <c r="P14" s="189" t="n">
        <v>0</v>
      </c>
      <c r="Q14" s="189" t="n">
        <v>0</v>
      </c>
      <c r="R14" s="189">
        <f>'ETH Yield Fund'!E9</f>
        <v/>
      </c>
      <c r="S14" s="189">
        <f>'Done - ETH TAC Program'!V2-'Done - ETH TAC Program'!U2</f>
        <v/>
      </c>
      <c r="T14" s="220" t="n">
        <v>0</v>
      </c>
      <c r="U14" s="220" t="n"/>
      <c r="V14" s="220" t="n"/>
      <c r="W14" s="225">
        <f>SUM(O14:Q14)*AA14+SUM(R14:S14)*AB14+T14+U14*AC14+V14*AD14</f>
        <v/>
      </c>
      <c r="X14" s="225">
        <f>SUM(O14:Q14)*VLOOKUP(max($Z$4:$Z$1002),$Z$4:$AA$1002,2,FALSE)+SUM(R14:S14)*VLOOKUP(max($Z$4:$Z$1002),$Z$4:$AB$1002,3,FALSE)+T14+U14*VLOOKUP(max($Z$4:$Z$1002),$Z$4:$AC$1002,4,FALSE)+V14*VLOOKUP(max($Z$4:$Z$1002),$Z$4:$AD$1002,5,FALSE)</f>
        <v/>
      </c>
      <c r="Z14" s="172" t="n">
        <v>45809</v>
      </c>
      <c r="AA14" s="248" t="n">
        <v>107135.34</v>
      </c>
      <c r="AB14" s="248" t="n">
        <v>2486.46</v>
      </c>
      <c r="AC14" s="248" t="n">
        <v>154.74</v>
      </c>
      <c r="AD14" s="248" t="n"/>
    </row>
    <row r="15" ht="15.75" customHeight="1" s="252">
      <c r="A15" s="246" t="n">
        <v>45838</v>
      </c>
      <c r="B15" s="89">
        <f>(1+'BTC Yield Fund'!V5)*(1+'BTC Yield Fund'!W5)-1</f>
        <v/>
      </c>
      <c r="C15" s="89">
        <f>'Done - ETH TAC Program'!E19</f>
        <v/>
      </c>
      <c r="D15" s="247" t="n">
        <v>0.0101</v>
      </c>
      <c r="E15" s="247" t="n">
        <v>0.0102</v>
      </c>
      <c r="F15" s="89" t="n"/>
      <c r="G15" s="14" t="n">
        <v>0.0066</v>
      </c>
      <c r="I15" s="89">
        <f>B15*12</f>
        <v/>
      </c>
      <c r="J15" s="89">
        <f>C15*12</f>
        <v/>
      </c>
      <c r="K15" s="89">
        <f>D15*12</f>
        <v/>
      </c>
      <c r="L15" s="89">
        <f>E15*12</f>
        <v/>
      </c>
      <c r="M15" s="89">
        <f>F15*12</f>
        <v/>
      </c>
      <c r="O15" s="189">
        <f>'BTC Yield Fund'!W9-'BTC Yield Fund'!U9</f>
        <v/>
      </c>
      <c r="P15" s="189" t="n">
        <v>0</v>
      </c>
      <c r="Q15" s="189" t="n">
        <v>0</v>
      </c>
      <c r="R15" s="189">
        <f>'ETH Yield Fund'!F9-'ETH Yield Fund'!E9</f>
        <v/>
      </c>
      <c r="S15" s="189">
        <f>'Done - ETH TAC Program'!W2-'Done - ETH TAC Program'!V2</f>
        <v/>
      </c>
      <c r="T15" s="220" t="n">
        <v>0</v>
      </c>
      <c r="U15" s="220" t="n"/>
      <c r="V15" s="220" t="n"/>
      <c r="W15" s="225">
        <f>SUM(O15:Q15)*AA15+SUM(R15:S15)*AB15+T15+U15*AC15+V15*AD15</f>
        <v/>
      </c>
      <c r="X15" s="225">
        <f>SUM(O15:Q15)*VLOOKUP(max($Z$4:$Z$1002),$Z$4:$AA$1002,2,FALSE)+SUM(R15:S15)*VLOOKUP(max($Z$4:$Z$1002),$Z$4:$AB$1002,3,FALSE)+T15+U15*VLOOKUP(max($Z$4:$Z$1002),$Z$4:$AC$1002,4,FALSE)+V15*VLOOKUP(max($Z$4:$Z$1002),$Z$4:$AD$1002,5,FALSE)</f>
        <v/>
      </c>
      <c r="Z15" s="172" t="n">
        <v>45839</v>
      </c>
      <c r="AA15" s="248" t="n">
        <v>115758.2</v>
      </c>
      <c r="AB15" s="248" t="n">
        <v>3696.71</v>
      </c>
      <c r="AC15" s="248" t="n">
        <v>172.42</v>
      </c>
      <c r="AD15" s="248" t="n"/>
    </row>
    <row r="16" ht="15.75" customHeight="1" s="252">
      <c r="A16" s="246" t="n">
        <v>45869</v>
      </c>
      <c r="B16" s="89">
        <f>(1+'BTC Yield Fund'!X5)*(1+'BTC Yield Fund'!Y5)*(1+'BTC Yield Fund'!Z5)*(1+'BTC Yield Fund'!AA5)-1</f>
        <v/>
      </c>
      <c r="C16" s="89">
        <f>(1+'ETH Yield Fund'!G5)*(1+'ETH Yield Fund'!H5)-1</f>
        <v/>
      </c>
      <c r="D16" s="89">
        <f>(1+'USDT Yield Fund'!F5)*(1+'USDT Yield Fund'!G5)*(1+'USDT Yield Fund'!H5)*(1+'USDT Yield Fund'!I5)-1</f>
        <v/>
      </c>
      <c r="E16" s="247" t="n">
        <v>0.0094</v>
      </c>
      <c r="F16" s="89" t="n"/>
      <c r="G16" s="14" t="n">
        <v>0.0064</v>
      </c>
      <c r="I16" s="89">
        <f>B16*12</f>
        <v/>
      </c>
      <c r="J16" s="89">
        <f>C16*12</f>
        <v/>
      </c>
      <c r="K16" s="89">
        <f>D16*12</f>
        <v/>
      </c>
      <c r="L16" s="89">
        <f>E16*12</f>
        <v/>
      </c>
      <c r="M16" s="89">
        <f>F16*12</f>
        <v/>
      </c>
      <c r="O16" s="189">
        <f>'BTC Yield Fund'!AA9-'BTC Yield Fund'!W9</f>
        <v/>
      </c>
      <c r="P16" s="189" t="n">
        <v>0</v>
      </c>
      <c r="Q16" s="189" t="n">
        <v>0</v>
      </c>
      <c r="R16" s="189">
        <f>'ETH Yield Fund'!I9-'ETH Yield Fund'!F9-SUM(S4:S16)</f>
        <v/>
      </c>
      <c r="S16" s="189">
        <f>'Done - ETH TAC Program'!X2-'Done - ETH TAC Program'!W2</f>
        <v/>
      </c>
      <c r="T16" s="220">
        <f>'USDT Yield Fund'!I9</f>
        <v/>
      </c>
      <c r="U16" s="220" t="n"/>
      <c r="V16" s="220" t="n"/>
      <c r="W16" s="225">
        <f>SUM(O16:Q16)*AA16+SUM(R16:S16)*AB16+T16+U16*AC16+V16*AD16</f>
        <v/>
      </c>
      <c r="X16" s="225">
        <f>SUM(O16:Q16)*VLOOKUP(max($Z$4:$Z$1002),$Z$4:$AA$1002,2,FALSE)+SUM(R16:S16)*VLOOKUP(max($Z$4:$Z$1002),$Z$4:$AB$1002,3,FALSE)+T16+U16*VLOOKUP(max($Z$4:$Z$1002),$Z$4:$AC$1002,4,FALSE)+V16*VLOOKUP(max($Z$4:$Z$1002),$Z$4:$AD$1002,5,FALSE)</f>
        <v/>
      </c>
      <c r="Z16" s="172" t="n">
        <v>45870</v>
      </c>
      <c r="AA16" s="248" t="n">
        <v>108236.71</v>
      </c>
      <c r="AB16" s="248" t="n">
        <v>4390.02</v>
      </c>
      <c r="AC16" s="248" t="n">
        <v>200.86</v>
      </c>
      <c r="AD16" s="248" t="n"/>
    </row>
    <row r="17" ht="15.75" customHeight="1" s="252">
      <c r="A17" s="246" t="n">
        <v>45900</v>
      </c>
      <c r="B17" s="89">
        <f>(1+'BTC Yield Fund'!AB5)*(1+'BTC Yield Fund'!AC5)*(1+'BTC Yield Fund'!AD5)-1</f>
        <v/>
      </c>
      <c r="C17" s="89">
        <f>'ETH Yield Fund'!J5</f>
        <v/>
      </c>
      <c r="D17" s="89">
        <f>(1+'USDT Yield Fund'!J5)*(1+'USDT Yield Fund'!K5)*(1+'USDT Yield Fund'!L5)*(1+'USDT Yield Fund'!M5)-1</f>
        <v/>
      </c>
      <c r="E17" s="247" t="n">
        <v>0.008500000000000001</v>
      </c>
      <c r="F17" s="247" t="n">
        <v>0.0067</v>
      </c>
      <c r="G17" s="14" t="n">
        <v>0.0073</v>
      </c>
      <c r="I17" s="89">
        <f>B17*12</f>
        <v/>
      </c>
      <c r="J17" s="89">
        <f>C17*12</f>
        <v/>
      </c>
      <c r="K17" s="89">
        <f>D17*12</f>
        <v/>
      </c>
      <c r="L17" s="89">
        <f>E17*12</f>
        <v/>
      </c>
      <c r="M17" s="89">
        <f>F17*12</f>
        <v/>
      </c>
      <c r="O17" s="189">
        <f>'BTC Yield Fund'!AD9-'BTC Yield Fund'!AA9</f>
        <v/>
      </c>
      <c r="P17" s="189" t="n">
        <v>0</v>
      </c>
      <c r="Q17" s="189" t="n">
        <v>0</v>
      </c>
      <c r="R17" s="189">
        <f>'ETH Yield Fund'!J9-'ETH Yield Fund'!I9</f>
        <v/>
      </c>
      <c r="S17" s="189" t="n">
        <v>0</v>
      </c>
      <c r="T17" s="220">
        <f>'USDT Yield Fund'!M9-'USDT Yield Fund'!I9</f>
        <v/>
      </c>
      <c r="U17" s="220" t="n"/>
      <c r="V17" s="220" t="n"/>
      <c r="W17" s="225">
        <f>SUM(O17:Q17)*AA17+SUM(R17:S17)*AB17+T17+U17*AC17+V17*AD17</f>
        <v/>
      </c>
      <c r="X17" s="225">
        <f>SUM(O17:Q17)*VLOOKUP(max($Z$4:$Z$1002),$Z$4:$AA$1002,2,FALSE)+SUM(R17:S17)*VLOOKUP(max($Z$4:$Z$1002),$Z$4:$AB$1002,3,FALSE)+T17+U17*VLOOKUP(max($Z$4:$Z$1002),$Z$4:$AC$1002,4,FALSE)+V17*VLOOKUP(max($Z$4:$Z$1002),$Z$4:$AD$1002,5,FALSE)</f>
        <v/>
      </c>
      <c r="Z17" s="172" t="n">
        <v>45901</v>
      </c>
      <c r="AA17" s="248" t="n">
        <v>114056.09</v>
      </c>
      <c r="AB17" s="248" t="n">
        <v>4145.96</v>
      </c>
      <c r="AC17" s="248" t="n">
        <v>208.74</v>
      </c>
      <c r="AD17" s="248" t="n"/>
    </row>
    <row r="18" ht="15.75" customHeight="1" s="252">
      <c r="A18" s="246" t="n">
        <v>45930</v>
      </c>
      <c r="B18" s="89">
        <f>'BTC Yield Fund'!AE5</f>
        <v/>
      </c>
      <c r="C18" s="89">
        <f>(1+'ETH Yield Fund'!K5)*(1+'ETH Yield Fund'!L5)*(1+'ETH Yield Fund'!M5)*(1+'ETH Yield Fund'!N5)*(1+'ETH Yield Fund'!O5)-1</f>
        <v/>
      </c>
      <c r="D18" s="89">
        <f>(1+'USDT Yield Fund'!N5)*(1+'USDT Yield Fund'!O5)-1</f>
        <v/>
      </c>
      <c r="E18" s="89">
        <f>(1+'SOL Yield Fund'!E5)*(1+'SOL Yield Fund'!F5)-1</f>
        <v/>
      </c>
      <c r="F18" s="247" t="n">
        <v>0.0062</v>
      </c>
      <c r="G18" s="14" t="n">
        <v>0.0059</v>
      </c>
      <c r="I18" s="89">
        <f>B18*12</f>
        <v/>
      </c>
      <c r="J18" s="89">
        <f>C18*12</f>
        <v/>
      </c>
      <c r="K18" s="89">
        <f>D18*12</f>
        <v/>
      </c>
      <c r="L18" s="89">
        <f>E18*12</f>
        <v/>
      </c>
      <c r="M18" s="89">
        <f>F18*12</f>
        <v/>
      </c>
      <c r="O18" s="189">
        <f>'BTC Yield Fund'!AE9-'BTC Yield Fund'!AD9</f>
        <v/>
      </c>
      <c r="P18" s="189" t="n">
        <v>0</v>
      </c>
      <c r="Q18" s="189" t="n">
        <v>0</v>
      </c>
      <c r="R18" s="189">
        <f>'ETH Yield Fund'!O9-'ETH Yield Fund'!J9</f>
        <v/>
      </c>
      <c r="S18" s="189" t="n">
        <v>0</v>
      </c>
      <c r="T18" s="220">
        <f>'USDT Yield Fund'!O9-'USDT Yield Fund'!M9</f>
        <v/>
      </c>
      <c r="U18" s="220">
        <f>'SOL Yield Fund'!F9</f>
        <v/>
      </c>
      <c r="V18" s="220" t="n"/>
      <c r="W18" s="225">
        <f>SUM(O18:Q18)*AA18+SUM(R18:S18)*AB18+T18+U18*AC18+V18*AD18</f>
        <v/>
      </c>
      <c r="X18" s="225">
        <f>SUM(O18:Q18)*VLOOKUP(max($Z$4:$Z$1002),$Z$4:$AA$1002,2,FALSE)+SUM(R18:S18)*VLOOKUP(max($Z$4:$Z$1002),$Z$4:$AB$1002,3,FALSE)+T18+U18*VLOOKUP(max($Z$4:$Z$1002),$Z$4:$AC$1002,4,FALSE)+V18*VLOOKUP(max($Z$4:$Z$1002),$Z$4:$AD$1002,5,FALSE)</f>
        <v/>
      </c>
      <c r="Z18" s="172" t="n">
        <v>45931</v>
      </c>
      <c r="AA18" s="248" t="n">
        <v>109556.16</v>
      </c>
      <c r="AB18" s="248" t="n">
        <v>3847.08</v>
      </c>
      <c r="AC18" s="248" t="n">
        <v>187.21</v>
      </c>
      <c r="AD18" s="248" t="n"/>
    </row>
    <row r="19" ht="15.75" customHeight="1" s="252">
      <c r="A19" s="246" t="n">
        <v>45961</v>
      </c>
      <c r="B19" s="89">
        <f>(1+'BTC Yield Fund'!AF5)*(1+'BTC Yield Fund'!AG5)*(1+'BTC Yield Fund'!AH5)-1</f>
        <v/>
      </c>
      <c r="C19" s="89">
        <f>(1+'ETH Yield Fund'!P5)*(1+'ETH Yield Fund'!Q5)*(1+'ETH Yield Fund'!R5)*(1+'ETH Yield Fund'!S5)*(1+'ETH Yield Fund'!T5)*(1+'ETH Yield Fund'!U5)*(1+'ETH Yield Fund'!V5)-1</f>
        <v/>
      </c>
      <c r="D19" s="89">
        <f>(1+'USDT Yield Fund'!P5)*(1+'USDT Yield Fund'!Q5)*(1+'USDT Yield Fund'!R5)*(1+'USDT Yield Fund'!S5)*(1+'USDT Yield Fund'!T5)*(1+'USDT Yield Fund'!U5)-1</f>
        <v/>
      </c>
      <c r="E19" s="89">
        <f>(1+'SOL Yield Fund'!G5)*(1+'SOL Yield Fund'!H5)*(1+'SOL Yield Fund'!I5)-1</f>
        <v/>
      </c>
      <c r="F19" s="247" t="n">
        <v>0.0061</v>
      </c>
      <c r="G19" s="14" t="n">
        <v>0.0063</v>
      </c>
      <c r="H19" s="249" t="n"/>
      <c r="I19" s="89">
        <f>B19*12</f>
        <v/>
      </c>
      <c r="J19" s="89">
        <f>C19*12</f>
        <v/>
      </c>
      <c r="K19" s="89">
        <f>D19*12</f>
        <v/>
      </c>
      <c r="L19" s="89">
        <f>E19*12</f>
        <v/>
      </c>
      <c r="M19" s="89">
        <f>F19*12</f>
        <v/>
      </c>
      <c r="O19" s="189">
        <f>'BTC Yield Fund'!AH9-'BTC Yield Fund'!AE9</f>
        <v/>
      </c>
      <c r="P19" s="189" t="n">
        <v>0</v>
      </c>
      <c r="Q19" s="189" t="n">
        <v>0</v>
      </c>
      <c r="R19" s="189">
        <f>'ETH Yield Fund'!V9-'ETH Yield Fund'!O9</f>
        <v/>
      </c>
      <c r="S19" s="189" t="n">
        <v>0</v>
      </c>
      <c r="T19" s="220">
        <f>'USDT Yield Fund'!U9-'USDT Yield Fund'!O9</f>
        <v/>
      </c>
      <c r="U19" s="220">
        <f>'SOL Yield Fund'!I9-'SOL Yield Fund'!F9</f>
        <v/>
      </c>
      <c r="V19" s="220" t="n"/>
      <c r="W19" s="225">
        <f>SUM(O19:Q19)*AA19+SUM(R19:S19)*AB19+T19+U19*AC19+V19*AD19</f>
        <v/>
      </c>
      <c r="X19" s="225">
        <f>SUM(O19:Q19)*VLOOKUP(max($Z$4:$Z$1002),$Z$4:$AA$1002,2,FALSE)+SUM(R19:S19)*VLOOKUP(max($Z$4:$Z$1002),$Z$4:$AB$1002,3,FALSE)+T19+U19*VLOOKUP(max($Z$4:$Z$1002),$Z$4:$AC$1002,4,FALSE)+V19*VLOOKUP(max($Z$4:$Z$1002),$Z$4:$AD$1002,5,FALSE)</f>
        <v/>
      </c>
      <c r="Z19" s="172" t="n">
        <v>45962</v>
      </c>
      <c r="AA19" s="248" t="n">
        <v>90394.31</v>
      </c>
      <c r="AB19" s="248" t="n">
        <v>2992.11</v>
      </c>
      <c r="AC19" s="248" t="n">
        <v>133.56</v>
      </c>
      <c r="AD19" s="248" t="n">
        <v>2.161</v>
      </c>
    </row>
    <row r="20" ht="15.75" customHeight="1" s="252">
      <c r="A20" s="246" t="n">
        <v>45991</v>
      </c>
      <c r="B20" s="89">
        <f>(1+'BTC Yield Fund'!AI5)*(1+'BTC Yield Fund'!AJ5)*(1+'BTC Yield Fund'!AK5)*(1+'BTC Yield Fund'!AL5)*(1+'BTC Yield Fund'!AM5)*(1+'BTC Yield Fund'!AN5)-1</f>
        <v/>
      </c>
      <c r="C20" s="89">
        <f>(1+'ETH Yield Fund'!W5)*(1+'ETH Yield Fund'!X5)*(1+'ETH Yield Fund'!Y5)*(1+'ETH Yield Fund'!Z5)*(1+'ETH Yield Fund'!AA5)*(1+'ETH Yield Fund'!AB5)*(1+'ETH Yield Fund'!AC5)-1</f>
        <v/>
      </c>
      <c r="D20" s="89">
        <f>(1+'USDT Yield Fund'!V5)*(1+'USDT Yield Fund'!W5)*(1+'USDT Yield Fund'!X5)*(1+'USDT Yield Fund'!Y5)*(1+'USDT Yield Fund'!Z5)*(1+'USDT Yield Fund'!AA5)*(1+'USDT Yield Fund'!AB5)*(1+'USDT Yield Fund'!AC5)*(1+'USDT Yield Fund'!AD5)*(1+'USDT Yield Fund'!AE5)-1</f>
        <v/>
      </c>
      <c r="E20" s="89">
        <f>(1+'SOL Yield Fund'!J5)*(1+'SOL Yield Fund'!K5)*(1+'SOL Yield Fund'!L5)-1</f>
        <v/>
      </c>
      <c r="F20" s="247" t="n">
        <v>0.006</v>
      </c>
      <c r="G20" s="14" t="n">
        <v>0.0072</v>
      </c>
      <c r="I20" s="89">
        <f>B20*12</f>
        <v/>
      </c>
      <c r="J20" s="89">
        <f>C20*12</f>
        <v/>
      </c>
      <c r="K20" s="89">
        <f>D20*12</f>
        <v/>
      </c>
      <c r="L20" s="89">
        <f>E20*12</f>
        <v/>
      </c>
      <c r="M20" s="89">
        <f>F20*12</f>
        <v/>
      </c>
      <c r="O20" s="189">
        <f>'BTC Yield Fund'!AN9-'BTC Yield Fund'!AH9</f>
        <v/>
      </c>
      <c r="P20" s="189" t="n">
        <v>0</v>
      </c>
      <c r="Q20" s="189" t="n">
        <v>0</v>
      </c>
      <c r="R20" s="189">
        <f>'ETH Yield Fund'!AC9-'ETH Yield Fund'!V9</f>
        <v/>
      </c>
      <c r="S20" s="189" t="n">
        <v>0</v>
      </c>
      <c r="T20" s="220">
        <f>'USDT Yield Fund'!AE9-'USDT Yield Fund'!U9</f>
        <v/>
      </c>
      <c r="U20" s="220">
        <f>'SOL Yield Fund'!L9-'SOL Yield Fund'!I9</f>
        <v/>
      </c>
      <c r="V20" s="220">
        <f>'XRP Yield Fund'!F9</f>
        <v/>
      </c>
      <c r="W20" s="225">
        <f>SUM(O20:Q20)*AA20+SUM(R20:S20)*AB20+T20+U20*AC20+V20*AD20</f>
        <v/>
      </c>
      <c r="X20" s="225">
        <f>SUM(O20:Q20)*VLOOKUP(max($Z$4:$Z$1002),$Z$4:$AA$1002,2,FALSE)+SUM(R20:S20)*VLOOKUP(max($Z$4:$Z$1002),$Z$4:$AB$1002,3,FALSE)+T20+U20*VLOOKUP(max($Z$4:$Z$1002),$Z$4:$AC$1002,4,FALSE)+V20*VLOOKUP(max($Z$4:$Z$1002),$Z$4:$AD$1002,5,FALSE)</f>
        <v/>
      </c>
      <c r="Z20" s="172" t="n">
        <v>45992</v>
      </c>
      <c r="AA20" s="248" t="n">
        <v>87508.83</v>
      </c>
      <c r="AB20" s="248" t="n">
        <v>2967.04</v>
      </c>
      <c r="AC20" s="248" t="n">
        <v>124.48</v>
      </c>
      <c r="AD20" s="248" t="n">
        <v>1.84</v>
      </c>
    </row>
    <row r="21" ht="15.75" customHeight="1" s="252">
      <c r="A21" s="246" t="n">
        <v>46022</v>
      </c>
      <c r="B21" s="89">
        <f>(1+'BTC Yield Fund'!AO5)*(1+'BTC Yield Fund'!AP5)*(1+'BTC Yield Fund'!AQ5)*(1+'BTC Yield Fund'!AR5)*(1+'BTC Yield Fund'!AS5)-1</f>
        <v/>
      </c>
      <c r="C21" s="89">
        <f>(1+'ETH Yield Fund'!AD5)*(1+'ETH Yield Fund'!AE5)*(1+'ETH Yield Fund'!AF5)*(1+'ETH Yield Fund'!AG5)*(1+'ETH Yield Fund'!AH5)-1</f>
        <v/>
      </c>
      <c r="D21" s="89">
        <f>(1+'USDT Yield Fund'!AF5)*(1+'USDT Yield Fund'!AG5)-1</f>
        <v/>
      </c>
      <c r="E21" s="89">
        <f>(1+'SOL Yield Fund'!M5)*(1+'SOL Yield Fund'!N5)*(1+'SOL Yield Fund'!O5)*(1+'SOL Yield Fund'!P5)-1</f>
        <v/>
      </c>
      <c r="F21" s="89">
        <f>(1+'XRP Yield Fund'!G5)*(1+'XRP Yield Fund'!H5)*(1+'XRP Yield Fund'!I5)-1</f>
        <v/>
      </c>
      <c r="G21" s="14" t="n">
        <v>0.0065</v>
      </c>
      <c r="I21" s="89">
        <f>B21*12</f>
        <v/>
      </c>
      <c r="J21" s="89">
        <f>C21*12</f>
        <v/>
      </c>
      <c r="K21" s="89">
        <f>D21*12</f>
        <v/>
      </c>
      <c r="L21" s="89">
        <f>E21*12</f>
        <v/>
      </c>
      <c r="M21" s="89">
        <f>F21*12</f>
        <v/>
      </c>
      <c r="O21" s="189">
        <f>'BTC Yield Fund'!AS9-'BTC Yield Fund'!AN9</f>
        <v/>
      </c>
      <c r="P21" s="189" t="n">
        <v>0</v>
      </c>
      <c r="Q21" s="189" t="n">
        <v>0</v>
      </c>
      <c r="R21" s="189">
        <f>'ETH Yield Fund'!AH9-'ETH Yield Fund'!AC9</f>
        <v/>
      </c>
      <c r="S21" s="189" t="n">
        <v>0</v>
      </c>
      <c r="T21" s="220">
        <f>'USDT Yield Fund'!AG9-'USDT Yield Fund'!AE9</f>
        <v/>
      </c>
      <c r="U21" s="220">
        <f>'SOL Yield Fund'!P9-'SOL Yield Fund'!L9</f>
        <v/>
      </c>
      <c r="V21" s="220">
        <f>'XRP Yield Fund'!I9-'XRP Yield Fund'!F9</f>
        <v/>
      </c>
      <c r="W21" s="225">
        <f>SUM(O21:Q21)*AA21+SUM(R21:S21)*AB21+T21+U21*AC21+V21*AD21</f>
        <v/>
      </c>
      <c r="X21" s="225">
        <f>SUM(O21:Q21)*VLOOKUP(max($Z$4:$Z$1002),$Z$4:$AA$1002,2,FALSE)+SUM(R21:S21)*VLOOKUP(max($Z$4:$Z$1002),$Z$4:$AB$1002,3,FALSE)+T21+U21*VLOOKUP(max($Z$4:$Z$1002),$Z$4:$AC$1002,4,FALSE)+V21*VLOOKUP(max($Z$4:$Z$1002),$Z$4:$AD$1002,5,FALSE)</f>
        <v/>
      </c>
      <c r="Z21" s="172" t="n">
        <v>46023</v>
      </c>
      <c r="AA21" s="248" t="n">
        <v>78621</v>
      </c>
      <c r="AB21" s="248" t="n">
        <v>2445.09</v>
      </c>
      <c r="AC21" s="248" t="n">
        <v>105.44</v>
      </c>
      <c r="AD21" s="248" t="n">
        <v>1.6455</v>
      </c>
    </row>
    <row r="22" ht="15.75" customHeight="1" s="252">
      <c r="A22" s="246" t="n">
        <v>46053</v>
      </c>
      <c r="B22" s="89">
        <f>(1+'BTC Yield Fund'!AT5)*(1+'BTC Yield Fund'!AU5)*(1+'BTC Yield Fund'!AV5)*(1+'BTC Yield Fund'!AW5)*(1+'BTC Yield Fund'!AX5)*(1+'BTC Yield Fund'!AY5)*(1+'BTC Yield Fund'!AZ5)-1</f>
        <v/>
      </c>
      <c r="C22" s="89">
        <f>(1+'ETH Yield Fund'!AI5)*(1+'ETH Yield Fund'!AJ5)*(1+'ETH Yield Fund'!AK5)*(1+'ETH Yield Fund'!AL5)-1</f>
        <v/>
      </c>
      <c r="D22" s="89">
        <f>(1+'USDT Yield Fund'!AH5)*(1+'USDT Yield Fund'!AI5)*(1+'USDT Yield Fund'!AJ5)*(1+'USDT Yield Fund'!AK5)*(1+'USDT Yield Fund'!AL5)-1</f>
        <v/>
      </c>
      <c r="E22" s="89">
        <f>(1+'SOL Yield Fund'!Q5)*(1+'SOL Yield Fund'!R5)-1</f>
        <v/>
      </c>
      <c r="F22" s="89">
        <f>(1+'XRP Yield Fund'!J5)*(1+'XRP Yield Fund'!K5)*(1+'XRP Yield Fund'!L5)-1</f>
        <v/>
      </c>
      <c r="G22" s="14" t="n">
        <v>0.0048</v>
      </c>
      <c r="I22" s="89">
        <f>B22*12</f>
        <v/>
      </c>
      <c r="J22" s="89">
        <f>C22*12</f>
        <v/>
      </c>
      <c r="K22" s="89">
        <f>D22*12</f>
        <v/>
      </c>
      <c r="L22" s="89">
        <f>E22*12</f>
        <v/>
      </c>
      <c r="M22" s="89">
        <f>F22*12</f>
        <v/>
      </c>
      <c r="O22" s="189">
        <f>'BTC Yield Fund'!AZ9-'BTC Yield Fund'!AS9</f>
        <v/>
      </c>
      <c r="P22" s="189" t="n">
        <v>0</v>
      </c>
      <c r="Q22" s="189" t="n">
        <v>0</v>
      </c>
      <c r="R22" s="189">
        <f>'ETH Yield Fund'!AL9-'ETH Yield Fund'!AH9</f>
        <v/>
      </c>
      <c r="S22" s="189" t="n">
        <v>0</v>
      </c>
      <c r="T22" s="220">
        <f>'USDT Yield Fund'!AL9-'USDT Yield Fund'!AG9</f>
        <v/>
      </c>
      <c r="U22" s="220">
        <f>'SOL Yield Fund'!R9-'SOL Yield Fund'!P9</f>
        <v/>
      </c>
      <c r="V22" s="220">
        <f>'XRP Yield Fund'!L9-'XRP Yield Fund'!I9</f>
        <v/>
      </c>
      <c r="W22" s="225">
        <f>SUM(O22:Q22)*AA22+SUM(R22:S22)*AB22+T22+U22*AC22+V22*AD22</f>
        <v/>
      </c>
      <c r="X22" s="225">
        <f>SUM(O22:Q22)*VLOOKUP(max($Z$4:$Z$1002),$Z$4:$AA$1002,2,FALSE)+SUM(R22:S22)*VLOOKUP(max($Z$4:$Z$1002),$Z$4:$AB$1002,3,FALSE)+T22+U22*VLOOKUP(max($Z$4:$Z$1002),$Z$4:$AC$1002,4,FALSE)+V22*VLOOKUP(max($Z$4:$Z$1002),$Z$4:$AD$1002,5,FALSE)</f>
        <v/>
      </c>
      <c r="Z22" s="172" t="n">
        <v>46054</v>
      </c>
      <c r="AA22" s="248" t="n">
        <v>65881</v>
      </c>
      <c r="AB22" s="248" t="n">
        <v>1930.76</v>
      </c>
      <c r="AC22" s="248" t="n">
        <v>81.95</v>
      </c>
      <c r="AD22" s="248" t="n">
        <v>1.3559</v>
      </c>
    </row>
    <row r="23" ht="15.75" customHeight="1" s="252">
      <c r="A23" s="246" t="n">
        <v>46081</v>
      </c>
      <c r="B23" s="89">
        <f>(1+'BTC Yield Fund'!BA5)*(1+'BTC Yield Fund'!BB5)*(1+'BTC Yield Fund'!BC5)*(1+'BTC Yield Fund'!BD5)*(1+'BTC Yield Fund'!BE5)*(1+'BTC Yield Fund'!BF5)-1</f>
        <v/>
      </c>
      <c r="C23" s="89">
        <f>(1+'ETH Yield Fund'!AM5)*(1+'ETH Yield Fund'!AN5)*(1+'ETH Yield Fund'!AO5)-1</f>
        <v/>
      </c>
      <c r="D23" s="89">
        <f>(1+'USDT Yield Fund'!AM5)*(1+'USDT Yield Fund'!AN5)*(1+'USDT Yield Fund'!AO5)*(1+'USDT Yield Fund'!AP5)*(1+'USDT Yield Fund'!AQ5)*(1+'USDT Yield Fund'!AR5)-1</f>
        <v/>
      </c>
      <c r="E23" s="89">
        <f>(1+'SOL Yield Fund'!S5)*(1+'SOL Yield Fund'!T5)-1</f>
        <v/>
      </c>
      <c r="F23" s="89">
        <f>0.61%*0.8</f>
        <v/>
      </c>
      <c r="G23" s="14">
        <f>(6.88%/12)*0.8</f>
        <v/>
      </c>
      <c r="I23" s="89">
        <f>B23*12</f>
        <v/>
      </c>
      <c r="J23" s="89">
        <f>C23*12</f>
        <v/>
      </c>
      <c r="K23" s="89">
        <f>D23*12</f>
        <v/>
      </c>
      <c r="L23" s="89">
        <f>E23*12</f>
        <v/>
      </c>
      <c r="M23" s="89">
        <f>F23*12</f>
        <v/>
      </c>
      <c r="O23" s="189">
        <f>'BTC Yield Fund'!BF9-'BTC Yield Fund'!AZ9</f>
        <v/>
      </c>
      <c r="P23" s="189" t="n"/>
      <c r="Q23" s="189" t="n"/>
      <c r="R23" s="189">
        <f>'ETH Yield Fund'!AO9-'ETH Yield Fund'!AL9</f>
        <v/>
      </c>
      <c r="S23" s="189" t="n"/>
      <c r="T23" s="220">
        <f>'USDT Yield Fund'!AR9+20000-'USDT Yield Fund'!AL9</f>
        <v/>
      </c>
      <c r="U23" s="220">
        <f>'SOL Yield Fund'!T9-'SOL Yield Fund'!R9</f>
        <v/>
      </c>
      <c r="V23" s="220">
        <f>'XRP Yield Fund'!M9-'XRP Yield Fund'!L9</f>
        <v/>
      </c>
      <c r="W23" s="225">
        <f>SUM(O23:Q23)*AA23+SUM(R23:S23)*AB23+T23+U23*AC23+V23*AD23</f>
        <v/>
      </c>
      <c r="X23" s="225">
        <f>SUM(O23:Q23)*VLOOKUP(max($Z$4:$Z$1002),$Z$4:$AA$1002,2,FALSE)+SUM(R23:S23)*VLOOKUP(max($Z$4:$Z$1002),$Z$4:$AB$1002,3,FALSE)+T23+U23*VLOOKUP(max($Z$4:$Z$1002),$Z$4:$AC$1002,4,FALSE)+V23*VLOOKUP(max($Z$4:$Z$1002),$Z$4:$AD$1002,5,FALSE)</f>
        <v/>
      </c>
      <c r="Z23" s="172" t="n">
        <v>46082</v>
      </c>
      <c r="AA23" s="248" t="n">
        <v>69305</v>
      </c>
      <c r="AB23" s="248" t="n">
        <v>2048.91</v>
      </c>
      <c r="AC23" s="248" t="n">
        <v>88.84999999999999</v>
      </c>
      <c r="AD23" s="248" t="n">
        <v>1.4059</v>
      </c>
    </row>
    <row r="24" ht="15.75" customHeight="1" s="252">
      <c r="T24" s="125" t="n"/>
      <c r="U24" s="125" t="n"/>
      <c r="V24" s="125" t="n"/>
      <c r="W24" s="250" t="n"/>
      <c r="AA24" s="248" t="n"/>
      <c r="AB24" s="248" t="n"/>
      <c r="AC24" s="248" t="n"/>
      <c r="AD24" s="248" t="n"/>
    </row>
    <row r="25" ht="15.75" customHeight="1" s="252">
      <c r="A25" s="15" t="inlineStr">
        <is>
          <t>FY25</t>
        </is>
      </c>
      <c r="B25" s="14">
        <f>(1+B10)*(1+B11)*(1+B12)*(1+B13)*(1+B14)*(1+B15)*(1+B16)*(1+B17)*(1+B18)*(1+B19)*(1+B20)*(1+B21)-1</f>
        <v/>
      </c>
      <c r="C25" s="14">
        <f>(1+C10)*(1+C11)*(1+C12)*(1+C13)*(1+C14)*(1+C15)*(1+C16)*(1+C17)*(1+C18)*(1+C19)*(1+C20)*(1+C21)-1</f>
        <v/>
      </c>
      <c r="D25" s="14">
        <f>(1+D10)*(1+D11)*(1+D12)*(1+D13)*(1+D14)*(1+D15)*(1+D16)*(1+D17)*(1+D18)*(1+D19)*(1+D20)*(1+D21)-1</f>
        <v/>
      </c>
      <c r="E25" s="14">
        <f>(1+E10)*(1+E11)*(1+E12)*(1+E13)*(1+E14)*(1+E15)*(1+E16)*(1+E17)*(1+E18)*(1+E19)*(1+E20)*(1+E21)-1</f>
        <v/>
      </c>
      <c r="F25" s="14">
        <f>(1+F10)*(1+F11)*(1+F12)*(1+F13)*(1+F14)*(1+F15)*(1+F16)*(1+F17)*(1+F18)*(1+F19)*(1+F20)*(1+F21)-1</f>
        <v/>
      </c>
      <c r="G25" s="14">
        <f>(1+G12)*(1+G13)*(1+G14)*(1+G15)*(1+G16)*(1+G17)*(1+G18)*(1+G19)*(1+G20)*(1+G21)-1</f>
        <v/>
      </c>
      <c r="T25" s="125" t="n"/>
      <c r="U25" s="125" t="n"/>
      <c r="V25" s="125" t="n"/>
      <c r="W25" s="250" t="n"/>
      <c r="AA25" s="248" t="n"/>
      <c r="AB25" s="248" t="n"/>
      <c r="AC25" s="248" t="n"/>
      <c r="AD25" s="248" t="n"/>
    </row>
    <row r="26" ht="15.75" customHeight="1" s="252">
      <c r="A26" s="15" t="inlineStr">
        <is>
          <t>FY26</t>
        </is>
      </c>
      <c r="B26" s="14">
        <f>(1+B22)*(1+B23)-1</f>
        <v/>
      </c>
      <c r="C26" s="14">
        <f>(1+C22)*(1+C23)-1</f>
        <v/>
      </c>
      <c r="D26" s="14">
        <f>(1+D22)*(1+D23)-1</f>
        <v/>
      </c>
      <c r="E26" s="14">
        <f>(1+E22)*(1+E23)-1</f>
        <v/>
      </c>
      <c r="F26" s="14">
        <f>(1+F22)*(1+F23)-1</f>
        <v/>
      </c>
      <c r="G26" s="14">
        <f>(1+G22)*(1+G23)-1</f>
        <v/>
      </c>
      <c r="T26" s="125" t="n"/>
      <c r="U26" s="125" t="n"/>
      <c r="V26" s="125" t="n"/>
      <c r="W26" s="250" t="n"/>
      <c r="AA26" s="248" t="n"/>
      <c r="AB26" s="248" t="n"/>
      <c r="AC26" s="248" t="n"/>
      <c r="AD26" s="248" t="n"/>
    </row>
    <row r="27" ht="15.75" customHeight="1" s="252">
      <c r="T27" s="125" t="n"/>
      <c r="U27" s="125" t="n"/>
      <c r="V27" s="125" t="n"/>
      <c r="W27" s="250" t="n"/>
      <c r="AA27" s="248" t="n"/>
      <c r="AB27" s="248" t="n"/>
      <c r="AC27" s="248" t="n"/>
      <c r="AD27" s="248" t="n"/>
    </row>
    <row r="28" ht="15.75" customHeight="1" s="252">
      <c r="T28" s="125" t="n"/>
      <c r="U28" s="125" t="n"/>
      <c r="V28" s="125" t="n"/>
      <c r="W28" s="250" t="n"/>
      <c r="AA28" s="248" t="n"/>
      <c r="AB28" s="248" t="n"/>
      <c r="AC28" s="248" t="n"/>
      <c r="AD28" s="248" t="n"/>
    </row>
    <row r="29" ht="15.75" customHeight="1" s="252">
      <c r="T29" s="125" t="n"/>
      <c r="U29" s="125" t="n"/>
      <c r="V29" s="125" t="n"/>
      <c r="W29" s="250" t="n"/>
      <c r="AA29" s="248" t="n"/>
      <c r="AB29" s="248" t="n"/>
      <c r="AC29" s="248" t="n"/>
      <c r="AD29" s="248" t="n"/>
    </row>
    <row r="30" ht="15.75" customHeight="1" s="252">
      <c r="T30" s="125" t="n"/>
      <c r="U30" s="125" t="n"/>
      <c r="V30" s="125" t="n"/>
      <c r="W30" s="250" t="n"/>
      <c r="AA30" s="248" t="n"/>
      <c r="AB30" s="248" t="n"/>
      <c r="AC30" s="248" t="n"/>
      <c r="AD30" s="248" t="n"/>
    </row>
    <row r="31" ht="15.75" customHeight="1" s="252"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T31" s="125" t="n"/>
      <c r="U31" s="125" t="n"/>
      <c r="V31" s="125" t="n"/>
      <c r="W31" s="250" t="n"/>
      <c r="AA31" s="248" t="n"/>
      <c r="AB31" s="248" t="n"/>
      <c r="AC31" s="248" t="n"/>
      <c r="AD31" s="248" t="n"/>
    </row>
    <row r="32" ht="15.75" customHeight="1" s="252">
      <c r="T32" s="125" t="n"/>
      <c r="U32" s="125" t="n"/>
      <c r="V32" s="125" t="n"/>
      <c r="W32" s="250" t="n"/>
      <c r="AA32" s="248" t="n"/>
      <c r="AB32" s="248" t="n"/>
      <c r="AC32" s="248" t="n"/>
      <c r="AD32" s="248" t="n"/>
    </row>
    <row r="33" ht="15.75" customHeight="1" s="252"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T33" s="125" t="n"/>
      <c r="U33" s="125" t="n"/>
      <c r="V33" s="125" t="n"/>
      <c r="W33" s="250" t="n"/>
      <c r="AA33" s="248" t="n"/>
      <c r="AB33" s="248" t="n"/>
      <c r="AC33" s="248" t="n"/>
      <c r="AD33" s="248" t="n"/>
    </row>
    <row r="34" ht="15.75" customHeight="1" s="252">
      <c r="T34" s="125" t="n"/>
      <c r="U34" s="125" t="n"/>
      <c r="V34" s="125" t="n"/>
      <c r="W34" s="250" t="n"/>
      <c r="AA34" s="248" t="n"/>
      <c r="AB34" s="248" t="n"/>
      <c r="AC34" s="248" t="n"/>
      <c r="AD34" s="248" t="n"/>
    </row>
    <row r="35" ht="15.75" customHeight="1" s="252">
      <c r="A35" s="246" t="n"/>
      <c r="T35" s="125" t="n"/>
      <c r="U35" s="125" t="n"/>
      <c r="V35" s="125" t="n"/>
      <c r="W35" s="250" t="n"/>
      <c r="AA35" s="248" t="n"/>
      <c r="AB35" s="248" t="n"/>
      <c r="AC35" s="248" t="n"/>
      <c r="AD35" s="248" t="n"/>
    </row>
    <row r="36" ht="15.75" customHeight="1" s="252">
      <c r="A36" s="246" t="n"/>
      <c r="T36" s="125" t="n"/>
      <c r="U36" s="125" t="n"/>
      <c r="V36" s="125" t="n"/>
      <c r="W36" s="250" t="n"/>
      <c r="AA36" s="248" t="n"/>
      <c r="AB36" s="248" t="n"/>
      <c r="AC36" s="248" t="n"/>
      <c r="AD36" s="248" t="n"/>
    </row>
    <row r="37" ht="15.75" customHeight="1" s="252">
      <c r="A37" s="246" t="n"/>
      <c r="T37" s="125" t="n"/>
      <c r="U37" s="125" t="n"/>
      <c r="V37" s="125" t="n"/>
      <c r="W37" s="250" t="n"/>
      <c r="AA37" s="248" t="n"/>
      <c r="AB37" s="248" t="n"/>
      <c r="AC37" s="248" t="n"/>
      <c r="AD37" s="248" t="n"/>
    </row>
    <row r="38" ht="15.75" customHeight="1" s="252">
      <c r="A38" s="246" t="n"/>
      <c r="T38" s="125" t="n"/>
      <c r="U38" s="125" t="n"/>
      <c r="V38" s="125" t="n"/>
      <c r="W38" s="250" t="n"/>
    </row>
    <row r="39" ht="15.75" customHeight="1" s="252">
      <c r="A39" s="246" t="n"/>
      <c r="T39" s="125" t="n"/>
      <c r="U39" s="125" t="n"/>
      <c r="V39" s="125" t="n"/>
      <c r="W39" s="250" t="n"/>
    </row>
    <row r="40" ht="15.75" customHeight="1" s="252">
      <c r="A40" s="246" t="n"/>
      <c r="T40" s="125" t="n"/>
      <c r="U40" s="125" t="n"/>
      <c r="V40" s="125" t="n"/>
      <c r="W40" s="250" t="n"/>
    </row>
    <row r="41" ht="15.75" customHeight="1" s="252">
      <c r="A41" s="246" t="n"/>
      <c r="T41" s="125" t="n"/>
      <c r="U41" s="125" t="n"/>
      <c r="V41" s="125" t="n"/>
      <c r="W41" s="250" t="n"/>
    </row>
    <row r="42" ht="15.75" customHeight="1" s="252">
      <c r="A42" s="246" t="n"/>
      <c r="T42" s="125" t="n"/>
      <c r="U42" s="125" t="n"/>
      <c r="V42" s="125" t="n"/>
      <c r="W42" s="250" t="n"/>
    </row>
    <row r="43" ht="15.75" customHeight="1" s="252">
      <c r="A43" s="246" t="n"/>
      <c r="T43" s="125" t="n"/>
      <c r="U43" s="125" t="n"/>
      <c r="V43" s="125" t="n"/>
      <c r="W43" s="250" t="n"/>
    </row>
    <row r="44" ht="15.75" customHeight="1" s="252">
      <c r="A44" s="246" t="n"/>
      <c r="T44" s="125" t="n"/>
      <c r="U44" s="125" t="n"/>
      <c r="V44" s="125" t="n"/>
      <c r="W44" s="250" t="n"/>
    </row>
    <row r="45" ht="15.75" customHeight="1" s="252">
      <c r="A45" s="246" t="n"/>
      <c r="T45" s="125" t="n"/>
      <c r="U45" s="125" t="n"/>
      <c r="V45" s="125" t="n"/>
      <c r="W45" s="250" t="n"/>
    </row>
    <row r="46" ht="15.75" customHeight="1" s="252">
      <c r="A46" s="246" t="n"/>
      <c r="T46" s="125" t="n"/>
      <c r="U46" s="125" t="n"/>
      <c r="V46" s="125" t="n"/>
      <c r="W46" s="250" t="n"/>
    </row>
    <row r="47" ht="15.75" customHeight="1" s="252">
      <c r="T47" s="125" t="n"/>
      <c r="U47" s="125" t="n"/>
      <c r="V47" s="125" t="n"/>
      <c r="W47" s="250" t="n"/>
    </row>
    <row r="48" ht="15.75" customHeight="1" s="252">
      <c r="T48" s="125" t="n"/>
      <c r="U48" s="125" t="n"/>
      <c r="V48" s="125" t="n"/>
      <c r="W48" s="250" t="n"/>
    </row>
    <row r="49" ht="15.75" customHeight="1" s="252">
      <c r="B49" s="14" t="n"/>
      <c r="T49" s="125" t="n"/>
      <c r="U49" s="125" t="n"/>
      <c r="V49" s="125" t="n"/>
      <c r="W49" s="250" t="n"/>
    </row>
    <row r="50" ht="15.75" customHeight="1" s="252">
      <c r="T50" s="125" t="n"/>
      <c r="U50" s="125" t="n"/>
      <c r="V50" s="125" t="n"/>
      <c r="W50" s="250" t="n"/>
    </row>
    <row r="51" ht="15.75" customHeight="1" s="252">
      <c r="T51" s="125" t="n"/>
      <c r="U51" s="125" t="n"/>
      <c r="V51" s="125" t="n"/>
      <c r="W51" s="250" t="n"/>
    </row>
    <row r="52" ht="15.75" customHeight="1" s="252">
      <c r="T52" s="125" t="n"/>
      <c r="U52" s="125" t="n"/>
      <c r="V52" s="125" t="n"/>
      <c r="W52" s="250" t="n"/>
    </row>
    <row r="53" ht="15.75" customHeight="1" s="252">
      <c r="T53" s="125" t="n"/>
      <c r="U53" s="125" t="n"/>
      <c r="V53" s="125" t="n"/>
      <c r="W53" s="250" t="n"/>
    </row>
    <row r="54" ht="15.75" customHeight="1" s="252">
      <c r="T54" s="125" t="n"/>
      <c r="U54" s="125" t="n"/>
      <c r="V54" s="125" t="n"/>
      <c r="W54" s="250" t="n"/>
    </row>
    <row r="55" ht="15.75" customHeight="1" s="252">
      <c r="T55" s="125" t="n"/>
      <c r="U55" s="125" t="n"/>
      <c r="V55" s="125" t="n"/>
      <c r="W55" s="250" t="n"/>
    </row>
    <row r="56" ht="15.75" customHeight="1" s="252">
      <c r="T56" s="125" t="n"/>
      <c r="U56" s="125" t="n"/>
      <c r="V56" s="125" t="n"/>
      <c r="W56" s="250" t="n"/>
    </row>
    <row r="57" ht="15.75" customHeight="1" s="252">
      <c r="T57" s="125" t="n"/>
      <c r="U57" s="125" t="n"/>
      <c r="V57" s="125" t="n"/>
      <c r="W57" s="250" t="n"/>
    </row>
    <row r="58" ht="15.75" customHeight="1" s="252">
      <c r="T58" s="125" t="n"/>
      <c r="U58" s="125" t="n"/>
      <c r="V58" s="125" t="n"/>
      <c r="W58" s="250" t="n"/>
    </row>
    <row r="59" ht="15.75" customHeight="1" s="252">
      <c r="T59" s="125" t="n"/>
      <c r="U59" s="125" t="n"/>
      <c r="V59" s="125" t="n"/>
      <c r="W59" s="250" t="n"/>
    </row>
    <row r="60" ht="15.75" customHeight="1" s="252">
      <c r="T60" s="125" t="n"/>
      <c r="U60" s="125" t="n"/>
      <c r="V60" s="125" t="n"/>
      <c r="W60" s="250" t="n"/>
    </row>
    <row r="61" ht="15.75" customHeight="1" s="252">
      <c r="T61" s="125" t="n"/>
      <c r="U61" s="125" t="n"/>
      <c r="V61" s="125" t="n"/>
      <c r="W61" s="250" t="n"/>
    </row>
    <row r="62" ht="15.75" customHeight="1" s="252">
      <c r="T62" s="125" t="n"/>
      <c r="U62" s="125" t="n"/>
      <c r="V62" s="125" t="n"/>
      <c r="W62" s="250" t="n"/>
    </row>
    <row r="63" ht="15.75" customHeight="1" s="252">
      <c r="T63" s="125" t="n"/>
      <c r="U63" s="125" t="n"/>
      <c r="V63" s="125" t="n"/>
      <c r="W63" s="250" t="n"/>
    </row>
    <row r="64" ht="15.75" customHeight="1" s="252">
      <c r="T64" s="125" t="n"/>
      <c r="U64" s="125" t="n"/>
      <c r="V64" s="125" t="n"/>
      <c r="W64" s="250" t="n"/>
    </row>
    <row r="65" ht="15.75" customHeight="1" s="252">
      <c r="T65" s="125" t="n"/>
      <c r="U65" s="125" t="n"/>
      <c r="V65" s="125" t="n"/>
      <c r="W65" s="250" t="n"/>
    </row>
    <row r="66" ht="15.75" customHeight="1" s="252">
      <c r="T66" s="125" t="n"/>
      <c r="U66" s="125" t="n"/>
      <c r="V66" s="125" t="n"/>
      <c r="W66" s="250" t="n"/>
    </row>
    <row r="67" ht="15.75" customHeight="1" s="252">
      <c r="T67" s="125" t="n"/>
      <c r="U67" s="125" t="n"/>
      <c r="V67" s="125" t="n"/>
      <c r="W67" s="250" t="n"/>
    </row>
    <row r="68" ht="15.75" customHeight="1" s="252">
      <c r="T68" s="125" t="n"/>
      <c r="U68" s="125" t="n"/>
      <c r="V68" s="125" t="n"/>
      <c r="W68" s="250" t="n"/>
    </row>
    <row r="69" ht="15.75" customHeight="1" s="252">
      <c r="T69" s="125" t="n"/>
      <c r="U69" s="125" t="n"/>
      <c r="V69" s="125" t="n"/>
      <c r="W69" s="250" t="n"/>
    </row>
    <row r="70" ht="15.75" customHeight="1" s="252">
      <c r="T70" s="125" t="n"/>
      <c r="U70" s="125" t="n"/>
      <c r="V70" s="125" t="n"/>
      <c r="W70" s="250" t="n"/>
    </row>
    <row r="71" ht="15.75" customHeight="1" s="252">
      <c r="T71" s="125" t="n"/>
      <c r="U71" s="125" t="n"/>
      <c r="V71" s="125" t="n"/>
      <c r="W71" s="250" t="n"/>
    </row>
    <row r="72" ht="15.75" customHeight="1" s="252">
      <c r="T72" s="125" t="n"/>
      <c r="U72" s="125" t="n"/>
      <c r="V72" s="125" t="n"/>
      <c r="W72" s="250" t="n"/>
    </row>
    <row r="73" ht="15.75" customHeight="1" s="252">
      <c r="T73" s="125" t="n"/>
      <c r="U73" s="125" t="n"/>
      <c r="V73" s="125" t="n"/>
      <c r="W73" s="250" t="n"/>
    </row>
    <row r="74" ht="15.75" customHeight="1" s="252">
      <c r="T74" s="125" t="n"/>
      <c r="U74" s="125" t="n"/>
      <c r="V74" s="125" t="n"/>
      <c r="W74" s="250" t="n"/>
    </row>
    <row r="75" ht="15.75" customHeight="1" s="252">
      <c r="T75" s="125" t="n"/>
      <c r="U75" s="125" t="n"/>
      <c r="V75" s="125" t="n"/>
      <c r="W75" s="250" t="n"/>
    </row>
    <row r="76" ht="15.75" customHeight="1" s="252">
      <c r="T76" s="125" t="n"/>
      <c r="U76" s="125" t="n"/>
      <c r="V76" s="125" t="n"/>
      <c r="W76" s="250" t="n"/>
    </row>
    <row r="77" ht="15.75" customHeight="1" s="252">
      <c r="T77" s="125" t="n"/>
      <c r="U77" s="125" t="n"/>
      <c r="V77" s="125" t="n"/>
      <c r="W77" s="250" t="n"/>
    </row>
    <row r="78" ht="15.75" customHeight="1" s="252">
      <c r="T78" s="125" t="n"/>
      <c r="U78" s="125" t="n"/>
      <c r="V78" s="125" t="n"/>
      <c r="W78" s="250" t="n"/>
    </row>
    <row r="79" ht="15.75" customHeight="1" s="252">
      <c r="T79" s="125" t="n"/>
      <c r="U79" s="125" t="n"/>
      <c r="V79" s="125" t="n"/>
      <c r="W79" s="250" t="n"/>
    </row>
    <row r="80" ht="15.75" customHeight="1" s="252">
      <c r="T80" s="125" t="n"/>
      <c r="U80" s="125" t="n"/>
      <c r="V80" s="125" t="n"/>
      <c r="W80" s="250" t="n"/>
    </row>
    <row r="81" ht="15.75" customHeight="1" s="252">
      <c r="T81" s="125" t="n"/>
      <c r="U81" s="125" t="n"/>
      <c r="V81" s="125" t="n"/>
      <c r="W81" s="250" t="n"/>
    </row>
    <row r="82" ht="15.75" customHeight="1" s="252">
      <c r="T82" s="125" t="n"/>
      <c r="U82" s="125" t="n"/>
      <c r="V82" s="125" t="n"/>
      <c r="W82" s="250" t="n"/>
    </row>
    <row r="83" ht="15.75" customHeight="1" s="252">
      <c r="T83" s="125" t="n"/>
      <c r="U83" s="125" t="n"/>
      <c r="V83" s="125" t="n"/>
      <c r="W83" s="250" t="n"/>
    </row>
    <row r="84" ht="15.75" customHeight="1" s="252">
      <c r="T84" s="125" t="n"/>
      <c r="U84" s="125" t="n"/>
      <c r="V84" s="125" t="n"/>
      <c r="W84" s="250" t="n"/>
    </row>
    <row r="85" ht="15.75" customHeight="1" s="252">
      <c r="T85" s="125" t="n"/>
      <c r="U85" s="125" t="n"/>
      <c r="V85" s="125" t="n"/>
      <c r="W85" s="250" t="n"/>
    </row>
    <row r="86" ht="15.75" customHeight="1" s="252">
      <c r="T86" s="125" t="n"/>
      <c r="U86" s="125" t="n"/>
      <c r="V86" s="125" t="n"/>
      <c r="W86" s="250" t="n"/>
    </row>
    <row r="87" ht="15.75" customHeight="1" s="252">
      <c r="T87" s="125" t="n"/>
      <c r="U87" s="125" t="n"/>
      <c r="V87" s="125" t="n"/>
      <c r="W87" s="250" t="n"/>
    </row>
    <row r="88" ht="15.75" customHeight="1" s="252">
      <c r="T88" s="125" t="n"/>
      <c r="U88" s="125" t="n"/>
      <c r="V88" s="125" t="n"/>
      <c r="W88" s="250" t="n"/>
    </row>
    <row r="89" ht="15.75" customHeight="1" s="252">
      <c r="T89" s="125" t="n"/>
      <c r="U89" s="125" t="n"/>
      <c r="V89" s="125" t="n"/>
      <c r="W89" s="250" t="n"/>
    </row>
    <row r="90" ht="15.75" customHeight="1" s="252">
      <c r="T90" s="125" t="n"/>
      <c r="U90" s="125" t="n"/>
      <c r="V90" s="125" t="n"/>
      <c r="W90" s="250" t="n"/>
    </row>
    <row r="91" ht="15.75" customHeight="1" s="252">
      <c r="T91" s="125" t="n"/>
      <c r="U91" s="125" t="n"/>
      <c r="V91" s="125" t="n"/>
      <c r="W91" s="250" t="n"/>
    </row>
    <row r="92" ht="15.75" customHeight="1" s="252">
      <c r="T92" s="125" t="n"/>
      <c r="U92" s="125" t="n"/>
      <c r="V92" s="125" t="n"/>
      <c r="W92" s="250" t="n"/>
    </row>
    <row r="93" ht="15.75" customHeight="1" s="252">
      <c r="T93" s="125" t="n"/>
      <c r="U93" s="125" t="n"/>
      <c r="V93" s="125" t="n"/>
      <c r="W93" s="250" t="n"/>
    </row>
    <row r="94" ht="15.75" customHeight="1" s="252">
      <c r="T94" s="125" t="n"/>
      <c r="U94" s="125" t="n"/>
      <c r="V94" s="125" t="n"/>
      <c r="W94" s="250" t="n"/>
    </row>
    <row r="95" ht="15.75" customHeight="1" s="252">
      <c r="T95" s="125" t="n"/>
      <c r="U95" s="125" t="n"/>
      <c r="V95" s="125" t="n"/>
      <c r="W95" s="250" t="n"/>
    </row>
    <row r="96" ht="15.75" customHeight="1" s="252">
      <c r="T96" s="125" t="n"/>
      <c r="U96" s="125" t="n"/>
      <c r="V96" s="125" t="n"/>
      <c r="W96" s="250" t="n"/>
    </row>
    <row r="97" ht="15.75" customHeight="1" s="252">
      <c r="T97" s="125" t="n"/>
      <c r="U97" s="125" t="n"/>
      <c r="V97" s="125" t="n"/>
      <c r="W97" s="250" t="n"/>
    </row>
    <row r="98" ht="15.75" customHeight="1" s="252">
      <c r="T98" s="125" t="n"/>
      <c r="U98" s="125" t="n"/>
      <c r="V98" s="125" t="n"/>
      <c r="W98" s="250" t="n"/>
    </row>
    <row r="99" ht="15.75" customHeight="1" s="252">
      <c r="T99" s="125" t="n"/>
      <c r="U99" s="125" t="n"/>
      <c r="V99" s="125" t="n"/>
      <c r="W99" s="250" t="n"/>
    </row>
    <row r="100" ht="15.75" customHeight="1" s="252">
      <c r="T100" s="125" t="n"/>
      <c r="U100" s="125" t="n"/>
      <c r="V100" s="125" t="n"/>
      <c r="W100" s="250" t="n"/>
    </row>
    <row r="101" ht="15.75" customHeight="1" s="252">
      <c r="T101" s="125" t="n"/>
      <c r="U101" s="125" t="n"/>
      <c r="V101" s="125" t="n"/>
      <c r="W101" s="250" t="n"/>
    </row>
    <row r="102" ht="15.75" customHeight="1" s="252">
      <c r="T102" s="125" t="n"/>
      <c r="U102" s="125" t="n"/>
      <c r="V102" s="125" t="n"/>
      <c r="W102" s="250" t="n"/>
    </row>
    <row r="103" ht="15.75" customHeight="1" s="252">
      <c r="T103" s="125" t="n"/>
      <c r="U103" s="125" t="n"/>
      <c r="V103" s="125" t="n"/>
      <c r="W103" s="250" t="n"/>
    </row>
    <row r="104" ht="15.75" customHeight="1" s="252">
      <c r="T104" s="125" t="n"/>
      <c r="U104" s="125" t="n"/>
      <c r="V104" s="125" t="n"/>
      <c r="W104" s="250" t="n"/>
    </row>
    <row r="105" ht="15.75" customHeight="1" s="252">
      <c r="T105" s="125" t="n"/>
      <c r="U105" s="125" t="n"/>
      <c r="V105" s="125" t="n"/>
      <c r="W105" s="250" t="n"/>
    </row>
    <row r="106" ht="15.75" customHeight="1" s="252">
      <c r="T106" s="125" t="n"/>
      <c r="U106" s="125" t="n"/>
      <c r="V106" s="125" t="n"/>
      <c r="W106" s="250" t="n"/>
    </row>
    <row r="107" ht="15.75" customHeight="1" s="252">
      <c r="T107" s="125" t="n"/>
      <c r="U107" s="125" t="n"/>
      <c r="V107" s="125" t="n"/>
      <c r="W107" s="250" t="n"/>
    </row>
    <row r="108" ht="15.75" customHeight="1" s="252">
      <c r="T108" s="125" t="n"/>
      <c r="U108" s="125" t="n"/>
      <c r="V108" s="125" t="n"/>
      <c r="W108" s="250" t="n"/>
    </row>
    <row r="109" ht="15.75" customHeight="1" s="252">
      <c r="T109" s="125" t="n"/>
      <c r="U109" s="125" t="n"/>
      <c r="V109" s="125" t="n"/>
      <c r="W109" s="250" t="n"/>
    </row>
    <row r="110" ht="15.75" customHeight="1" s="252">
      <c r="T110" s="125" t="n"/>
      <c r="U110" s="125" t="n"/>
      <c r="V110" s="125" t="n"/>
      <c r="W110" s="250" t="n"/>
    </row>
    <row r="111" ht="15.75" customHeight="1" s="252">
      <c r="T111" s="125" t="n"/>
      <c r="U111" s="125" t="n"/>
      <c r="V111" s="125" t="n"/>
      <c r="W111" s="250" t="n"/>
    </row>
    <row r="112" ht="15.75" customHeight="1" s="252">
      <c r="T112" s="125" t="n"/>
      <c r="U112" s="125" t="n"/>
      <c r="V112" s="125" t="n"/>
      <c r="W112" s="250" t="n"/>
    </row>
    <row r="113" ht="15.75" customHeight="1" s="252">
      <c r="T113" s="125" t="n"/>
      <c r="U113" s="125" t="n"/>
      <c r="V113" s="125" t="n"/>
      <c r="W113" s="250" t="n"/>
    </row>
    <row r="114" ht="15.75" customHeight="1" s="252">
      <c r="T114" s="125" t="n"/>
      <c r="U114" s="125" t="n"/>
      <c r="V114" s="125" t="n"/>
      <c r="W114" s="250" t="n"/>
    </row>
    <row r="115" ht="15.75" customHeight="1" s="252">
      <c r="T115" s="125" t="n"/>
      <c r="U115" s="125" t="n"/>
      <c r="V115" s="125" t="n"/>
      <c r="W115" s="250" t="n"/>
    </row>
    <row r="116" ht="15.75" customHeight="1" s="252">
      <c r="T116" s="125" t="n"/>
      <c r="U116" s="125" t="n"/>
      <c r="V116" s="125" t="n"/>
      <c r="W116" s="250" t="n"/>
    </row>
    <row r="117" ht="15.75" customHeight="1" s="252">
      <c r="T117" s="125" t="n"/>
      <c r="U117" s="125" t="n"/>
      <c r="V117" s="125" t="n"/>
      <c r="W117" s="250" t="n"/>
    </row>
    <row r="118" ht="15.75" customHeight="1" s="252">
      <c r="T118" s="125" t="n"/>
      <c r="U118" s="125" t="n"/>
      <c r="V118" s="125" t="n"/>
      <c r="W118" s="250" t="n"/>
    </row>
    <row r="119" ht="15.75" customHeight="1" s="252">
      <c r="T119" s="125" t="n"/>
      <c r="U119" s="125" t="n"/>
      <c r="V119" s="125" t="n"/>
      <c r="W119" s="250" t="n"/>
    </row>
    <row r="120" ht="15.75" customHeight="1" s="252">
      <c r="T120" s="125" t="n"/>
      <c r="U120" s="125" t="n"/>
      <c r="V120" s="125" t="n"/>
      <c r="W120" s="250" t="n"/>
    </row>
    <row r="121" ht="15.75" customHeight="1" s="252">
      <c r="T121" s="125" t="n"/>
      <c r="U121" s="125" t="n"/>
      <c r="V121" s="125" t="n"/>
      <c r="W121" s="250" t="n"/>
    </row>
    <row r="122" ht="15.75" customHeight="1" s="252">
      <c r="T122" s="125" t="n"/>
      <c r="U122" s="125" t="n"/>
      <c r="V122" s="125" t="n"/>
      <c r="W122" s="250" t="n"/>
    </row>
    <row r="123" ht="15.75" customHeight="1" s="252">
      <c r="T123" s="125" t="n"/>
      <c r="U123" s="125" t="n"/>
      <c r="V123" s="125" t="n"/>
      <c r="W123" s="250" t="n"/>
    </row>
    <row r="124" ht="15.75" customHeight="1" s="252">
      <c r="T124" s="125" t="n"/>
      <c r="U124" s="125" t="n"/>
      <c r="V124" s="125" t="n"/>
      <c r="W124" s="250" t="n"/>
    </row>
    <row r="125" ht="15.75" customHeight="1" s="252">
      <c r="T125" s="125" t="n"/>
      <c r="U125" s="125" t="n"/>
      <c r="V125" s="125" t="n"/>
      <c r="W125" s="250" t="n"/>
    </row>
    <row r="126" ht="15.75" customHeight="1" s="252">
      <c r="T126" s="125" t="n"/>
      <c r="U126" s="125" t="n"/>
      <c r="V126" s="125" t="n"/>
      <c r="W126" s="250" t="n"/>
    </row>
    <row r="127" ht="15.75" customHeight="1" s="252">
      <c r="T127" s="125" t="n"/>
      <c r="U127" s="125" t="n"/>
      <c r="V127" s="125" t="n"/>
      <c r="W127" s="250" t="n"/>
    </row>
    <row r="128" ht="15.75" customHeight="1" s="252">
      <c r="T128" s="125" t="n"/>
      <c r="U128" s="125" t="n"/>
      <c r="V128" s="125" t="n"/>
      <c r="W128" s="250" t="n"/>
    </row>
    <row r="129" ht="15.75" customHeight="1" s="252">
      <c r="T129" s="125" t="n"/>
      <c r="U129" s="125" t="n"/>
      <c r="V129" s="125" t="n"/>
      <c r="W129" s="250" t="n"/>
    </row>
    <row r="130" ht="15.75" customHeight="1" s="252">
      <c r="T130" s="125" t="n"/>
      <c r="U130" s="125" t="n"/>
      <c r="V130" s="125" t="n"/>
      <c r="W130" s="250" t="n"/>
    </row>
    <row r="131" ht="15.75" customHeight="1" s="252">
      <c r="T131" s="125" t="n"/>
      <c r="U131" s="125" t="n"/>
      <c r="V131" s="125" t="n"/>
      <c r="W131" s="250" t="n"/>
    </row>
    <row r="132" ht="15.75" customHeight="1" s="252">
      <c r="T132" s="125" t="n"/>
      <c r="U132" s="125" t="n"/>
      <c r="V132" s="125" t="n"/>
      <c r="W132" s="250" t="n"/>
    </row>
    <row r="133" ht="15.75" customHeight="1" s="252">
      <c r="T133" s="125" t="n"/>
      <c r="U133" s="125" t="n"/>
      <c r="V133" s="125" t="n"/>
      <c r="W133" s="250" t="n"/>
    </row>
    <row r="134" ht="15.75" customHeight="1" s="252">
      <c r="T134" s="125" t="n"/>
      <c r="U134" s="125" t="n"/>
      <c r="V134" s="125" t="n"/>
      <c r="W134" s="250" t="n"/>
    </row>
    <row r="135" ht="15.75" customHeight="1" s="252">
      <c r="T135" s="125" t="n"/>
      <c r="U135" s="125" t="n"/>
      <c r="V135" s="125" t="n"/>
      <c r="W135" s="250" t="n"/>
    </row>
    <row r="136" ht="15.75" customHeight="1" s="252">
      <c r="T136" s="125" t="n"/>
      <c r="U136" s="125" t="n"/>
      <c r="V136" s="125" t="n"/>
      <c r="W136" s="250" t="n"/>
    </row>
    <row r="137" ht="15.75" customHeight="1" s="252">
      <c r="T137" s="125" t="n"/>
      <c r="U137" s="125" t="n"/>
      <c r="V137" s="125" t="n"/>
      <c r="W137" s="250" t="n"/>
    </row>
    <row r="138" ht="15.75" customHeight="1" s="252">
      <c r="T138" s="125" t="n"/>
      <c r="U138" s="125" t="n"/>
      <c r="V138" s="125" t="n"/>
      <c r="W138" s="250" t="n"/>
    </row>
    <row r="139" ht="15.75" customHeight="1" s="252">
      <c r="T139" s="125" t="n"/>
      <c r="U139" s="125" t="n"/>
      <c r="V139" s="125" t="n"/>
      <c r="W139" s="250" t="n"/>
    </row>
    <row r="140" ht="15.75" customHeight="1" s="252">
      <c r="T140" s="125" t="n"/>
      <c r="U140" s="125" t="n"/>
      <c r="V140" s="125" t="n"/>
      <c r="W140" s="250" t="n"/>
    </row>
    <row r="141" ht="15.75" customHeight="1" s="252">
      <c r="T141" s="125" t="n"/>
      <c r="U141" s="125" t="n"/>
      <c r="V141" s="125" t="n"/>
      <c r="W141" s="250" t="n"/>
    </row>
    <row r="142" ht="15.75" customHeight="1" s="252">
      <c r="T142" s="125" t="n"/>
      <c r="U142" s="125" t="n"/>
      <c r="V142" s="125" t="n"/>
      <c r="W142" s="250" t="n"/>
    </row>
    <row r="143" ht="15.75" customHeight="1" s="252">
      <c r="T143" s="125" t="n"/>
      <c r="U143" s="125" t="n"/>
      <c r="V143" s="125" t="n"/>
      <c r="W143" s="250" t="n"/>
    </row>
    <row r="144" ht="15.75" customHeight="1" s="252">
      <c r="T144" s="125" t="n"/>
      <c r="U144" s="125" t="n"/>
      <c r="V144" s="125" t="n"/>
      <c r="W144" s="250" t="n"/>
    </row>
    <row r="145" ht="15.75" customHeight="1" s="252">
      <c r="T145" s="125" t="n"/>
      <c r="U145" s="125" t="n"/>
      <c r="V145" s="125" t="n"/>
      <c r="W145" s="250" t="n"/>
    </row>
    <row r="146" ht="15.75" customHeight="1" s="252">
      <c r="T146" s="125" t="n"/>
      <c r="U146" s="125" t="n"/>
      <c r="V146" s="125" t="n"/>
      <c r="W146" s="250" t="n"/>
    </row>
    <row r="147" ht="15.75" customHeight="1" s="252">
      <c r="T147" s="125" t="n"/>
      <c r="U147" s="125" t="n"/>
      <c r="V147" s="125" t="n"/>
      <c r="W147" s="250" t="n"/>
    </row>
    <row r="148" ht="15.75" customHeight="1" s="252">
      <c r="T148" s="125" t="n"/>
      <c r="U148" s="125" t="n"/>
      <c r="V148" s="125" t="n"/>
      <c r="W148" s="250" t="n"/>
    </row>
    <row r="149" ht="15.75" customHeight="1" s="252">
      <c r="T149" s="125" t="n"/>
      <c r="U149" s="125" t="n"/>
      <c r="V149" s="125" t="n"/>
      <c r="W149" s="250" t="n"/>
    </row>
    <row r="150" ht="15.75" customHeight="1" s="252">
      <c r="T150" s="125" t="n"/>
      <c r="U150" s="125" t="n"/>
      <c r="V150" s="125" t="n"/>
      <c r="W150" s="250" t="n"/>
    </row>
    <row r="151" ht="15.75" customHeight="1" s="252">
      <c r="T151" s="125" t="n"/>
      <c r="U151" s="125" t="n"/>
      <c r="V151" s="125" t="n"/>
      <c r="W151" s="250" t="n"/>
    </row>
    <row r="152" ht="15.75" customHeight="1" s="252">
      <c r="T152" s="125" t="n"/>
      <c r="U152" s="125" t="n"/>
      <c r="V152" s="125" t="n"/>
      <c r="W152" s="250" t="n"/>
    </row>
    <row r="153" ht="15.75" customHeight="1" s="252">
      <c r="T153" s="125" t="n"/>
      <c r="U153" s="125" t="n"/>
      <c r="V153" s="125" t="n"/>
      <c r="W153" s="250" t="n"/>
    </row>
    <row r="154" ht="15.75" customHeight="1" s="252">
      <c r="T154" s="125" t="n"/>
      <c r="U154" s="125" t="n"/>
      <c r="V154" s="125" t="n"/>
      <c r="W154" s="250" t="n"/>
    </row>
    <row r="155" ht="15.75" customHeight="1" s="252">
      <c r="T155" s="125" t="n"/>
      <c r="U155" s="125" t="n"/>
      <c r="V155" s="125" t="n"/>
      <c r="W155" s="250" t="n"/>
    </row>
    <row r="156" ht="15.75" customHeight="1" s="252">
      <c r="T156" s="125" t="n"/>
      <c r="U156" s="125" t="n"/>
      <c r="V156" s="125" t="n"/>
      <c r="W156" s="250" t="n"/>
    </row>
    <row r="157" ht="15.75" customHeight="1" s="252">
      <c r="T157" s="125" t="n"/>
      <c r="U157" s="125" t="n"/>
      <c r="V157" s="125" t="n"/>
      <c r="W157" s="250" t="n"/>
    </row>
    <row r="158" ht="15.75" customHeight="1" s="252">
      <c r="T158" s="125" t="n"/>
      <c r="U158" s="125" t="n"/>
      <c r="V158" s="125" t="n"/>
      <c r="W158" s="250" t="n"/>
    </row>
    <row r="159" ht="15.75" customHeight="1" s="252">
      <c r="T159" s="125" t="n"/>
      <c r="U159" s="125" t="n"/>
      <c r="V159" s="125" t="n"/>
      <c r="W159" s="250" t="n"/>
    </row>
    <row r="160" ht="15.75" customHeight="1" s="252">
      <c r="T160" s="125" t="n"/>
      <c r="U160" s="125" t="n"/>
      <c r="V160" s="125" t="n"/>
      <c r="W160" s="250" t="n"/>
    </row>
    <row r="161" ht="15.75" customHeight="1" s="252">
      <c r="T161" s="125" t="n"/>
      <c r="U161" s="125" t="n"/>
      <c r="V161" s="125" t="n"/>
      <c r="W161" s="250" t="n"/>
    </row>
    <row r="162" ht="15.75" customHeight="1" s="252">
      <c r="T162" s="125" t="n"/>
      <c r="U162" s="125" t="n"/>
      <c r="V162" s="125" t="n"/>
      <c r="W162" s="250" t="n"/>
    </row>
    <row r="163" ht="15.75" customHeight="1" s="252">
      <c r="T163" s="125" t="n"/>
      <c r="U163" s="125" t="n"/>
      <c r="V163" s="125" t="n"/>
      <c r="W163" s="250" t="n"/>
    </row>
    <row r="164" ht="15.75" customHeight="1" s="252">
      <c r="T164" s="125" t="n"/>
      <c r="U164" s="125" t="n"/>
      <c r="V164" s="125" t="n"/>
      <c r="W164" s="250" t="n"/>
    </row>
    <row r="165" ht="15.75" customHeight="1" s="252">
      <c r="T165" s="125" t="n"/>
      <c r="U165" s="125" t="n"/>
      <c r="V165" s="125" t="n"/>
      <c r="W165" s="250" t="n"/>
    </row>
    <row r="166" ht="15.75" customHeight="1" s="252">
      <c r="T166" s="125" t="n"/>
      <c r="U166" s="125" t="n"/>
      <c r="V166" s="125" t="n"/>
      <c r="W166" s="250" t="n"/>
    </row>
    <row r="167" ht="15.75" customHeight="1" s="252">
      <c r="T167" s="125" t="n"/>
      <c r="U167" s="125" t="n"/>
      <c r="V167" s="125" t="n"/>
      <c r="W167" s="250" t="n"/>
    </row>
    <row r="168" ht="15.75" customHeight="1" s="252">
      <c r="T168" s="125" t="n"/>
      <c r="U168" s="125" t="n"/>
      <c r="V168" s="125" t="n"/>
      <c r="W168" s="250" t="n"/>
    </row>
    <row r="169" ht="15.75" customHeight="1" s="252">
      <c r="T169" s="125" t="n"/>
      <c r="U169" s="125" t="n"/>
      <c r="V169" s="125" t="n"/>
      <c r="W169" s="250" t="n"/>
    </row>
    <row r="170" ht="15.75" customHeight="1" s="252">
      <c r="T170" s="125" t="n"/>
      <c r="U170" s="125" t="n"/>
      <c r="V170" s="125" t="n"/>
      <c r="W170" s="250" t="n"/>
    </row>
    <row r="171" ht="15.75" customHeight="1" s="252">
      <c r="T171" s="125" t="n"/>
      <c r="U171" s="125" t="n"/>
      <c r="V171" s="125" t="n"/>
      <c r="W171" s="250" t="n"/>
    </row>
    <row r="172" ht="15.75" customHeight="1" s="252">
      <c r="T172" s="125" t="n"/>
      <c r="U172" s="125" t="n"/>
      <c r="V172" s="125" t="n"/>
      <c r="W172" s="250" t="n"/>
    </row>
    <row r="173" ht="15.75" customHeight="1" s="252">
      <c r="T173" s="125" t="n"/>
      <c r="U173" s="125" t="n"/>
      <c r="V173" s="125" t="n"/>
      <c r="W173" s="250" t="n"/>
    </row>
    <row r="174" ht="15.75" customHeight="1" s="252">
      <c r="T174" s="125" t="n"/>
      <c r="U174" s="125" t="n"/>
      <c r="V174" s="125" t="n"/>
      <c r="W174" s="250" t="n"/>
    </row>
    <row r="175" ht="15.75" customHeight="1" s="252">
      <c r="T175" s="125" t="n"/>
      <c r="U175" s="125" t="n"/>
      <c r="V175" s="125" t="n"/>
      <c r="W175" s="250" t="n"/>
    </row>
    <row r="176" ht="15.75" customHeight="1" s="252">
      <c r="T176" s="125" t="n"/>
      <c r="U176" s="125" t="n"/>
      <c r="V176" s="125" t="n"/>
      <c r="W176" s="250" t="n"/>
    </row>
    <row r="177" ht="15.75" customHeight="1" s="252">
      <c r="T177" s="125" t="n"/>
      <c r="U177" s="125" t="n"/>
      <c r="V177" s="125" t="n"/>
      <c r="W177" s="250" t="n"/>
    </row>
    <row r="178" ht="15.75" customHeight="1" s="252">
      <c r="T178" s="125" t="n"/>
      <c r="U178" s="125" t="n"/>
      <c r="V178" s="125" t="n"/>
      <c r="W178" s="250" t="n"/>
    </row>
    <row r="179" ht="15.75" customHeight="1" s="252">
      <c r="T179" s="125" t="n"/>
      <c r="U179" s="125" t="n"/>
      <c r="V179" s="125" t="n"/>
      <c r="W179" s="250" t="n"/>
    </row>
    <row r="180" ht="15.75" customHeight="1" s="252">
      <c r="T180" s="125" t="n"/>
      <c r="U180" s="125" t="n"/>
      <c r="V180" s="125" t="n"/>
      <c r="W180" s="250" t="n"/>
    </row>
    <row r="181" ht="15.75" customHeight="1" s="252">
      <c r="T181" s="125" t="n"/>
      <c r="U181" s="125" t="n"/>
      <c r="V181" s="125" t="n"/>
      <c r="W181" s="250" t="n"/>
    </row>
    <row r="182" ht="15.75" customHeight="1" s="252">
      <c r="T182" s="125" t="n"/>
      <c r="U182" s="125" t="n"/>
      <c r="V182" s="125" t="n"/>
      <c r="W182" s="250" t="n"/>
    </row>
    <row r="183" ht="15.75" customHeight="1" s="252">
      <c r="T183" s="125" t="n"/>
      <c r="U183" s="125" t="n"/>
      <c r="V183" s="125" t="n"/>
      <c r="W183" s="250" t="n"/>
    </row>
    <row r="184" ht="15.75" customHeight="1" s="252">
      <c r="T184" s="125" t="n"/>
      <c r="U184" s="125" t="n"/>
      <c r="V184" s="125" t="n"/>
      <c r="W184" s="250" t="n"/>
    </row>
    <row r="185" ht="15.75" customHeight="1" s="252">
      <c r="T185" s="125" t="n"/>
      <c r="U185" s="125" t="n"/>
      <c r="V185" s="125" t="n"/>
      <c r="W185" s="250" t="n"/>
    </row>
    <row r="186" ht="15.75" customHeight="1" s="252">
      <c r="T186" s="125" t="n"/>
      <c r="U186" s="125" t="n"/>
      <c r="V186" s="125" t="n"/>
      <c r="W186" s="250" t="n"/>
    </row>
    <row r="187" ht="15.75" customHeight="1" s="252">
      <c r="T187" s="125" t="n"/>
      <c r="U187" s="125" t="n"/>
      <c r="V187" s="125" t="n"/>
      <c r="W187" s="250" t="n"/>
    </row>
    <row r="188" ht="15.75" customHeight="1" s="252">
      <c r="T188" s="125" t="n"/>
      <c r="U188" s="125" t="n"/>
      <c r="V188" s="125" t="n"/>
      <c r="W188" s="250" t="n"/>
    </row>
    <row r="189" ht="15.75" customHeight="1" s="252">
      <c r="T189" s="125" t="n"/>
      <c r="U189" s="125" t="n"/>
      <c r="V189" s="125" t="n"/>
      <c r="W189" s="250" t="n"/>
    </row>
    <row r="190" ht="15.75" customHeight="1" s="252">
      <c r="T190" s="125" t="n"/>
      <c r="U190" s="125" t="n"/>
      <c r="V190" s="125" t="n"/>
      <c r="W190" s="250" t="n"/>
    </row>
    <row r="191" ht="15.75" customHeight="1" s="252">
      <c r="T191" s="125" t="n"/>
      <c r="U191" s="125" t="n"/>
      <c r="V191" s="125" t="n"/>
      <c r="W191" s="250" t="n"/>
    </row>
    <row r="192" ht="15.75" customHeight="1" s="252">
      <c r="T192" s="125" t="n"/>
      <c r="U192" s="125" t="n"/>
      <c r="V192" s="125" t="n"/>
      <c r="W192" s="250" t="n"/>
    </row>
    <row r="193" ht="15.75" customHeight="1" s="252">
      <c r="T193" s="125" t="n"/>
      <c r="U193" s="125" t="n"/>
      <c r="V193" s="125" t="n"/>
      <c r="W193" s="250" t="n"/>
    </row>
    <row r="194" ht="15.75" customHeight="1" s="252">
      <c r="T194" s="125" t="n"/>
      <c r="U194" s="125" t="n"/>
      <c r="V194" s="125" t="n"/>
      <c r="W194" s="250" t="n"/>
    </row>
    <row r="195" ht="15.75" customHeight="1" s="252">
      <c r="T195" s="125" t="n"/>
      <c r="U195" s="125" t="n"/>
      <c r="V195" s="125" t="n"/>
      <c r="W195" s="250" t="n"/>
    </row>
    <row r="196" ht="15.75" customHeight="1" s="252">
      <c r="T196" s="125" t="n"/>
      <c r="U196" s="125" t="n"/>
      <c r="V196" s="125" t="n"/>
      <c r="W196" s="250" t="n"/>
    </row>
    <row r="197" ht="15.75" customHeight="1" s="252">
      <c r="T197" s="125" t="n"/>
      <c r="U197" s="125" t="n"/>
      <c r="V197" s="125" t="n"/>
      <c r="W197" s="250" t="n"/>
    </row>
    <row r="198" ht="15.75" customHeight="1" s="252">
      <c r="T198" s="125" t="n"/>
      <c r="U198" s="125" t="n"/>
      <c r="V198" s="125" t="n"/>
      <c r="W198" s="250" t="n"/>
    </row>
    <row r="199" ht="15.75" customHeight="1" s="252">
      <c r="T199" s="125" t="n"/>
      <c r="U199" s="125" t="n"/>
      <c r="V199" s="125" t="n"/>
      <c r="W199" s="250" t="n"/>
    </row>
    <row r="200" ht="15.75" customHeight="1" s="252">
      <c r="T200" s="125" t="n"/>
      <c r="U200" s="125" t="n"/>
      <c r="V200" s="125" t="n"/>
      <c r="W200" s="250" t="n"/>
    </row>
    <row r="201" ht="15.75" customHeight="1" s="252">
      <c r="T201" s="125" t="n"/>
      <c r="U201" s="125" t="n"/>
      <c r="V201" s="125" t="n"/>
      <c r="W201" s="250" t="n"/>
    </row>
    <row r="202" ht="15.75" customHeight="1" s="252">
      <c r="T202" s="125" t="n"/>
      <c r="U202" s="125" t="n"/>
      <c r="V202" s="125" t="n"/>
      <c r="W202" s="250" t="n"/>
    </row>
    <row r="203" ht="15.75" customHeight="1" s="252">
      <c r="T203" s="125" t="n"/>
      <c r="U203" s="125" t="n"/>
      <c r="V203" s="125" t="n"/>
      <c r="W203" s="250" t="n"/>
    </row>
    <row r="204" ht="15.75" customHeight="1" s="252">
      <c r="T204" s="125" t="n"/>
      <c r="U204" s="125" t="n"/>
      <c r="V204" s="125" t="n"/>
      <c r="W204" s="250" t="n"/>
    </row>
    <row r="205" ht="15.75" customHeight="1" s="252">
      <c r="T205" s="125" t="n"/>
      <c r="U205" s="125" t="n"/>
      <c r="V205" s="125" t="n"/>
      <c r="W205" s="250" t="n"/>
    </row>
    <row r="206" ht="15.75" customHeight="1" s="252">
      <c r="T206" s="125" t="n"/>
      <c r="U206" s="125" t="n"/>
      <c r="V206" s="125" t="n"/>
      <c r="W206" s="250" t="n"/>
    </row>
    <row r="207" ht="15.75" customHeight="1" s="252">
      <c r="T207" s="125" t="n"/>
      <c r="U207" s="125" t="n"/>
      <c r="V207" s="125" t="n"/>
      <c r="W207" s="250" t="n"/>
    </row>
    <row r="208" ht="15.75" customHeight="1" s="252">
      <c r="T208" s="125" t="n"/>
      <c r="U208" s="125" t="n"/>
      <c r="V208" s="125" t="n"/>
      <c r="W208" s="250" t="n"/>
    </row>
    <row r="209" ht="15.75" customHeight="1" s="252">
      <c r="T209" s="125" t="n"/>
      <c r="U209" s="125" t="n"/>
      <c r="V209" s="125" t="n"/>
      <c r="W209" s="250" t="n"/>
    </row>
    <row r="210" ht="15.75" customHeight="1" s="252">
      <c r="T210" s="125" t="n"/>
      <c r="U210" s="125" t="n"/>
      <c r="V210" s="125" t="n"/>
      <c r="W210" s="250" t="n"/>
    </row>
    <row r="211" ht="15.75" customHeight="1" s="252">
      <c r="T211" s="125" t="n"/>
      <c r="U211" s="125" t="n"/>
      <c r="V211" s="125" t="n"/>
      <c r="W211" s="250" t="n"/>
    </row>
    <row r="212" ht="15.75" customHeight="1" s="252">
      <c r="T212" s="125" t="n"/>
      <c r="U212" s="125" t="n"/>
      <c r="V212" s="125" t="n"/>
      <c r="W212" s="250" t="n"/>
    </row>
    <row r="213" ht="15.75" customHeight="1" s="252">
      <c r="T213" s="125" t="n"/>
      <c r="U213" s="125" t="n"/>
      <c r="V213" s="125" t="n"/>
      <c r="W213" s="250" t="n"/>
    </row>
    <row r="214" ht="15.75" customHeight="1" s="252">
      <c r="T214" s="125" t="n"/>
      <c r="U214" s="125" t="n"/>
      <c r="V214" s="125" t="n"/>
      <c r="W214" s="250" t="n"/>
    </row>
    <row r="215" ht="15.75" customHeight="1" s="252">
      <c r="T215" s="125" t="n"/>
      <c r="U215" s="125" t="n"/>
      <c r="V215" s="125" t="n"/>
      <c r="W215" s="250" t="n"/>
    </row>
    <row r="216" ht="15.75" customHeight="1" s="252">
      <c r="T216" s="125" t="n"/>
      <c r="U216" s="125" t="n"/>
      <c r="V216" s="125" t="n"/>
      <c r="W216" s="250" t="n"/>
    </row>
    <row r="217" ht="15.75" customHeight="1" s="252">
      <c r="T217" s="125" t="n"/>
      <c r="U217" s="125" t="n"/>
      <c r="V217" s="125" t="n"/>
      <c r="W217" s="250" t="n"/>
    </row>
    <row r="218" ht="15.75" customHeight="1" s="252">
      <c r="T218" s="125" t="n"/>
      <c r="U218" s="125" t="n"/>
      <c r="V218" s="125" t="n"/>
      <c r="W218" s="250" t="n"/>
    </row>
    <row r="219" ht="15.75" customHeight="1" s="252">
      <c r="T219" s="125" t="n"/>
      <c r="U219" s="125" t="n"/>
      <c r="V219" s="125" t="n"/>
      <c r="W219" s="250" t="n"/>
    </row>
    <row r="220" ht="15.75" customHeight="1" s="252">
      <c r="T220" s="125" t="n"/>
      <c r="U220" s="125" t="n"/>
      <c r="V220" s="125" t="n"/>
      <c r="W220" s="250" t="n"/>
    </row>
    <row r="221" ht="15.75" customHeight="1" s="252">
      <c r="T221" s="125" t="n"/>
      <c r="U221" s="125" t="n"/>
      <c r="V221" s="125" t="n"/>
      <c r="W221" s="250" t="n"/>
    </row>
    <row r="222" ht="15.75" customHeight="1" s="252">
      <c r="T222" s="125" t="n"/>
      <c r="U222" s="125" t="n"/>
      <c r="V222" s="125" t="n"/>
      <c r="W222" s="250" t="n"/>
    </row>
    <row r="223" ht="15.75" customHeight="1" s="252">
      <c r="T223" s="125" t="n"/>
      <c r="U223" s="125" t="n"/>
      <c r="V223" s="125" t="n"/>
      <c r="W223" s="250" t="n"/>
    </row>
    <row r="224" ht="15.75" customHeight="1" s="252">
      <c r="T224" s="125" t="n"/>
      <c r="U224" s="125" t="n"/>
      <c r="V224" s="125" t="n"/>
      <c r="W224" s="250" t="n"/>
    </row>
    <row r="225" ht="15.75" customHeight="1" s="252">
      <c r="T225" s="125" t="n"/>
      <c r="U225" s="125" t="n"/>
      <c r="V225" s="125" t="n"/>
      <c r="W225" s="250" t="n"/>
    </row>
    <row r="226" ht="15.75" customHeight="1" s="252">
      <c r="T226" s="125" t="n"/>
      <c r="U226" s="125" t="n"/>
      <c r="V226" s="125" t="n"/>
      <c r="W226" s="250" t="n"/>
    </row>
    <row r="227" ht="15.75" customHeight="1" s="252"/>
    <row r="228" ht="15.75" customHeight="1" s="252"/>
    <row r="229" ht="15.75" customHeight="1" s="252"/>
    <row r="230" ht="15.75" customHeight="1" s="252"/>
    <row r="231" ht="15.75" customHeight="1" s="252"/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mergeCells count="5">
    <mergeCell ref="Z1:AD1"/>
    <mergeCell ref="Z2:AD2"/>
    <mergeCell ref="B1:F1"/>
    <mergeCell ref="I1:M1"/>
    <mergeCell ref="O1:X1"/>
  </mergeCells>
  <conditionalFormatting sqref="A34 B4:B33 B35:B1000 C23:D26 C29:G29 E4:G26 I4:I1000 J4:M23">
    <cfRule type="cellIs" priority="1" operator="lessThan" dxfId="0">
      <formula>3.5%/12</formula>
    </cfRule>
  </conditionalFormatting>
  <conditionalFormatting sqref="B23:B25 B29 B38 B44 B48 C4:C1000 D23:G25 D29:G29 G13 G19 J4:J1000">
    <cfRule type="cellIs" priority="2" operator="lessThan" dxfId="0">
      <formula>7.5%/12</formula>
    </cfRule>
  </conditionalFormatting>
  <conditionalFormatting sqref="B39 B45:B46 B49 D4:D1000 G14 G20:G23 K4:M1000">
    <cfRule type="cellIs" priority="3" operator="lessThan" dxfId="0">
      <formula>7.75%/12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0000FF"/>
    <outlinePr summaryBelow="0" summaryRight="0"/>
    <pageSetUpPr fitToPage="1"/>
  </sheetPr>
  <dimension ref="A1:A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12.63" customWidth="1" style="252" min="1" max="1"/>
    <col width="27.25" customWidth="1" style="252" min="2" max="2"/>
    <col width="12.63" customWidth="1" style="252" min="3" max="6"/>
  </cols>
  <sheetData>
    <row r="1" ht="15.75" customHeight="1" s="252"/>
    <row r="2" ht="15.75" customHeight="1" s="252"/>
    <row r="3" ht="15.75" customHeight="1" s="252"/>
    <row r="4" ht="15.75" customHeight="1" s="252"/>
    <row r="5" ht="15.75" customHeight="1" s="252"/>
    <row r="6" ht="15.75" customHeight="1" s="252"/>
    <row r="7" ht="15.75" customHeight="1" s="252"/>
    <row r="8" ht="15.75" customHeight="1" s="252"/>
    <row r="9" ht="15.75" customHeight="1" s="252"/>
    <row r="10" ht="15.75" customHeight="1" s="252"/>
    <row r="11" ht="15.75" customHeight="1" s="252"/>
    <row r="12" ht="15.75" customHeight="1" s="252"/>
    <row r="13" ht="15.75" customHeight="1" s="252"/>
    <row r="14" ht="15.75" customHeight="1" s="252"/>
    <row r="15" ht="15.75" customHeight="1" s="252"/>
    <row r="16" ht="15.75" customHeight="1" s="252"/>
    <row r="17" ht="15.75" customHeight="1" s="252"/>
    <row r="18" ht="15.75" customHeight="1" s="252"/>
    <row r="19" ht="15.75" customHeight="1" s="252"/>
    <row r="20" ht="15.75" customHeight="1" s="252"/>
    <row r="21" ht="15.75" customHeight="1" s="252"/>
    <row r="22" ht="15.75" customHeight="1" s="252"/>
    <row r="23" ht="15.75" customHeight="1" s="252"/>
    <row r="24" ht="15.75" customHeight="1" s="252"/>
    <row r="25" ht="15.75" customHeight="1" s="252"/>
    <row r="26" ht="15.75" customHeight="1" s="252"/>
    <row r="27" ht="15.75" customHeight="1" s="252"/>
    <row r="28" ht="15.75" customHeight="1" s="252"/>
    <row r="29" ht="15.75" customHeight="1" s="252"/>
    <row r="30" ht="15.75" customHeight="1" s="252"/>
    <row r="31" ht="15.75" customHeight="1" s="252"/>
    <row r="32" ht="15.75" customHeight="1" s="252"/>
    <row r="33" ht="15.75" customHeight="1" s="252"/>
    <row r="34" ht="15.75" customHeight="1" s="252"/>
    <row r="35" ht="15.75" customHeight="1" s="252"/>
    <row r="36" ht="15.75" customHeight="1" s="252"/>
    <row r="37" ht="15.75" customHeight="1" s="252"/>
    <row r="38" ht="15.75" customHeight="1" s="252"/>
    <row r="39" ht="15.75" customHeight="1" s="252"/>
    <row r="40" ht="15.75" customHeight="1" s="252"/>
    <row r="41" ht="15.75" customHeight="1" s="252"/>
    <row r="42" ht="15.75" customHeight="1" s="252"/>
    <row r="43" ht="15.75" customHeight="1" s="252"/>
    <row r="44" ht="15.75" customHeight="1" s="252"/>
    <row r="45" ht="15.75" customHeight="1" s="252"/>
    <row r="46" ht="15.75" customHeight="1" s="252"/>
    <row r="47" ht="15.75" customHeight="1" s="252"/>
    <row r="48" ht="15.75" customHeight="1" s="252"/>
    <row r="49" ht="15.75" customHeight="1" s="252"/>
    <row r="50" ht="15.75" customHeight="1" s="252"/>
    <row r="51" ht="15.75" customHeight="1" s="252"/>
    <row r="52" ht="15.75" customHeight="1" s="252"/>
    <row r="53" ht="15.75" customHeight="1" s="252"/>
    <row r="54" ht="15.75" customHeight="1" s="252"/>
    <row r="55" ht="15.75" customHeight="1" s="252"/>
    <row r="56" ht="15.75" customHeight="1" s="252"/>
    <row r="57" ht="15.75" customHeight="1" s="252"/>
    <row r="58" ht="15.75" customHeight="1" s="252"/>
    <row r="59" ht="15.75" customHeight="1" s="252"/>
    <row r="60" ht="15.75" customHeight="1" s="252"/>
    <row r="61" ht="15.75" customHeight="1" s="252"/>
    <row r="62" ht="15.75" customHeight="1" s="252"/>
    <row r="63" ht="15.75" customHeight="1" s="252"/>
    <row r="64" ht="15.75" customHeight="1" s="252"/>
    <row r="65" ht="15.75" customHeight="1" s="252"/>
    <row r="66" ht="15.75" customHeight="1" s="252"/>
    <row r="67" ht="15.75" customHeight="1" s="252"/>
    <row r="68" ht="15.75" customHeight="1" s="252"/>
    <row r="69" ht="15.75" customHeight="1" s="252"/>
    <row r="70" ht="15.75" customHeight="1" s="252"/>
    <row r="71" ht="15.75" customHeight="1" s="252"/>
    <row r="72" ht="15.75" customHeight="1" s="252"/>
    <row r="73" ht="15.75" customHeight="1" s="252"/>
    <row r="74" ht="15.75" customHeight="1" s="252"/>
    <row r="75" ht="15.75" customHeight="1" s="252"/>
    <row r="76" ht="15.75" customHeight="1" s="252"/>
    <row r="77" ht="15.75" customHeight="1" s="252"/>
    <row r="78" ht="15.75" customHeight="1" s="252"/>
    <row r="79" ht="15.75" customHeight="1" s="252"/>
    <row r="80" ht="15.75" customHeight="1" s="252"/>
    <row r="81" ht="15.75" customHeight="1" s="252"/>
    <row r="82" ht="15.75" customHeight="1" s="252"/>
    <row r="83" ht="15.75" customHeight="1" s="252"/>
    <row r="84" ht="15.75" customHeight="1" s="252"/>
    <row r="85" ht="15.75" customHeight="1" s="252"/>
    <row r="86" ht="15.75" customHeight="1" s="252"/>
    <row r="87" ht="15.75" customHeight="1" s="252"/>
    <row r="88" ht="15.75" customHeight="1" s="252"/>
    <row r="89" ht="15.75" customHeight="1" s="252"/>
    <row r="90" ht="15.75" customHeight="1" s="252"/>
    <row r="91" ht="15.75" customHeight="1" s="252"/>
    <row r="92" ht="15.75" customHeight="1" s="252"/>
    <row r="93" ht="15.75" customHeight="1" s="252"/>
    <row r="94" ht="15.75" customHeight="1" s="252"/>
    <row r="95" ht="15.75" customHeight="1" s="252"/>
    <row r="96" ht="15.75" customHeight="1" s="252"/>
    <row r="97" ht="15.75" customHeight="1" s="252"/>
    <row r="98" ht="15.75" customHeight="1" s="252"/>
    <row r="99" ht="15.75" customHeight="1" s="252"/>
    <row r="100" ht="15.75" customHeight="1" s="252"/>
    <row r="101" ht="15.75" customHeight="1" s="252"/>
    <row r="102" ht="15.75" customHeight="1" s="252"/>
    <row r="103" ht="15.75" customHeight="1" s="252"/>
    <row r="104" ht="15.75" customHeight="1" s="252"/>
    <row r="105" ht="15.75" customHeight="1" s="252"/>
    <row r="106" ht="15.75" customHeight="1" s="252"/>
    <row r="107" ht="15.75" customHeight="1" s="252"/>
    <row r="108" ht="15.75" customHeight="1" s="252"/>
    <row r="109" ht="15.75" customHeight="1" s="252"/>
    <row r="110" ht="15.75" customHeight="1" s="252"/>
    <row r="111" ht="15.75" customHeight="1" s="252"/>
    <row r="112" ht="15.75" customHeight="1" s="252"/>
    <row r="113" ht="15.75" customHeight="1" s="252"/>
    <row r="114" ht="15.75" customHeight="1" s="252"/>
    <row r="115" ht="15.75" customHeight="1" s="252"/>
    <row r="116" ht="15.75" customHeight="1" s="252"/>
    <row r="117" ht="15.75" customHeight="1" s="252"/>
    <row r="118" ht="15.75" customHeight="1" s="252"/>
    <row r="119" ht="15.75" customHeight="1" s="252"/>
    <row r="120" ht="15.75" customHeight="1" s="252"/>
    <row r="121" ht="15.75" customHeight="1" s="252"/>
    <row r="122" ht="15.75" customHeight="1" s="252"/>
    <row r="123" ht="15.75" customHeight="1" s="252"/>
    <row r="124" ht="15.75" customHeight="1" s="252"/>
    <row r="125" ht="15.75" customHeight="1" s="252"/>
    <row r="126" ht="15.75" customHeight="1" s="252"/>
    <row r="127" ht="15.75" customHeight="1" s="252"/>
    <row r="128" ht="15.75" customHeight="1" s="252"/>
    <row r="129" ht="15.75" customHeight="1" s="252"/>
    <row r="130" ht="15.75" customHeight="1" s="252"/>
    <row r="131" ht="15.75" customHeight="1" s="252"/>
    <row r="132" ht="15.75" customHeight="1" s="252"/>
    <row r="133" ht="15.75" customHeight="1" s="252"/>
    <row r="134" ht="15.75" customHeight="1" s="252"/>
    <row r="135" ht="15.75" customHeight="1" s="252"/>
    <row r="136" ht="15.75" customHeight="1" s="252"/>
    <row r="137" ht="15.75" customHeight="1" s="252"/>
    <row r="138" ht="15.75" customHeight="1" s="252"/>
    <row r="139" ht="15.75" customHeight="1" s="252"/>
    <row r="140" ht="15.75" customHeight="1" s="252"/>
    <row r="141" ht="15.75" customHeight="1" s="252"/>
    <row r="142" ht="15.75" customHeight="1" s="252"/>
    <row r="143" ht="15.75" customHeight="1" s="252"/>
    <row r="144" ht="15.75" customHeight="1" s="252"/>
    <row r="145" ht="15.75" customHeight="1" s="252"/>
    <row r="146" ht="15.75" customHeight="1" s="252"/>
    <row r="147" ht="15.75" customHeight="1" s="252"/>
    <row r="148" ht="15.75" customHeight="1" s="252"/>
    <row r="149" ht="15.75" customHeight="1" s="252"/>
    <row r="150" ht="15.75" customHeight="1" s="252"/>
    <row r="151" ht="15.75" customHeight="1" s="252"/>
    <row r="152" ht="15.75" customHeight="1" s="252"/>
    <row r="153" ht="15.75" customHeight="1" s="252"/>
    <row r="154" ht="15.75" customHeight="1" s="252"/>
    <row r="155" ht="15.75" customHeight="1" s="252"/>
    <row r="156" ht="15.75" customHeight="1" s="252"/>
    <row r="157" ht="15.75" customHeight="1" s="252"/>
    <row r="158" ht="15.75" customHeight="1" s="252"/>
    <row r="159" ht="15.75" customHeight="1" s="252"/>
    <row r="160" ht="15.75" customHeight="1" s="252"/>
    <row r="161" ht="15.75" customHeight="1" s="252"/>
    <row r="162" ht="15.75" customHeight="1" s="252"/>
    <row r="163" ht="15.75" customHeight="1" s="252"/>
    <row r="164" ht="15.75" customHeight="1" s="252"/>
    <row r="165" ht="15.75" customHeight="1" s="252"/>
    <row r="166" ht="15.75" customHeight="1" s="252"/>
    <row r="167" ht="15.75" customHeight="1" s="252"/>
    <row r="168" ht="15.75" customHeight="1" s="252"/>
    <row r="169" ht="15.75" customHeight="1" s="252"/>
    <row r="170" ht="15.75" customHeight="1" s="252"/>
    <row r="171" ht="15.75" customHeight="1" s="252"/>
    <row r="172" ht="15.75" customHeight="1" s="252"/>
    <row r="173" ht="15.75" customHeight="1" s="252"/>
    <row r="174" ht="15.75" customHeight="1" s="252"/>
    <row r="175" ht="15.75" customHeight="1" s="252"/>
    <row r="176" ht="15.75" customHeight="1" s="252"/>
    <row r="177" ht="15.75" customHeight="1" s="252"/>
    <row r="178" ht="15.75" customHeight="1" s="252"/>
    <row r="179" ht="15.75" customHeight="1" s="252"/>
    <row r="180" ht="15.75" customHeight="1" s="252"/>
    <row r="181" ht="15.75" customHeight="1" s="252"/>
    <row r="182" ht="15.75" customHeight="1" s="252"/>
    <row r="183" ht="15.75" customHeight="1" s="252"/>
    <row r="184" ht="15.75" customHeight="1" s="252"/>
    <row r="185" ht="15.75" customHeight="1" s="252"/>
    <row r="186" ht="15.75" customHeight="1" s="252"/>
    <row r="187" ht="15.75" customHeight="1" s="252"/>
    <row r="188" ht="15.75" customHeight="1" s="252"/>
    <row r="189" ht="15.75" customHeight="1" s="252"/>
    <row r="190" ht="15.75" customHeight="1" s="252"/>
    <row r="191" ht="15.75" customHeight="1" s="252"/>
    <row r="192" ht="15.75" customHeight="1" s="252"/>
    <row r="193" ht="15.75" customHeight="1" s="252"/>
    <row r="194" ht="15.75" customHeight="1" s="252"/>
    <row r="195" ht="15.75" customHeight="1" s="252"/>
    <row r="196" ht="15.75" customHeight="1" s="252"/>
    <row r="197" ht="15.75" customHeight="1" s="252"/>
    <row r="198" ht="15.75" customHeight="1" s="252"/>
    <row r="199" ht="15.75" customHeight="1" s="252"/>
    <row r="200" ht="15.75" customHeight="1" s="252"/>
    <row r="201" ht="15.75" customHeight="1" s="252"/>
    <row r="202" ht="15.75" customHeight="1" s="252"/>
    <row r="203" ht="15.75" customHeight="1" s="252"/>
    <row r="204" ht="15.75" customHeight="1" s="252"/>
    <row r="205" ht="15.75" customHeight="1" s="252"/>
    <row r="206" ht="15.75" customHeight="1" s="252"/>
    <row r="207" ht="15.75" customHeight="1" s="252"/>
    <row r="208" ht="15.75" customHeight="1" s="252"/>
    <row r="209" ht="15.75" customHeight="1" s="252"/>
    <row r="210" ht="15.75" customHeight="1" s="252"/>
    <row r="211" ht="15.75" customHeight="1" s="252"/>
    <row r="212" ht="15.75" customHeight="1" s="252"/>
    <row r="213" ht="15.75" customHeight="1" s="252"/>
    <row r="214" ht="15.75" customHeight="1" s="252"/>
    <row r="215" ht="15.75" customHeight="1" s="252"/>
    <row r="216" ht="15.75" customHeight="1" s="252"/>
    <row r="217" ht="15.75" customHeight="1" s="252"/>
    <row r="218" ht="15.75" customHeight="1" s="252"/>
    <row r="219" ht="15.75" customHeight="1" s="252"/>
    <row r="220" ht="15.75" customHeight="1" s="252"/>
    <row r="221" ht="15.75" customHeight="1" s="252"/>
    <row r="222" ht="15.75" customHeight="1" s="252"/>
    <row r="223" ht="15.75" customHeight="1" s="252"/>
    <row r="224" ht="15.75" customHeight="1" s="252"/>
    <row r="225" ht="15.75" customHeight="1" s="252"/>
    <row r="226" ht="15.75" customHeight="1" s="252"/>
    <row r="227" ht="15.75" customHeight="1" s="252"/>
    <row r="228" ht="15.75" customHeight="1" s="252"/>
    <row r="229" ht="15.75" customHeight="1" s="252"/>
    <row r="230" ht="15.75" customHeight="1" s="252"/>
    <row r="231" ht="15.75" customHeight="1" s="252"/>
    <row r="232" ht="15.75" customHeight="1" s="252"/>
    <row r="233" ht="15.75" customHeight="1" s="252"/>
    <row r="234" ht="15.75" customHeight="1" s="252"/>
    <row r="235" ht="15.75" customHeight="1" s="252"/>
    <row r="236" ht="15.75" customHeight="1" s="252"/>
    <row r="237" ht="15.75" customHeight="1" s="252"/>
    <row r="238" ht="15.75" customHeight="1" s="252"/>
    <row r="239" ht="15.75" customHeight="1" s="252"/>
    <row r="240" ht="15.75" customHeight="1" s="252"/>
    <row r="241" ht="15.75" customHeight="1" s="252"/>
    <row r="242" ht="15.75" customHeight="1" s="252"/>
    <row r="243" ht="15.75" customHeight="1" s="252"/>
    <row r="244" ht="15.75" customHeight="1" s="252"/>
    <row r="245" ht="15.75" customHeight="1" s="252"/>
    <row r="246" ht="15.75" customHeight="1" s="252"/>
    <row r="247" ht="15.75" customHeight="1" s="252"/>
    <row r="248" ht="15.75" customHeight="1" s="252"/>
    <row r="249" ht="15.75" customHeight="1" s="252"/>
    <row r="250" ht="15.75" customHeight="1" s="252"/>
    <row r="251" ht="15.75" customHeight="1" s="252"/>
    <row r="252" ht="15.75" customHeight="1" s="252"/>
    <row r="253" ht="15.75" customHeight="1" s="252"/>
    <row r="254" ht="15.75" customHeight="1" s="252"/>
    <row r="255" ht="15.75" customHeight="1" s="252"/>
    <row r="256" ht="15.75" customHeight="1" s="252"/>
    <row r="257" ht="15.75" customHeight="1" s="252"/>
    <row r="258" ht="15.75" customHeight="1" s="252"/>
    <row r="259" ht="15.75" customHeight="1" s="252"/>
    <row r="260" ht="15.75" customHeight="1" s="252"/>
    <row r="261" ht="15.75" customHeight="1" s="252"/>
    <row r="262" ht="15.75" customHeight="1" s="252"/>
    <row r="263" ht="15.75" customHeight="1" s="252"/>
    <row r="264" ht="15.75" customHeight="1" s="252"/>
    <row r="265" ht="15.75" customHeight="1" s="252"/>
    <row r="266" ht="15.75" customHeight="1" s="252"/>
    <row r="267" ht="15.75" customHeight="1" s="252"/>
    <row r="268" ht="15.75" customHeight="1" s="252"/>
    <row r="269" ht="15.75" customHeight="1" s="252"/>
    <row r="270" ht="15.75" customHeight="1" s="252"/>
    <row r="271" ht="15.75" customHeight="1" s="252"/>
    <row r="272" ht="15.75" customHeight="1" s="252"/>
    <row r="273" ht="15.75" customHeight="1" s="252"/>
    <row r="274" ht="15.75" customHeight="1" s="252"/>
    <row r="275" ht="15.75" customHeight="1" s="252"/>
    <row r="276" ht="15.75" customHeight="1" s="252"/>
    <row r="277" ht="15.75" customHeight="1" s="252"/>
    <row r="278" ht="15.75" customHeight="1" s="252"/>
    <row r="279" ht="15.75" customHeight="1" s="252"/>
    <row r="280" ht="15.75" customHeight="1" s="252"/>
    <row r="281" ht="15.75" customHeight="1" s="252"/>
    <row r="282" ht="15.75" customHeight="1" s="252"/>
    <row r="283" ht="15.75" customHeight="1" s="252"/>
    <row r="284" ht="15.75" customHeight="1" s="252"/>
    <row r="285" ht="15.75" customHeight="1" s="252"/>
    <row r="286" ht="15.75" customHeight="1" s="252"/>
    <row r="287" ht="15.75" customHeight="1" s="252"/>
    <row r="288" ht="15.75" customHeight="1" s="252"/>
    <row r="289" ht="15.75" customHeight="1" s="252"/>
    <row r="290" ht="15.75" customHeight="1" s="252"/>
    <row r="291" ht="15.75" customHeight="1" s="252"/>
    <row r="292" ht="15.75" customHeight="1" s="252"/>
    <row r="293" ht="15.75" customHeight="1" s="252"/>
    <row r="294" ht="15.75" customHeight="1" s="252"/>
    <row r="295" ht="15.75" customHeight="1" s="252"/>
    <row r="296" ht="15.75" customHeight="1" s="252"/>
    <row r="297" ht="15.75" customHeight="1" s="252"/>
    <row r="298" ht="15.75" customHeight="1" s="252"/>
    <row r="299" ht="15.75" customHeight="1" s="252"/>
    <row r="300" ht="15.75" customHeight="1" s="252"/>
    <row r="301" ht="15.75" customHeight="1" s="252"/>
    <row r="302" ht="15.75" customHeight="1" s="252"/>
    <row r="303" ht="15.75" customHeight="1" s="252"/>
    <row r="304" ht="15.75" customHeight="1" s="252"/>
    <row r="305" ht="15.75" customHeight="1" s="252"/>
    <row r="306" ht="15.75" customHeight="1" s="252"/>
    <row r="307" ht="15.75" customHeight="1" s="252"/>
    <row r="308" ht="15.75" customHeight="1" s="252"/>
    <row r="309" ht="15.75" customHeight="1" s="252"/>
    <row r="310" ht="15.75" customHeight="1" s="252"/>
    <row r="311" ht="15.75" customHeight="1" s="252"/>
    <row r="312" ht="15.75" customHeight="1" s="252"/>
    <row r="313" ht="15.75" customHeight="1" s="252"/>
    <row r="314" ht="15.75" customHeight="1" s="252"/>
    <row r="315" ht="15.75" customHeight="1" s="252"/>
    <row r="316" ht="15.75" customHeight="1" s="252"/>
    <row r="317" ht="15.75" customHeight="1" s="252"/>
    <row r="318" ht="15.75" customHeight="1" s="252"/>
    <row r="319" ht="15.75" customHeight="1" s="252"/>
    <row r="320" ht="15.75" customHeight="1" s="252"/>
    <row r="321" ht="15.75" customHeight="1" s="252"/>
    <row r="322" ht="15.75" customHeight="1" s="252"/>
    <row r="323" ht="15.75" customHeight="1" s="252"/>
    <row r="324" ht="15.75" customHeight="1" s="252"/>
    <row r="325" ht="15.75" customHeight="1" s="252"/>
    <row r="326" ht="15.75" customHeight="1" s="252"/>
    <row r="327" ht="15.75" customHeight="1" s="252"/>
    <row r="328" ht="15.75" customHeight="1" s="252"/>
    <row r="329" ht="15.75" customHeight="1" s="252"/>
    <row r="330" ht="15.75" customHeight="1" s="252"/>
    <row r="331" ht="15.75" customHeight="1" s="252"/>
    <row r="332" ht="15.75" customHeight="1" s="252"/>
    <row r="333" ht="15.75" customHeight="1" s="252"/>
    <row r="334" ht="15.75" customHeight="1" s="252"/>
    <row r="335" ht="15.75" customHeight="1" s="252"/>
    <row r="336" ht="15.75" customHeight="1" s="252"/>
    <row r="337" ht="15.75" customHeight="1" s="252"/>
    <row r="338" ht="15.75" customHeight="1" s="252"/>
    <row r="339" ht="15.75" customHeight="1" s="252"/>
    <row r="340" ht="15.75" customHeight="1" s="252"/>
    <row r="341" ht="15.75" customHeight="1" s="252"/>
    <row r="342" ht="15.75" customHeight="1" s="252"/>
    <row r="343" ht="15.75" customHeight="1" s="252"/>
    <row r="344" ht="15.75" customHeight="1" s="252"/>
    <row r="345" ht="15.75" customHeight="1" s="252"/>
    <row r="346" ht="15.75" customHeight="1" s="252"/>
    <row r="347" ht="15.75" customHeight="1" s="252"/>
    <row r="348" ht="15.75" customHeight="1" s="252"/>
    <row r="349" ht="15.75" customHeight="1" s="252"/>
    <row r="350" ht="15.75" customHeight="1" s="252"/>
    <row r="351" ht="15.75" customHeight="1" s="252"/>
    <row r="352" ht="15.75" customHeight="1" s="252"/>
    <row r="353" ht="15.75" customHeight="1" s="252"/>
    <row r="354" ht="15.75" customHeight="1" s="252"/>
    <row r="355" ht="15.75" customHeight="1" s="252"/>
    <row r="356" ht="15.75" customHeight="1" s="252"/>
    <row r="357" ht="15.75" customHeight="1" s="252"/>
    <row r="358" ht="15.75" customHeight="1" s="252"/>
    <row r="359" ht="15.75" customHeight="1" s="252"/>
    <row r="360" ht="15.75" customHeight="1" s="252"/>
    <row r="361" ht="15.75" customHeight="1" s="252"/>
    <row r="362" ht="15.75" customHeight="1" s="252"/>
    <row r="363" ht="15.75" customHeight="1" s="252"/>
    <row r="364" ht="15.75" customHeight="1" s="252"/>
    <row r="365" ht="15.75" customHeight="1" s="252"/>
    <row r="366" ht="15.75" customHeight="1" s="252"/>
    <row r="367" ht="15.75" customHeight="1" s="252"/>
    <row r="368" ht="15.75" customHeight="1" s="252"/>
    <row r="369" ht="15.75" customHeight="1" s="252"/>
    <row r="370" ht="15.75" customHeight="1" s="252"/>
    <row r="371" ht="15.75" customHeight="1" s="252"/>
    <row r="372" ht="15.75" customHeight="1" s="252"/>
    <row r="373" ht="15.75" customHeight="1" s="252"/>
    <row r="374" ht="15.75" customHeight="1" s="252"/>
    <row r="375" ht="15.75" customHeight="1" s="252"/>
    <row r="376" ht="15.75" customHeight="1" s="252"/>
    <row r="377" ht="15.75" customHeight="1" s="252"/>
    <row r="378" ht="15.75" customHeight="1" s="252"/>
    <row r="379" ht="15.75" customHeight="1" s="252"/>
    <row r="380" ht="15.75" customHeight="1" s="252"/>
    <row r="381" ht="15.75" customHeight="1" s="252"/>
    <row r="382" ht="15.75" customHeight="1" s="252"/>
    <row r="383" ht="15.75" customHeight="1" s="252"/>
    <row r="384" ht="15.75" customHeight="1" s="252"/>
    <row r="385" ht="15.75" customHeight="1" s="252"/>
    <row r="386" ht="15.75" customHeight="1" s="252"/>
    <row r="387" ht="15.75" customHeight="1" s="252"/>
    <row r="388" ht="15.75" customHeight="1" s="252"/>
    <row r="389" ht="15.75" customHeight="1" s="252"/>
    <row r="390" ht="15.75" customHeight="1" s="252"/>
    <row r="391" ht="15.75" customHeight="1" s="252"/>
    <row r="392" ht="15.75" customHeight="1" s="252"/>
    <row r="393" ht="15.75" customHeight="1" s="252"/>
    <row r="394" ht="15.75" customHeight="1" s="252"/>
    <row r="395" ht="15.75" customHeight="1" s="252"/>
    <row r="396" ht="15.75" customHeight="1" s="252"/>
    <row r="397" ht="15.75" customHeight="1" s="252"/>
    <row r="398" ht="15.75" customHeight="1" s="252"/>
    <row r="399" ht="15.75" customHeight="1" s="252"/>
    <row r="400" ht="15.75" customHeight="1" s="252"/>
    <row r="401" ht="15.75" customHeight="1" s="252"/>
    <row r="402" ht="15.75" customHeight="1" s="252"/>
    <row r="403" ht="15.75" customHeight="1" s="252"/>
    <row r="404" ht="15.75" customHeight="1" s="252"/>
    <row r="405" ht="15.75" customHeight="1" s="252"/>
    <row r="406" ht="15.75" customHeight="1" s="252"/>
    <row r="407" ht="15.75" customHeight="1" s="252"/>
    <row r="408" ht="15.75" customHeight="1" s="252"/>
    <row r="409" ht="15.75" customHeight="1" s="252"/>
    <row r="410" ht="15.75" customHeight="1" s="252"/>
    <row r="411" ht="15.75" customHeight="1" s="252"/>
    <row r="412" ht="15.75" customHeight="1" s="252"/>
    <row r="413" ht="15.75" customHeight="1" s="252"/>
    <row r="414" ht="15.75" customHeight="1" s="252"/>
    <row r="415" ht="15.75" customHeight="1" s="252"/>
    <row r="416" ht="15.75" customHeight="1" s="252"/>
    <row r="417" ht="15.75" customHeight="1" s="252"/>
    <row r="418" ht="15.75" customHeight="1" s="252"/>
    <row r="419" ht="15.75" customHeight="1" s="252"/>
    <row r="420" ht="15.75" customHeight="1" s="252"/>
    <row r="421" ht="15.75" customHeight="1" s="252"/>
    <row r="422" ht="15.75" customHeight="1" s="252"/>
    <row r="423" ht="15.75" customHeight="1" s="252"/>
    <row r="424" ht="15.75" customHeight="1" s="252"/>
    <row r="425" ht="15.75" customHeight="1" s="252"/>
    <row r="426" ht="15.75" customHeight="1" s="252"/>
    <row r="427" ht="15.75" customHeight="1" s="252"/>
    <row r="428" ht="15.75" customHeight="1" s="252"/>
    <row r="429" ht="15.75" customHeight="1" s="252"/>
    <row r="430" ht="15.75" customHeight="1" s="252"/>
    <row r="431" ht="15.75" customHeight="1" s="252"/>
    <row r="432" ht="15.75" customHeight="1" s="252"/>
    <row r="433" ht="15.75" customHeight="1" s="252"/>
    <row r="434" ht="15.75" customHeight="1" s="252"/>
    <row r="435" ht="15.75" customHeight="1" s="252"/>
    <row r="436" ht="15.75" customHeight="1" s="252"/>
    <row r="437" ht="15.75" customHeight="1" s="252"/>
    <row r="438" ht="15.75" customHeight="1" s="252"/>
    <row r="439" ht="15.75" customHeight="1" s="252"/>
    <row r="440" ht="15.75" customHeight="1" s="252"/>
    <row r="441" ht="15.75" customHeight="1" s="252"/>
    <row r="442" ht="15.75" customHeight="1" s="252"/>
    <row r="443" ht="15.75" customHeight="1" s="252"/>
    <row r="444" ht="15.75" customHeight="1" s="252"/>
    <row r="445" ht="15.75" customHeight="1" s="252"/>
    <row r="446" ht="15.75" customHeight="1" s="252"/>
    <row r="447" ht="15.75" customHeight="1" s="252"/>
    <row r="448" ht="15.75" customHeight="1" s="252"/>
    <row r="449" ht="15.75" customHeight="1" s="252"/>
    <row r="450" ht="15.75" customHeight="1" s="252"/>
    <row r="451" ht="15.75" customHeight="1" s="252"/>
    <row r="452" ht="15.75" customHeight="1" s="252"/>
    <row r="453" ht="15.75" customHeight="1" s="252"/>
    <row r="454" ht="15.75" customHeight="1" s="252"/>
    <row r="455" ht="15.75" customHeight="1" s="252"/>
    <row r="456" ht="15.75" customHeight="1" s="252"/>
    <row r="457" ht="15.75" customHeight="1" s="252"/>
    <row r="458" ht="15.75" customHeight="1" s="252"/>
    <row r="459" ht="15.75" customHeight="1" s="252"/>
    <row r="460" ht="15.75" customHeight="1" s="252"/>
    <row r="461" ht="15.75" customHeight="1" s="252"/>
    <row r="462" ht="15.75" customHeight="1" s="252"/>
    <row r="463" ht="15.75" customHeight="1" s="252"/>
    <row r="464" ht="15.75" customHeight="1" s="252"/>
    <row r="465" ht="15.75" customHeight="1" s="252"/>
    <row r="466" ht="15.75" customHeight="1" s="252"/>
    <row r="467" ht="15.75" customHeight="1" s="252"/>
    <row r="468" ht="15.75" customHeight="1" s="252"/>
    <row r="469" ht="15.75" customHeight="1" s="252"/>
    <row r="470" ht="15.75" customHeight="1" s="252"/>
    <row r="471" ht="15.75" customHeight="1" s="252"/>
    <row r="472" ht="15.75" customHeight="1" s="252"/>
    <row r="473" ht="15.75" customHeight="1" s="252"/>
    <row r="474" ht="15.75" customHeight="1" s="252"/>
    <row r="475" ht="15.75" customHeight="1" s="252"/>
    <row r="476" ht="15.75" customHeight="1" s="252"/>
    <row r="477" ht="15.75" customHeight="1" s="252"/>
    <row r="478" ht="15.75" customHeight="1" s="252"/>
    <row r="479" ht="15.75" customHeight="1" s="252"/>
    <row r="480" ht="15.75" customHeight="1" s="252"/>
    <row r="481" ht="15.75" customHeight="1" s="252"/>
    <row r="482" ht="15.75" customHeight="1" s="252"/>
    <row r="483" ht="15.75" customHeight="1" s="252"/>
    <row r="484" ht="15.75" customHeight="1" s="252"/>
    <row r="485" ht="15.75" customHeight="1" s="252"/>
    <row r="486" ht="15.75" customHeight="1" s="252"/>
    <row r="487" ht="15.75" customHeight="1" s="252"/>
    <row r="488" ht="15.75" customHeight="1" s="252"/>
    <row r="489" ht="15.75" customHeight="1" s="252"/>
    <row r="490" ht="15.75" customHeight="1" s="252"/>
    <row r="491" ht="15.75" customHeight="1" s="252"/>
    <row r="492" ht="15.75" customHeight="1" s="252"/>
    <row r="493" ht="15.75" customHeight="1" s="252"/>
    <row r="494" ht="15.75" customHeight="1" s="252"/>
    <row r="495" ht="15.75" customHeight="1" s="252"/>
    <row r="496" ht="15.75" customHeight="1" s="252"/>
    <row r="497" ht="15.75" customHeight="1" s="252"/>
    <row r="498" ht="15.75" customHeight="1" s="252"/>
    <row r="499" ht="15.75" customHeight="1" s="252"/>
    <row r="500" ht="15.75" customHeight="1" s="252"/>
    <row r="501" ht="15.75" customHeight="1" s="252"/>
    <row r="502" ht="15.75" customHeight="1" s="252"/>
    <row r="503" ht="15.75" customHeight="1" s="252"/>
    <row r="504" ht="15.75" customHeight="1" s="252"/>
    <row r="505" ht="15.75" customHeight="1" s="252"/>
    <row r="506" ht="15.75" customHeight="1" s="252"/>
    <row r="507" ht="15.75" customHeight="1" s="252"/>
    <row r="508" ht="15.75" customHeight="1" s="252"/>
    <row r="509" ht="15.75" customHeight="1" s="252"/>
    <row r="510" ht="15.75" customHeight="1" s="252"/>
    <row r="511" ht="15.75" customHeight="1" s="252"/>
    <row r="512" ht="15.75" customHeight="1" s="252"/>
    <row r="513" ht="15.75" customHeight="1" s="252"/>
    <row r="514" ht="15.75" customHeight="1" s="252"/>
    <row r="515" ht="15.75" customHeight="1" s="252"/>
    <row r="516" ht="15.75" customHeight="1" s="252"/>
    <row r="517" ht="15.75" customHeight="1" s="252"/>
    <row r="518" ht="15.75" customHeight="1" s="252"/>
    <row r="519" ht="15.75" customHeight="1" s="252"/>
    <row r="520" ht="15.75" customHeight="1" s="252"/>
    <row r="521" ht="15.75" customHeight="1" s="252"/>
    <row r="522" ht="15.75" customHeight="1" s="252"/>
    <row r="523" ht="15.75" customHeight="1" s="252"/>
    <row r="524" ht="15.75" customHeight="1" s="252"/>
    <row r="525" ht="15.75" customHeight="1" s="252"/>
    <row r="526" ht="15.75" customHeight="1" s="252"/>
    <row r="527" ht="15.75" customHeight="1" s="252"/>
    <row r="528" ht="15.75" customHeight="1" s="252"/>
    <row r="529" ht="15.75" customHeight="1" s="252"/>
    <row r="530" ht="15.75" customHeight="1" s="252"/>
    <row r="531" ht="15.75" customHeight="1" s="252"/>
    <row r="532" ht="15.75" customHeight="1" s="252"/>
    <row r="533" ht="15.75" customHeight="1" s="252"/>
    <row r="534" ht="15.75" customHeight="1" s="252"/>
    <row r="535" ht="15.75" customHeight="1" s="252"/>
    <row r="536" ht="15.75" customHeight="1" s="252"/>
    <row r="537" ht="15.75" customHeight="1" s="252"/>
    <row r="538" ht="15.75" customHeight="1" s="252"/>
    <row r="539" ht="15.75" customHeight="1" s="252"/>
    <row r="540" ht="15.75" customHeight="1" s="252"/>
    <row r="541" ht="15.75" customHeight="1" s="252"/>
    <row r="542" ht="15.75" customHeight="1" s="252"/>
    <row r="543" ht="15.75" customHeight="1" s="252"/>
    <row r="544" ht="15.75" customHeight="1" s="252"/>
    <row r="545" ht="15.75" customHeight="1" s="252"/>
    <row r="546" ht="15.75" customHeight="1" s="252"/>
    <row r="547" ht="15.75" customHeight="1" s="252"/>
    <row r="548" ht="15.75" customHeight="1" s="252"/>
    <row r="549" ht="15.75" customHeight="1" s="252"/>
    <row r="550" ht="15.75" customHeight="1" s="252"/>
    <row r="551" ht="15.75" customHeight="1" s="252"/>
    <row r="552" ht="15.75" customHeight="1" s="252"/>
    <row r="553" ht="15.75" customHeight="1" s="252"/>
    <row r="554" ht="15.75" customHeight="1" s="252"/>
    <row r="555" ht="15.75" customHeight="1" s="252"/>
    <row r="556" ht="15.75" customHeight="1" s="252"/>
    <row r="557" ht="15.75" customHeight="1" s="252"/>
    <row r="558" ht="15.75" customHeight="1" s="252"/>
    <row r="559" ht="15.75" customHeight="1" s="252"/>
    <row r="560" ht="15.75" customHeight="1" s="252"/>
    <row r="561" ht="15.75" customHeight="1" s="252"/>
    <row r="562" ht="15.75" customHeight="1" s="252"/>
    <row r="563" ht="15.75" customHeight="1" s="252"/>
    <row r="564" ht="15.75" customHeight="1" s="252"/>
    <row r="565" ht="15.75" customHeight="1" s="252"/>
    <row r="566" ht="15.75" customHeight="1" s="252"/>
    <row r="567" ht="15.75" customHeight="1" s="252"/>
    <row r="568" ht="15.75" customHeight="1" s="252"/>
    <row r="569" ht="15.75" customHeight="1" s="252"/>
    <row r="570" ht="15.75" customHeight="1" s="252"/>
    <row r="571" ht="15.75" customHeight="1" s="252"/>
    <row r="572" ht="15.75" customHeight="1" s="252"/>
    <row r="573" ht="15.75" customHeight="1" s="252"/>
    <row r="574" ht="15.75" customHeight="1" s="252"/>
    <row r="575" ht="15.75" customHeight="1" s="252"/>
    <row r="576" ht="15.75" customHeight="1" s="252"/>
    <row r="577" ht="15.75" customHeight="1" s="252"/>
    <row r="578" ht="15.75" customHeight="1" s="252"/>
    <row r="579" ht="15.75" customHeight="1" s="252"/>
    <row r="580" ht="15.75" customHeight="1" s="252"/>
    <row r="581" ht="15.75" customHeight="1" s="252"/>
    <row r="582" ht="15.75" customHeight="1" s="252"/>
    <row r="583" ht="15.75" customHeight="1" s="252"/>
    <row r="584" ht="15.75" customHeight="1" s="252"/>
    <row r="585" ht="15.75" customHeight="1" s="252"/>
    <row r="586" ht="15.75" customHeight="1" s="252"/>
    <row r="587" ht="15.75" customHeight="1" s="252"/>
    <row r="588" ht="15.75" customHeight="1" s="252"/>
    <row r="589" ht="15.75" customHeight="1" s="252"/>
    <row r="590" ht="15.75" customHeight="1" s="252"/>
    <row r="591" ht="15.75" customHeight="1" s="252"/>
    <row r="592" ht="15.75" customHeight="1" s="252"/>
    <row r="593" ht="15.75" customHeight="1" s="252"/>
    <row r="594" ht="15.75" customHeight="1" s="252"/>
    <row r="595" ht="15.75" customHeight="1" s="252"/>
    <row r="596" ht="15.75" customHeight="1" s="252"/>
    <row r="597" ht="15.75" customHeight="1" s="252"/>
    <row r="598" ht="15.75" customHeight="1" s="252"/>
    <row r="599" ht="15.75" customHeight="1" s="252"/>
    <row r="600" ht="15.75" customHeight="1" s="252"/>
    <row r="601" ht="15.75" customHeight="1" s="252"/>
    <row r="602" ht="15.75" customHeight="1" s="252"/>
    <row r="603" ht="15.75" customHeight="1" s="252"/>
    <row r="604" ht="15.75" customHeight="1" s="252"/>
    <row r="605" ht="15.75" customHeight="1" s="252"/>
    <row r="606" ht="15.75" customHeight="1" s="252"/>
    <row r="607" ht="15.75" customHeight="1" s="252"/>
    <row r="608" ht="15.75" customHeight="1" s="252"/>
    <row r="609" ht="15.75" customHeight="1" s="252"/>
    <row r="610" ht="15.75" customHeight="1" s="252"/>
    <row r="611" ht="15.75" customHeight="1" s="252"/>
    <row r="612" ht="15.75" customHeight="1" s="252"/>
    <row r="613" ht="15.75" customHeight="1" s="252"/>
    <row r="614" ht="15.75" customHeight="1" s="252"/>
    <row r="615" ht="15.75" customHeight="1" s="252"/>
    <row r="616" ht="15.75" customHeight="1" s="252"/>
    <row r="617" ht="15.75" customHeight="1" s="252"/>
    <row r="618" ht="15.75" customHeight="1" s="252"/>
    <row r="619" ht="15.75" customHeight="1" s="252"/>
    <row r="620" ht="15.75" customHeight="1" s="252"/>
    <row r="621" ht="15.75" customHeight="1" s="252"/>
    <row r="622" ht="15.75" customHeight="1" s="252"/>
    <row r="623" ht="15.75" customHeight="1" s="252"/>
    <row r="624" ht="15.75" customHeight="1" s="252"/>
    <row r="625" ht="15.75" customHeight="1" s="252"/>
    <row r="626" ht="15.75" customHeight="1" s="252"/>
    <row r="627" ht="15.75" customHeight="1" s="252"/>
    <row r="628" ht="15.75" customHeight="1" s="252"/>
    <row r="629" ht="15.75" customHeight="1" s="252"/>
    <row r="630" ht="15.75" customHeight="1" s="252"/>
    <row r="631" ht="15.75" customHeight="1" s="252"/>
    <row r="632" ht="15.75" customHeight="1" s="252"/>
    <row r="633" ht="15.75" customHeight="1" s="252"/>
    <row r="634" ht="15.75" customHeight="1" s="252"/>
    <row r="635" ht="15.75" customHeight="1" s="252"/>
    <row r="636" ht="15.75" customHeight="1" s="252"/>
    <row r="637" ht="15.75" customHeight="1" s="252"/>
    <row r="638" ht="15.75" customHeight="1" s="252"/>
    <row r="639" ht="15.75" customHeight="1" s="252"/>
    <row r="640" ht="15.75" customHeight="1" s="252"/>
    <row r="641" ht="15.75" customHeight="1" s="252"/>
    <row r="642" ht="15.75" customHeight="1" s="252"/>
    <row r="643" ht="15.75" customHeight="1" s="252"/>
    <row r="644" ht="15.75" customHeight="1" s="252"/>
    <row r="645" ht="15.75" customHeight="1" s="252"/>
    <row r="646" ht="15.75" customHeight="1" s="252"/>
    <row r="647" ht="15.75" customHeight="1" s="252"/>
    <row r="648" ht="15.75" customHeight="1" s="252"/>
    <row r="649" ht="15.75" customHeight="1" s="252"/>
    <row r="650" ht="15.75" customHeight="1" s="252"/>
    <row r="651" ht="15.75" customHeight="1" s="252"/>
    <row r="652" ht="15.75" customHeight="1" s="252"/>
    <row r="653" ht="15.75" customHeight="1" s="252"/>
    <row r="654" ht="15.75" customHeight="1" s="252"/>
    <row r="655" ht="15.75" customHeight="1" s="252"/>
    <row r="656" ht="15.75" customHeight="1" s="252"/>
    <row r="657" ht="15.75" customHeight="1" s="252"/>
    <row r="658" ht="15.75" customHeight="1" s="252"/>
    <row r="659" ht="15.75" customHeight="1" s="252"/>
    <row r="660" ht="15.75" customHeight="1" s="252"/>
    <row r="661" ht="15.75" customHeight="1" s="252"/>
    <row r="662" ht="15.75" customHeight="1" s="252"/>
    <row r="663" ht="15.75" customHeight="1" s="252"/>
    <row r="664" ht="15.75" customHeight="1" s="252"/>
    <row r="665" ht="15.75" customHeight="1" s="252"/>
    <row r="666" ht="15.75" customHeight="1" s="252"/>
    <row r="667" ht="15.75" customHeight="1" s="252"/>
    <row r="668" ht="15.75" customHeight="1" s="252"/>
    <row r="669" ht="15.75" customHeight="1" s="252"/>
    <row r="670" ht="15.75" customHeight="1" s="252"/>
    <row r="671" ht="15.75" customHeight="1" s="252"/>
    <row r="672" ht="15.75" customHeight="1" s="252"/>
    <row r="673" ht="15.75" customHeight="1" s="252"/>
    <row r="674" ht="15.75" customHeight="1" s="252"/>
    <row r="675" ht="15.75" customHeight="1" s="252"/>
    <row r="676" ht="15.75" customHeight="1" s="252"/>
    <row r="677" ht="15.75" customHeight="1" s="252"/>
    <row r="678" ht="15.75" customHeight="1" s="252"/>
    <row r="679" ht="15.75" customHeight="1" s="252"/>
    <row r="680" ht="15.75" customHeight="1" s="252"/>
    <row r="681" ht="15.75" customHeight="1" s="252"/>
    <row r="682" ht="15.75" customHeight="1" s="252"/>
    <row r="683" ht="15.75" customHeight="1" s="252"/>
    <row r="684" ht="15.75" customHeight="1" s="252"/>
    <row r="685" ht="15.75" customHeight="1" s="252"/>
    <row r="686" ht="15.75" customHeight="1" s="252"/>
    <row r="687" ht="15.75" customHeight="1" s="252"/>
    <row r="688" ht="15.75" customHeight="1" s="252"/>
    <row r="689" ht="15.75" customHeight="1" s="252"/>
    <row r="690" ht="15.75" customHeight="1" s="252"/>
    <row r="691" ht="15.75" customHeight="1" s="252"/>
    <row r="692" ht="15.75" customHeight="1" s="252"/>
    <row r="693" ht="15.75" customHeight="1" s="252"/>
    <row r="694" ht="15.75" customHeight="1" s="252"/>
    <row r="695" ht="15.75" customHeight="1" s="252"/>
    <row r="696" ht="15.75" customHeight="1" s="252"/>
    <row r="697" ht="15.75" customHeight="1" s="252"/>
    <row r="698" ht="15.75" customHeight="1" s="252"/>
    <row r="699" ht="15.75" customHeight="1" s="252"/>
    <row r="700" ht="15.75" customHeight="1" s="252"/>
    <row r="701" ht="15.75" customHeight="1" s="252"/>
    <row r="702" ht="15.75" customHeight="1" s="252"/>
    <row r="703" ht="15.75" customHeight="1" s="252"/>
    <row r="704" ht="15.75" customHeight="1" s="252"/>
    <row r="705" ht="15.75" customHeight="1" s="252"/>
    <row r="706" ht="15.75" customHeight="1" s="252"/>
    <row r="707" ht="15.75" customHeight="1" s="252"/>
    <row r="708" ht="15.75" customHeight="1" s="252"/>
    <row r="709" ht="15.75" customHeight="1" s="252"/>
    <row r="710" ht="15.75" customHeight="1" s="252"/>
    <row r="711" ht="15.75" customHeight="1" s="252"/>
    <row r="712" ht="15.75" customHeight="1" s="252"/>
    <row r="713" ht="15.75" customHeight="1" s="252"/>
    <row r="714" ht="15.75" customHeight="1" s="252"/>
    <row r="715" ht="15.75" customHeight="1" s="252"/>
    <row r="716" ht="15.75" customHeight="1" s="252"/>
    <row r="717" ht="15.75" customHeight="1" s="252"/>
    <row r="718" ht="15.75" customHeight="1" s="252"/>
    <row r="719" ht="15.75" customHeight="1" s="252"/>
    <row r="720" ht="15.75" customHeight="1" s="252"/>
    <row r="721" ht="15.75" customHeight="1" s="252"/>
    <row r="722" ht="15.75" customHeight="1" s="252"/>
    <row r="723" ht="15.75" customHeight="1" s="252"/>
    <row r="724" ht="15.75" customHeight="1" s="252"/>
    <row r="725" ht="15.75" customHeight="1" s="252"/>
    <row r="726" ht="15.75" customHeight="1" s="252"/>
    <row r="727" ht="15.75" customHeight="1" s="252"/>
    <row r="728" ht="15.75" customHeight="1" s="252"/>
    <row r="729" ht="15.75" customHeight="1" s="252"/>
    <row r="730" ht="15.75" customHeight="1" s="252"/>
    <row r="731" ht="15.75" customHeight="1" s="252"/>
    <row r="732" ht="15.75" customHeight="1" s="252"/>
    <row r="733" ht="15.75" customHeight="1" s="252"/>
    <row r="734" ht="15.75" customHeight="1" s="252"/>
    <row r="735" ht="15.75" customHeight="1" s="252"/>
    <row r="736" ht="15.75" customHeight="1" s="252"/>
    <row r="737" ht="15.75" customHeight="1" s="252"/>
    <row r="738" ht="15.75" customHeight="1" s="252"/>
    <row r="739" ht="15.75" customHeight="1" s="252"/>
    <row r="740" ht="15.75" customHeight="1" s="252"/>
    <row r="741" ht="15.75" customHeight="1" s="252"/>
    <row r="742" ht="15.75" customHeight="1" s="252"/>
    <row r="743" ht="15.75" customHeight="1" s="252"/>
    <row r="744" ht="15.75" customHeight="1" s="252"/>
    <row r="745" ht="15.75" customHeight="1" s="252"/>
    <row r="746" ht="15.75" customHeight="1" s="252"/>
    <row r="747" ht="15.75" customHeight="1" s="252"/>
    <row r="748" ht="15.75" customHeight="1" s="252"/>
    <row r="749" ht="15.75" customHeight="1" s="252"/>
    <row r="750" ht="15.75" customHeight="1" s="252"/>
    <row r="751" ht="15.75" customHeight="1" s="252"/>
    <row r="752" ht="15.75" customHeight="1" s="252"/>
    <row r="753" ht="15.75" customHeight="1" s="252"/>
    <row r="754" ht="15.75" customHeight="1" s="252"/>
    <row r="755" ht="15.75" customHeight="1" s="252"/>
    <row r="756" ht="15.75" customHeight="1" s="252"/>
    <row r="757" ht="15.75" customHeight="1" s="252"/>
    <row r="758" ht="15.75" customHeight="1" s="252"/>
    <row r="759" ht="15.75" customHeight="1" s="252"/>
    <row r="760" ht="15.75" customHeight="1" s="252"/>
    <row r="761" ht="15.75" customHeight="1" s="252"/>
    <row r="762" ht="15.75" customHeight="1" s="252"/>
    <row r="763" ht="15.75" customHeight="1" s="252"/>
    <row r="764" ht="15.75" customHeight="1" s="252"/>
    <row r="765" ht="15.75" customHeight="1" s="252"/>
    <row r="766" ht="15.75" customHeight="1" s="252"/>
    <row r="767" ht="15.75" customHeight="1" s="252"/>
    <row r="768" ht="15.75" customHeight="1" s="252"/>
    <row r="769" ht="15.75" customHeight="1" s="252"/>
    <row r="770" ht="15.75" customHeight="1" s="252"/>
    <row r="771" ht="15.75" customHeight="1" s="252"/>
    <row r="772" ht="15.75" customHeight="1" s="252"/>
    <row r="773" ht="15.75" customHeight="1" s="252"/>
    <row r="774" ht="15.75" customHeight="1" s="252"/>
    <row r="775" ht="15.75" customHeight="1" s="252"/>
    <row r="776" ht="15.75" customHeight="1" s="252"/>
    <row r="777" ht="15.75" customHeight="1" s="252"/>
    <row r="778" ht="15.75" customHeight="1" s="252"/>
    <row r="779" ht="15.75" customHeight="1" s="252"/>
    <row r="780" ht="15.75" customHeight="1" s="252"/>
    <row r="781" ht="15.75" customHeight="1" s="252"/>
    <row r="782" ht="15.75" customHeight="1" s="252"/>
    <row r="783" ht="15.75" customHeight="1" s="252"/>
    <row r="784" ht="15.75" customHeight="1" s="252"/>
    <row r="785" ht="15.75" customHeight="1" s="252"/>
    <row r="786" ht="15.75" customHeight="1" s="252"/>
    <row r="787" ht="15.75" customHeight="1" s="252"/>
    <row r="788" ht="15.75" customHeight="1" s="252"/>
    <row r="789" ht="15.75" customHeight="1" s="252"/>
    <row r="790" ht="15.75" customHeight="1" s="252"/>
    <row r="791" ht="15.75" customHeight="1" s="252"/>
    <row r="792" ht="15.75" customHeight="1" s="252"/>
    <row r="793" ht="15.75" customHeight="1" s="252"/>
    <row r="794" ht="15.75" customHeight="1" s="252"/>
    <row r="795" ht="15.75" customHeight="1" s="252"/>
    <row r="796" ht="15.75" customHeight="1" s="252"/>
    <row r="797" ht="15.75" customHeight="1" s="252"/>
    <row r="798" ht="15.75" customHeight="1" s="252"/>
    <row r="799" ht="15.75" customHeight="1" s="252"/>
    <row r="800" ht="15.75" customHeight="1" s="252"/>
    <row r="801" ht="15.75" customHeight="1" s="252"/>
    <row r="802" ht="15.75" customHeight="1" s="252"/>
    <row r="803" ht="15.75" customHeight="1" s="252"/>
    <row r="804" ht="15.75" customHeight="1" s="252"/>
    <row r="805" ht="15.75" customHeight="1" s="252"/>
    <row r="806" ht="15.75" customHeight="1" s="252"/>
    <row r="807" ht="15.75" customHeight="1" s="252"/>
    <row r="808" ht="15.75" customHeight="1" s="252"/>
    <row r="809" ht="15.75" customHeight="1" s="252"/>
    <row r="810" ht="15.75" customHeight="1" s="252"/>
    <row r="811" ht="15.75" customHeight="1" s="252"/>
    <row r="812" ht="15.75" customHeight="1" s="252"/>
    <row r="813" ht="15.75" customHeight="1" s="252"/>
    <row r="814" ht="15.75" customHeight="1" s="252"/>
    <row r="815" ht="15.75" customHeight="1" s="252"/>
    <row r="816" ht="15.75" customHeight="1" s="252"/>
    <row r="817" ht="15.75" customHeight="1" s="252"/>
    <row r="818" ht="15.75" customHeight="1" s="252"/>
    <row r="819" ht="15.75" customHeight="1" s="252"/>
    <row r="820" ht="15.75" customHeight="1" s="252"/>
    <row r="821" ht="15.75" customHeight="1" s="252"/>
    <row r="822" ht="15.75" customHeight="1" s="252"/>
    <row r="823" ht="15.75" customHeight="1" s="252"/>
    <row r="824" ht="15.75" customHeight="1" s="252"/>
    <row r="825" ht="15.75" customHeight="1" s="252"/>
    <row r="826" ht="15.75" customHeight="1" s="252"/>
    <row r="827" ht="15.75" customHeight="1" s="252"/>
    <row r="828" ht="15.75" customHeight="1" s="252"/>
    <row r="829" ht="15.75" customHeight="1" s="252"/>
    <row r="830" ht="15.75" customHeight="1" s="252"/>
    <row r="831" ht="15.75" customHeight="1" s="252"/>
    <row r="832" ht="15.75" customHeight="1" s="252"/>
    <row r="833" ht="15.75" customHeight="1" s="252"/>
    <row r="834" ht="15.75" customHeight="1" s="252"/>
    <row r="835" ht="15.75" customHeight="1" s="252"/>
    <row r="836" ht="15.75" customHeight="1" s="252"/>
    <row r="837" ht="15.75" customHeight="1" s="252"/>
    <row r="838" ht="15.75" customHeight="1" s="252"/>
    <row r="839" ht="15.75" customHeight="1" s="252"/>
    <row r="840" ht="15.75" customHeight="1" s="252"/>
    <row r="841" ht="15.75" customHeight="1" s="252"/>
    <row r="842" ht="15.75" customHeight="1" s="252"/>
    <row r="843" ht="15.75" customHeight="1" s="252"/>
    <row r="844" ht="15.75" customHeight="1" s="252"/>
    <row r="845" ht="15.75" customHeight="1" s="252"/>
    <row r="846" ht="15.75" customHeight="1" s="252"/>
    <row r="847" ht="15.75" customHeight="1" s="252"/>
    <row r="848" ht="15.75" customHeight="1" s="252"/>
    <row r="849" ht="15.75" customHeight="1" s="252"/>
    <row r="850" ht="15.75" customHeight="1" s="252"/>
    <row r="851" ht="15.75" customHeight="1" s="252"/>
    <row r="852" ht="15.75" customHeight="1" s="252"/>
    <row r="853" ht="15.75" customHeight="1" s="252"/>
    <row r="854" ht="15.75" customHeight="1" s="252"/>
    <row r="855" ht="15.75" customHeight="1" s="252"/>
    <row r="856" ht="15.75" customHeight="1" s="252"/>
    <row r="857" ht="15.75" customHeight="1" s="252"/>
    <row r="858" ht="15.75" customHeight="1" s="252"/>
    <row r="859" ht="15.75" customHeight="1" s="252"/>
    <row r="860" ht="15.75" customHeight="1" s="252"/>
    <row r="861" ht="15.75" customHeight="1" s="252"/>
    <row r="862" ht="15.75" customHeight="1" s="252"/>
    <row r="863" ht="15.75" customHeight="1" s="252"/>
    <row r="864" ht="15.75" customHeight="1" s="252"/>
    <row r="865" ht="15.75" customHeight="1" s="252"/>
    <row r="866" ht="15.75" customHeight="1" s="252"/>
    <row r="867" ht="15.75" customHeight="1" s="252"/>
    <row r="868" ht="15.75" customHeight="1" s="252"/>
    <row r="869" ht="15.75" customHeight="1" s="252"/>
    <row r="870" ht="15.75" customHeight="1" s="252"/>
    <row r="871" ht="15.75" customHeight="1" s="252"/>
    <row r="872" ht="15.75" customHeight="1" s="252"/>
    <row r="873" ht="15.75" customHeight="1" s="252"/>
    <row r="874" ht="15.75" customHeight="1" s="252"/>
    <row r="875" ht="15.75" customHeight="1" s="252"/>
    <row r="876" ht="15.75" customHeight="1" s="252"/>
    <row r="877" ht="15.75" customHeight="1" s="252"/>
    <row r="878" ht="15.75" customHeight="1" s="252"/>
    <row r="879" ht="15.75" customHeight="1" s="252"/>
    <row r="880" ht="15.75" customHeight="1" s="252"/>
    <row r="881" ht="15.75" customHeight="1" s="252"/>
    <row r="882" ht="15.75" customHeight="1" s="252"/>
    <row r="883" ht="15.75" customHeight="1" s="252"/>
    <row r="884" ht="15.75" customHeight="1" s="252"/>
    <row r="885" ht="15.75" customHeight="1" s="252"/>
    <row r="886" ht="15.75" customHeight="1" s="252"/>
    <row r="887" ht="15.75" customHeight="1" s="252"/>
    <row r="888" ht="15.75" customHeight="1" s="252"/>
    <row r="889" ht="15.75" customHeight="1" s="252"/>
    <row r="890" ht="15.75" customHeight="1" s="252"/>
    <row r="891" ht="15.75" customHeight="1" s="252"/>
    <row r="892" ht="15.75" customHeight="1" s="252"/>
    <row r="893" ht="15.75" customHeight="1" s="252"/>
    <row r="894" ht="15.75" customHeight="1" s="252"/>
    <row r="895" ht="15.75" customHeight="1" s="252"/>
    <row r="896" ht="15.75" customHeight="1" s="252"/>
    <row r="897" ht="15.75" customHeight="1" s="252"/>
    <row r="898" ht="15.75" customHeight="1" s="252"/>
    <row r="899" ht="15.75" customHeight="1" s="252"/>
    <row r="900" ht="15.75" customHeight="1" s="252"/>
    <row r="901" ht="15.75" customHeight="1" s="252"/>
    <row r="902" ht="15.75" customHeight="1" s="252"/>
    <row r="903" ht="15.75" customHeight="1" s="252"/>
    <row r="904" ht="15.75" customHeight="1" s="252"/>
    <row r="905" ht="15.75" customHeight="1" s="252"/>
    <row r="906" ht="15.75" customHeight="1" s="252"/>
    <row r="907" ht="15.75" customHeight="1" s="252"/>
    <row r="908" ht="15.75" customHeight="1" s="252"/>
    <row r="909" ht="15.75" customHeight="1" s="252"/>
    <row r="910" ht="15.75" customHeight="1" s="252"/>
    <row r="911" ht="15.75" customHeight="1" s="252"/>
    <row r="912" ht="15.75" customHeight="1" s="252"/>
    <row r="913" ht="15.75" customHeight="1" s="252"/>
    <row r="914" ht="15.75" customHeight="1" s="252"/>
    <row r="915" ht="15.75" customHeight="1" s="252"/>
    <row r="916" ht="15.75" customHeight="1" s="252"/>
    <row r="917" ht="15.75" customHeight="1" s="252"/>
    <row r="918" ht="15.75" customHeight="1" s="252"/>
    <row r="919" ht="15.75" customHeight="1" s="252"/>
    <row r="920" ht="15.75" customHeight="1" s="252"/>
    <row r="921" ht="15.75" customHeight="1" s="252"/>
    <row r="922" ht="15.75" customHeight="1" s="252"/>
    <row r="923" ht="15.75" customHeight="1" s="252"/>
    <row r="924" ht="15.75" customHeight="1" s="252"/>
    <row r="925" ht="15.75" customHeight="1" s="252"/>
    <row r="926" ht="15.75" customHeight="1" s="252"/>
    <row r="927" ht="15.75" customHeight="1" s="252"/>
    <row r="928" ht="15.75" customHeight="1" s="252"/>
    <row r="929" ht="15.75" customHeight="1" s="252"/>
    <row r="930" ht="15.75" customHeight="1" s="252"/>
    <row r="931" ht="15.75" customHeight="1" s="252"/>
    <row r="932" ht="15.75" customHeight="1" s="252"/>
    <row r="933" ht="15.75" customHeight="1" s="252"/>
    <row r="934" ht="15.75" customHeight="1" s="252"/>
    <row r="935" ht="15.75" customHeight="1" s="252"/>
    <row r="936" ht="15.75" customHeight="1" s="252"/>
    <row r="937" ht="15.75" customHeight="1" s="252"/>
    <row r="938" ht="15.75" customHeight="1" s="252"/>
    <row r="939" ht="15.75" customHeight="1" s="252"/>
    <row r="940" ht="15.75" customHeight="1" s="252"/>
    <row r="941" ht="15.75" customHeight="1" s="252"/>
    <row r="942" ht="15.75" customHeight="1" s="252"/>
    <row r="943" ht="15.75" customHeight="1" s="252"/>
    <row r="944" ht="15.75" customHeight="1" s="252"/>
    <row r="945" ht="15.75" customHeight="1" s="252"/>
    <row r="946" ht="15.75" customHeight="1" s="252"/>
    <row r="947" ht="15.75" customHeight="1" s="252"/>
    <row r="948" ht="15.75" customHeight="1" s="252"/>
    <row r="949" ht="15.75" customHeight="1" s="252"/>
    <row r="950" ht="15.75" customHeight="1" s="252"/>
    <row r="951" ht="15.75" customHeight="1" s="252"/>
    <row r="952" ht="15.75" customHeight="1" s="252"/>
    <row r="953" ht="15.75" customHeight="1" s="252"/>
    <row r="954" ht="15.75" customHeight="1" s="252"/>
    <row r="955" ht="15.75" customHeight="1" s="252"/>
    <row r="956" ht="15.75" customHeight="1" s="252"/>
    <row r="957" ht="15.75" customHeight="1" s="252"/>
    <row r="958" ht="15.75" customHeight="1" s="252"/>
    <row r="959" ht="15.75" customHeight="1" s="252"/>
    <row r="960" ht="15.75" customHeight="1" s="252"/>
    <row r="961" ht="15.75" customHeight="1" s="252"/>
    <row r="962" ht="15.75" customHeight="1" s="252"/>
    <row r="963" ht="15.75" customHeight="1" s="252"/>
    <row r="964" ht="15.75" customHeight="1" s="252"/>
    <row r="965" ht="15.75" customHeight="1" s="252"/>
    <row r="966" ht="15.75" customHeight="1" s="252"/>
    <row r="967" ht="15.75" customHeight="1" s="252"/>
    <row r="968" ht="15.75" customHeight="1" s="252"/>
    <row r="969" ht="15.75" customHeight="1" s="252"/>
    <row r="970" ht="15.75" customHeight="1" s="252"/>
    <row r="971" ht="15.75" customHeight="1" s="252"/>
    <row r="972" ht="15.75" customHeight="1" s="252"/>
    <row r="973" ht="15.75" customHeight="1" s="252"/>
    <row r="974" ht="15.75" customHeight="1" s="252"/>
    <row r="975" ht="15.75" customHeight="1" s="252"/>
    <row r="976" ht="15.75" customHeight="1" s="252"/>
    <row r="977" ht="15.75" customHeight="1" s="252"/>
    <row r="978" ht="15.75" customHeight="1" s="252"/>
    <row r="979" ht="15.75" customHeight="1" s="252"/>
    <row r="980" ht="15.75" customHeight="1" s="252"/>
    <row r="981" ht="15.75" customHeight="1" s="252"/>
    <row r="982" ht="15.75" customHeight="1" s="252"/>
    <row r="983" ht="15.75" customHeight="1" s="252"/>
    <row r="984" ht="15.75" customHeight="1" s="252"/>
    <row r="985" ht="15.75" customHeight="1" s="252"/>
    <row r="986" ht="15.75" customHeight="1" s="252"/>
    <row r="987" ht="15.75" customHeight="1" s="252"/>
    <row r="988" ht="15.75" customHeight="1" s="252"/>
    <row r="989" ht="15.75" customHeight="1" s="252"/>
    <row r="990" ht="15.75" customHeight="1" s="252"/>
    <row r="991" ht="15.75" customHeight="1" s="252"/>
    <row r="992" ht="15.75" customHeight="1" s="252"/>
    <row r="993" ht="15.75" customHeight="1" s="252"/>
    <row r="994" ht="15.75" customHeight="1" s="252"/>
    <row r="995" ht="15.75" customHeight="1" s="252"/>
    <row r="996" ht="15.75" customHeight="1" s="252"/>
    <row r="997" ht="15.75" customHeight="1" s="252"/>
    <row r="998" ht="15.75" customHeight="1" s="252"/>
    <row r="999" ht="15.75" customHeight="1" s="252"/>
    <row r="1000" ht="15.75" customHeight="1" s="252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2026-04-07T18:55:38Z</dcterms:created>
  <dcterms:modified xmlns:dcterms="http://purl.org/dc/terms/" xmlns:xsi="http://www.w3.org/2001/XMLSchema-instance" xsi:type="dcterms:W3CDTF">2026-04-07T19:00:23Z</dcterms:modified>
</cp:coreProperties>
</file>