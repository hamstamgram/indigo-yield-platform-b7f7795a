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ONE - BTC Boosted Program" sheetId="1" r:id="rId4"/>
    <sheet state="hidden" name="DONE - BTC TAC Program" sheetId="2" r:id="rId5"/>
    <sheet state="hidden" name="Done - ETH TAC Program" sheetId="3" r:id="rId6"/>
    <sheet state="visible" name="Investments" sheetId="4" r:id="rId7"/>
    <sheet state="visible" name="BTC Yield Fund" sheetId="5" r:id="rId8"/>
    <sheet state="visible" name="ETH Yield Fund" sheetId="6" r:id="rId9"/>
    <sheet state="visible" name="USDT Yield Fund" sheetId="7" r:id="rId10"/>
    <sheet state="visible" name="Report" sheetId="8" r:id="rId11"/>
    <sheet state="visible" name="Performances" sheetId="9" r:id="rId12"/>
  </sheets>
  <definedNames>
    <definedName hidden="1" localSheetId="3" name="_xlnm._FilterDatabase">Investments!$A$1:$E$997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Ne reflète pas le reporting car nous avons décidé de lisser la performance prévu sur les 3 mois, lorsque nous vendrons les assets en mi-mars (normalement) on corrigera le yield de ces 3 mois
	-Hadar L</t>
      </text>
    </comment>
  </commentList>
</comments>
</file>

<file path=xl/sharedStrings.xml><?xml version="1.0" encoding="utf-8"?>
<sst xmlns="http://schemas.openxmlformats.org/spreadsheetml/2006/main" count="756" uniqueCount="202">
  <si>
    <t>Date</t>
  </si>
  <si>
    <t>AUM</t>
  </si>
  <si>
    <t>Gross Performance (%)</t>
  </si>
  <si>
    <t>Gross Performance (BTC)</t>
  </si>
  <si>
    <t>Net Performance</t>
  </si>
  <si>
    <t>Yearly APY</t>
  </si>
  <si>
    <t>Comments</t>
  </si>
  <si>
    <t>Investors</t>
  </si>
  <si>
    <t>Fees</t>
  </si>
  <si>
    <t>Création du fond</t>
  </si>
  <si>
    <t>Indigo</t>
  </si>
  <si>
    <t>Kyle Gulamerian</t>
  </si>
  <si>
    <t>Matthias Reiser</t>
  </si>
  <si>
    <t>Danielle Richetta</t>
  </si>
  <si>
    <t>Total AUM</t>
  </si>
  <si>
    <t>Closing the fond + transfert the assets in BTC Yield Fund</t>
  </si>
  <si>
    <t>Kyle</t>
  </si>
  <si>
    <t>Total</t>
  </si>
  <si>
    <t>4 Months</t>
  </si>
  <si>
    <t>Mathias</t>
  </si>
  <si>
    <t>Victoria</t>
  </si>
  <si>
    <t>Nathanael Cohen</t>
  </si>
  <si>
    <t>Thomas Puech</t>
  </si>
  <si>
    <t>End of fund and transfert to BTC Yield Fund</t>
  </si>
  <si>
    <t>Blondish</t>
  </si>
  <si>
    <t>3.5 Months</t>
  </si>
  <si>
    <t>Maman</t>
  </si>
  <si>
    <t>Nathanael</t>
  </si>
  <si>
    <t>Thomas</t>
  </si>
  <si>
    <t>Vivie</t>
  </si>
  <si>
    <t>Gross Performance (ETH)</t>
  </si>
  <si>
    <t>Creation du fond</t>
  </si>
  <si>
    <t>Jose Molla</t>
  </si>
  <si>
    <t>Entrée de Nathanael avec 17 ETH</t>
  </si>
  <si>
    <t>Entrée de Blondish avec 120 ETH</t>
  </si>
  <si>
    <t>Jose</t>
  </si>
  <si>
    <t>Top up de Nathanael avec 4.608 ETH</t>
  </si>
  <si>
    <t>Top up de Nathanael avec 5.226 ETH</t>
  </si>
  <si>
    <t>End of fund and transfert to ETH Yield Fund</t>
  </si>
  <si>
    <t>Closing the fond + transfert the assets in ETH Yield Fund</t>
  </si>
  <si>
    <t>11.5 Months</t>
  </si>
  <si>
    <t>Investment Date</t>
  </si>
  <si>
    <t>Investor Name</t>
  </si>
  <si>
    <t>Currency</t>
  </si>
  <si>
    <t>Amount</t>
  </si>
  <si>
    <t>Email</t>
  </si>
  <si>
    <t>BTC</t>
  </si>
  <si>
    <t>ETH</t>
  </si>
  <si>
    <t>matthias@xventures.de</t>
  </si>
  <si>
    <t>danielle@iamfashion-st.com</t>
  </si>
  <si>
    <t>Nathanaël Cohen</t>
  </si>
  <si>
    <t>TAC Program</t>
  </si>
  <si>
    <t>Babak Eftekhari</t>
  </si>
  <si>
    <t>Babak.eftekhari@gmail.com</t>
  </si>
  <si>
    <t>Indigo Main Fund</t>
  </si>
  <si>
    <t>danielle Richetta</t>
  </si>
  <si>
    <t>Kabbaj Fam</t>
  </si>
  <si>
    <t>H.kabbaj@sgtm-maroc.com</t>
  </si>
  <si>
    <t xml:space="preserve">Hicham.kabbaj@sgtm-maroc.com </t>
  </si>
  <si>
    <t>USDT</t>
  </si>
  <si>
    <t>ETH Yield Fund</t>
  </si>
  <si>
    <t>julien grunebaum</t>
  </si>
  <si>
    <t>julien.grunebaum@icloud.com</t>
  </si>
  <si>
    <t>daniele francilia</t>
  </si>
  <si>
    <t>danielefrancilia@gmail.com</t>
  </si>
  <si>
    <t>pierre bezencon</t>
  </si>
  <si>
    <t>pib@bruellan.ch</t>
  </si>
  <si>
    <t>matthew beatty</t>
  </si>
  <si>
    <t>Matthew@beattyvermeiren.co.za</t>
  </si>
  <si>
    <t>Daniele Francilia</t>
  </si>
  <si>
    <t>Pierre Bezencon</t>
  </si>
  <si>
    <t>Matthew Beatty</t>
  </si>
  <si>
    <t>Bo Kriek</t>
  </si>
  <si>
    <t>bokriek@hotmail.com</t>
  </si>
  <si>
    <t>Dario Deiana</t>
  </si>
  <si>
    <t>Alain Bensimon</t>
  </si>
  <si>
    <t>Anne Cecile Noique</t>
  </si>
  <si>
    <t>Terance Chen</t>
  </si>
  <si>
    <t>Oliver Loisel</t>
  </si>
  <si>
    <t>Advantage Blockchain</t>
  </si>
  <si>
    <t>INDIGO Main Fund</t>
  </si>
  <si>
    <t>INDIGO Venture</t>
  </si>
  <si>
    <t>Commentaires</t>
  </si>
  <si>
    <t>Set up the fund</t>
  </si>
  <si>
    <t>Invest of Kyle with 2 BTC</t>
  </si>
  <si>
    <t>Invest of Mathias / Thomas / Daniel with 16.3393 BTC</t>
  </si>
  <si>
    <t>Withdraw 0.27 from Danielle</t>
  </si>
  <si>
    <t>Withdraw 0.124 from Danielle</t>
  </si>
  <si>
    <t>Kyle / Mathias / Danielle go to Boosted Program with 11.5681 BTC</t>
  </si>
  <si>
    <t>Thomas go to TAC Program with 6.7249</t>
  </si>
  <si>
    <t>Transfert of 12.02 BTC from boosted program for Kyle Gulamerian / Matthias Reiser / Danielle Richetta</t>
  </si>
  <si>
    <t xml:space="preserve">Withdraw 0.1078 BTC from Kyle </t>
  </si>
  <si>
    <t>oliver loisel</t>
  </si>
  <si>
    <t>Withdraw 2.0023 BTC from Kyle (all his account)</t>
  </si>
  <si>
    <t>+0.0044 BTC for Gas Fees that has been forgoten</t>
  </si>
  <si>
    <t>Withdraw 0.13 from Danielle Richetta</t>
  </si>
  <si>
    <t>Kabbaj deposit 2 BTC</t>
  </si>
  <si>
    <t>Top Up from
Kabbaj : 0.9914 BTC
Transfert from TAC Program
Victoria :0.1484 BTC
Nathanael Cohen : 0.4460 BTC
Thomas Puech : 6.69 BTC
Blondish : 4.0996 BTC</t>
  </si>
  <si>
    <t>oliver loisel : 2.115364 BTC</t>
  </si>
  <si>
    <t>Withdrawal Danielle Richetta - 0.26 BTC</t>
  </si>
  <si>
    <t>Kabbaj : 0.6 BTC</t>
  </si>
  <si>
    <t>Withdrawal Danielle Richetta - 0.11 BTC</t>
  </si>
  <si>
    <t>Top Up Kabbaj : 0.9102 BTC</t>
  </si>
  <si>
    <t>Gross Performance (USDT)</t>
  </si>
  <si>
    <t>IB</t>
  </si>
  <si>
    <t>Top up from Babak: 32.25 ETH
Top up from Nathanaël : 3.0466 ETH</t>
  </si>
  <si>
    <t>INDIGO DIGITAL ASSET FUND LP</t>
  </si>
  <si>
    <t>Top up from Nathanaël : 2 ETH</t>
  </si>
  <si>
    <t>Transfert from ETH TAC Program
Jose Molla :62.6261 ETH
Nathanael Cohen : 26.6797 ETH
Indigo : 0.8980 ETH
Blondish : 119.7862 ETH</t>
  </si>
  <si>
    <t>Alec Beckman</t>
  </si>
  <si>
    <t>Invest from Advantage Blockchain : 32 ETH</t>
  </si>
  <si>
    <t>Lars Ahlgreen</t>
  </si>
  <si>
    <t>Withdrawal from INDIGO Main fund : -178.37 ETH</t>
  </si>
  <si>
    <t>Babak invest 135,726.75</t>
  </si>
  <si>
    <t>Julien Grunebaum</t>
  </si>
  <si>
    <t>julien grunebaum : 109392
daniele francilia : 109776
pierre bezencon : 109333
matthew beatty : 255504
bo kriek : 273807</t>
  </si>
  <si>
    <t>Dario: 199,659.72
Babak: 46,955.28</t>
  </si>
  <si>
    <t>alain bensimon : 136737
anne cecile noique : 222687
terance chen : 219747</t>
  </si>
  <si>
    <t>INDIGO Ventures: $130,000
Babak top-up: $10,000</t>
  </si>
  <si>
    <t>INDIGO Ventures</t>
  </si>
  <si>
    <t>Matthew Beatty: +25,900 USDC</t>
  </si>
  <si>
    <t>INDIGO Main Fund: +$111,370</t>
  </si>
  <si>
    <t>bo kriek</t>
  </si>
  <si>
    <t>alain bensimon</t>
  </si>
  <si>
    <t>anne cecile noique</t>
  </si>
  <si>
    <t>terance chen</t>
  </si>
  <si>
    <t>Month</t>
  </si>
  <si>
    <t>Quarter</t>
  </si>
  <si>
    <t>Year</t>
  </si>
  <si>
    <t>LUIS JOSE MOLLA TRUSTEE OF THE LUIS JOSE MOLLA REVOCABLE TRUST UAD 2/7/17 521 E DILIDO DR</t>
  </si>
  <si>
    <t>KYLE GULAMERIAN – 40 ST. DAVIDS SQUARE</t>
  </si>
  <si>
    <t>Matthias Reiser - Kard. -Dopfner-Str.</t>
  </si>
  <si>
    <t>Thomas Puech - 21 Brook Mews North</t>
  </si>
  <si>
    <t>Danielle Richetta - Parnassusweg 7-2</t>
  </si>
  <si>
    <t>Nathanaël Cohen - 82 Amberley Road</t>
  </si>
  <si>
    <t>Vivie-Ann Bakos - 2121 Biscayne Boulevard</t>
  </si>
  <si>
    <t>Victoria Pariente-Cohen</t>
  </si>
  <si>
    <t>Flat 4, Westfield - 15 Kidderpore Avenue</t>
  </si>
  <si>
    <t>Nathanael Cohen, Director - INDIGO DIGITAL ASSET FUND LP</t>
  </si>
  <si>
    <t>HAMZA &amp; HICHAM &amp; MARYIAM &amp; MOHAMED KABBAJ &amp; FATIMA SAKI</t>
  </si>
  <si>
    <t>Bo De kriek</t>
  </si>
  <si>
    <t>Pierre Bezençon</t>
  </si>
  <si>
    <t>MIAMI BEACH, FL 33139</t>
  </si>
  <si>
    <t>LONDON, E14 3WA – UNITED KINGDOM</t>
  </si>
  <si>
    <t>80333 Munchen - Germany</t>
  </si>
  <si>
    <t>W2 3BW London - UK</t>
  </si>
  <si>
    <t>1077 DA Amsterdam - Netherlands</t>
  </si>
  <si>
    <t>W9 2JY London - UK</t>
  </si>
  <si>
    <t>33137 Miami, FL - USA</t>
  </si>
  <si>
    <t>129 Bd Diderot, 75012, Paris, France</t>
  </si>
  <si>
    <t>NW3 7SF London - UK</t>
  </si>
  <si>
    <t>2121 BISCAYNE BLVD #1621 - MIAMI, FL 33137 - USA</t>
  </si>
  <si>
    <t>392 MARSA DUBAI - FLAT 4102 - 71893 Dubai, UAE</t>
  </si>
  <si>
    <t>Czaar peterstraat 78, Amsterdam, Noord holland, 1018PR</t>
  </si>
  <si>
    <t>Switzerland, Geneva, Geneva, Switzerland</t>
  </si>
  <si>
    <t>Cape Town, South Africa</t>
  </si>
  <si>
    <t>Hong Kong, Hong Kong</t>
  </si>
  <si>
    <t>Dubai</t>
  </si>
  <si>
    <t>Jose MOLLA</t>
  </si>
  <si>
    <t>Kabbaj</t>
  </si>
  <si>
    <t>Out</t>
  </si>
  <si>
    <t>CAPITAL ACCOUNT SUMMARY FROM 08/2023</t>
  </si>
  <si>
    <t>CAPITAL ACCOUNT SUMMARY</t>
  </si>
  <si>
    <t>CAPITAL ACCOUNT SUMMARY FROM 10/2024</t>
  </si>
  <si>
    <t>CAPITAL ACCOUNT SUMMARY FROM 04/2025</t>
  </si>
  <si>
    <t>CAPITAL ACCOUNT SUMMARY FROM 06/2025</t>
  </si>
  <si>
    <t>CAPITAL ACCOUNT SUMMARY FROM 07/2025</t>
  </si>
  <si>
    <t>MTD (BTC)</t>
  </si>
  <si>
    <t>QTD (BTC)</t>
  </si>
  <si>
    <t>YTD (BTC)</t>
  </si>
  <si>
    <t>ITD (BTC)</t>
  </si>
  <si>
    <t>Beginning Balance</t>
  </si>
  <si>
    <t xml:space="preserve">Additions </t>
  </si>
  <si>
    <t>Redemptions</t>
  </si>
  <si>
    <t>Net Income</t>
  </si>
  <si>
    <t>Ending Balance</t>
  </si>
  <si>
    <t>Rate of Return</t>
  </si>
  <si>
    <t>CAPITAL ACCOUNT SUMMARY FROM 10/2023</t>
  </si>
  <si>
    <t>CAPITAL ACCOUNT SUMMARY FROM 05/2025</t>
  </si>
  <si>
    <t>CAPITAL ACCOUNT SUMMARY FROM 08/2025</t>
  </si>
  <si>
    <t>MTD (ETH)</t>
  </si>
  <si>
    <t>QTD (ETH)</t>
  </si>
  <si>
    <t>YTD (ETH)</t>
  </si>
  <si>
    <t>ITD (ETH)</t>
  </si>
  <si>
    <t>MTD (USDT)</t>
  </si>
  <si>
    <t>QTD (USDT)</t>
  </si>
  <si>
    <t>YTD (USDT)</t>
  </si>
  <si>
    <t>ITD (USDT)</t>
  </si>
  <si>
    <t>APY</t>
  </si>
  <si>
    <t>Indigo Fees</t>
  </si>
  <si>
    <t>Currency value to USD</t>
  </si>
  <si>
    <t>Yahoo Finance</t>
  </si>
  <si>
    <t>Stable</t>
  </si>
  <si>
    <t>BTC Yield Fund</t>
  </si>
  <si>
    <t>BTC BP</t>
  </si>
  <si>
    <t>BTC TAC</t>
  </si>
  <si>
    <t>ETH TAC</t>
  </si>
  <si>
    <t>USDT Yield Fund</t>
  </si>
  <si>
    <t>End of month Value</t>
  </si>
  <si>
    <t>Today Value</t>
  </si>
  <si>
    <t>BTC → USD</t>
  </si>
  <si>
    <t>ETH →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</si>
</sst>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/mm"/>
    <numFmt numFmtId="165" formatCode="dd/mm/yyyy"/>
    <numFmt numFmtId="166" formatCode="#,##0.0000;(#,##0.0000);-"/>
    <numFmt numFmtId="167" formatCode="#,##0.0000"/>
    <numFmt numFmtId="168" formatCode="0.0000%;;-"/>
    <numFmt numFmtId="169" formatCode="0.0000%"/>
    <numFmt numFmtId="170" formatCode="d/m/yyyy"/>
    <numFmt numFmtId="171" formatCode="0.0000000000%"/>
    <numFmt numFmtId="172" formatCode="dd&quot;/&quot;mm"/>
    <numFmt numFmtId="173" formatCode="0.0000"/>
    <numFmt numFmtId="174" formatCode="#,##0.000000"/>
    <numFmt numFmtId="175" formatCode="#,##0.00;(#,##0.00);-"/>
    <numFmt numFmtId="176" formatCode="mmm&quot; &quot;yyyy"/>
  </numFmts>
  <fonts count="16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FFFFFF"/>
      <name val="Arial"/>
      <scheme val="minor"/>
    </font>
    <font>
      <b/>
      <i/>
      <sz val="11.0"/>
      <color theme="1"/>
      <name val="Arial"/>
    </font>
    <font>
      <b/>
      <i/>
      <sz val="11.0"/>
      <color theme="1"/>
      <name val="Aptos"/>
    </font>
    <font>
      <b/>
      <i/>
      <sz val="11.0"/>
      <color rgb="FF000000"/>
      <name val="Arial"/>
    </font>
    <font/>
    <font>
      <b/>
      <sz val="10.0"/>
      <color theme="1"/>
      <name val="Arial"/>
      <scheme val="minor"/>
    </font>
    <font>
      <color rgb="FFFF0000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3C78D8"/>
        <bgColor rgb="FF3C78D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</fills>
  <borders count="12">
    <border/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3" numFmtId="164" xfId="0" applyAlignment="1" applyFill="1" applyFont="1" applyNumberFormat="1">
      <alignment readingOrder="0"/>
    </xf>
    <xf borderId="0" fillId="5" fontId="3" numFmtId="164" xfId="0" applyAlignment="1" applyFill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6" fontId="6" numFmtId="9" xfId="0" applyAlignment="1" applyFill="1" applyFont="1" applyNumberFormat="1">
      <alignment readingOrder="0"/>
    </xf>
    <xf borderId="0" fillId="6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6" numFmtId="9" xfId="0" applyAlignment="1" applyFont="1" applyNumberFormat="1">
      <alignment horizontal="center" readingOrder="0"/>
    </xf>
    <xf borderId="0" fillId="0" fontId="6" numFmtId="166" xfId="0" applyFont="1" applyNumberFormat="1"/>
    <xf borderId="0" fillId="0" fontId="6" numFmtId="10" xfId="0" applyFont="1" applyNumberFormat="1"/>
    <xf borderId="0" fillId="0" fontId="6" numFmtId="0" xfId="0" applyFont="1"/>
    <xf borderId="0" fillId="0" fontId="6" numFmtId="10" xfId="0" applyAlignment="1" applyFont="1" applyNumberFormat="1">
      <alignment readingOrder="0"/>
    </xf>
    <xf borderId="0" fillId="0" fontId="7" numFmtId="0" xfId="0" applyFont="1"/>
    <xf borderId="0" fillId="0" fontId="5" numFmtId="0" xfId="0" applyFont="1"/>
    <xf borderId="0" fillId="0" fontId="5" numFmtId="167" xfId="0" applyFont="1" applyNumberFormat="1"/>
    <xf borderId="0" fillId="6" fontId="7" numFmtId="0" xfId="0" applyAlignment="1" applyFont="1">
      <alignment horizontal="center" readingOrder="0"/>
    </xf>
    <xf borderId="0" fillId="0" fontId="6" numFmtId="168" xfId="0" applyFont="1" applyNumberForma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10" xfId="0" applyBorder="1" applyFont="1" applyNumberFormat="1"/>
    <xf borderId="1" fillId="0" fontId="5" numFmtId="0" xfId="0" applyBorder="1" applyFont="1"/>
    <xf borderId="1" fillId="0" fontId="5" numFmtId="10" xfId="0" applyAlignment="1" applyBorder="1" applyFont="1" applyNumberFormat="1">
      <alignment readingOrder="0"/>
    </xf>
    <xf borderId="0" fillId="0" fontId="6" numFmtId="9" xfId="0" applyAlignment="1" applyFont="1" applyNumberFormat="1">
      <alignment readingOrder="0"/>
    </xf>
    <xf borderId="0" fillId="0" fontId="5" numFmtId="169" xfId="0" applyFont="1" applyNumberFormat="1"/>
    <xf borderId="0" fillId="0" fontId="4" numFmtId="170" xfId="0" applyAlignment="1" applyFont="1" applyNumberFormat="1">
      <alignment readingOrder="0"/>
    </xf>
    <xf borderId="0" fillId="0" fontId="6" numFmtId="171" xfId="0" applyFont="1" applyNumberFormat="1"/>
    <xf borderId="0" fillId="0" fontId="4" numFmtId="0" xfId="0" applyFont="1"/>
    <xf borderId="0" fillId="0" fontId="8" numFmtId="0" xfId="0" applyFont="1"/>
    <xf borderId="0" fillId="2" fontId="9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7" fontId="3" numFmtId="172" xfId="0" applyFill="1" applyFont="1" applyNumberFormat="1"/>
    <xf borderId="0" fillId="4" fontId="3" numFmtId="172" xfId="0" applyAlignment="1" applyFont="1" applyNumberFormat="1">
      <alignment readingOrder="0"/>
    </xf>
    <xf borderId="0" fillId="7" fontId="3" numFmtId="172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173" xfId="0" applyFont="1" applyNumberFormat="1"/>
    <xf borderId="2" fillId="8" fontId="5" numFmtId="0" xfId="0" applyAlignment="1" applyBorder="1" applyFill="1" applyFont="1">
      <alignment readingOrder="0"/>
    </xf>
    <xf borderId="0" fillId="9" fontId="5" numFmtId="0" xfId="0" applyFill="1" applyFont="1"/>
    <xf borderId="2" fillId="0" fontId="6" numFmtId="165" xfId="0" applyAlignment="1" applyBorder="1" applyFont="1" applyNumberFormat="1">
      <alignment readingOrder="0"/>
    </xf>
    <xf borderId="2" fillId="0" fontId="6" numFmtId="0" xfId="0" applyAlignment="1" applyBorder="1" applyFont="1">
      <alignment readingOrder="0"/>
    </xf>
    <xf borderId="2" fillId="0" fontId="6" numFmtId="167" xfId="0" applyAlignment="1" applyBorder="1" applyFont="1" applyNumberFormat="1">
      <alignment readingOrder="0"/>
    </xf>
    <xf borderId="2" fillId="0" fontId="6" numFmtId="0" xfId="0" applyBorder="1" applyFont="1"/>
    <xf borderId="0" fillId="0" fontId="6" numFmtId="0" xfId="0" applyAlignment="1" applyFont="1">
      <alignment readingOrder="0"/>
    </xf>
    <xf borderId="2" fillId="0" fontId="6" numFmtId="4" xfId="0" applyAlignment="1" applyBorder="1" applyFont="1" applyNumberFormat="1">
      <alignment readingOrder="0"/>
    </xf>
    <xf borderId="2" fillId="0" fontId="6" numFmtId="174" xfId="0" applyAlignment="1" applyBorder="1" applyFont="1" applyNumberFormat="1">
      <alignment readingOrder="0"/>
    </xf>
    <xf borderId="0" fillId="0" fontId="6" numFmtId="4" xfId="0" applyFont="1" applyNumberFormat="1"/>
    <xf borderId="0" fillId="0" fontId="6" numFmtId="164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quotePrefix="1" borderId="0" fillId="0" fontId="6" numFmtId="0" xfId="0" applyAlignment="1" applyFont="1">
      <alignment readingOrder="0"/>
    </xf>
    <xf borderId="0" fillId="0" fontId="5" numFmtId="173" xfId="0" applyAlignment="1" applyFont="1" applyNumberFormat="1">
      <alignment readingOrder="0"/>
    </xf>
    <xf borderId="0" fillId="0" fontId="5" numFmtId="173" xfId="0" applyFont="1" applyNumberFormat="1"/>
    <xf borderId="0" fillId="10" fontId="2" numFmtId="0" xfId="0" applyAlignment="1" applyFill="1" applyFont="1">
      <alignment horizontal="center" readingOrder="0"/>
    </xf>
    <xf borderId="0" fillId="0" fontId="6" numFmtId="175" xfId="0" applyFont="1" applyNumberFormat="1"/>
    <xf borderId="0" fillId="0" fontId="6" numFmtId="4" xfId="0" applyAlignment="1" applyFont="1" applyNumberFormat="1">
      <alignment readingOrder="0"/>
    </xf>
    <xf borderId="0" fillId="0" fontId="7" numFmtId="0" xfId="0" applyAlignment="1" applyFont="1">
      <alignment readingOrder="0" shrinkToFit="0" wrapText="1"/>
    </xf>
    <xf borderId="0" fillId="0" fontId="6" numFmtId="175" xfId="0" applyAlignment="1" applyFont="1" applyNumberFormat="1">
      <alignment readingOrder="0"/>
    </xf>
    <xf borderId="0" fillId="0" fontId="5" numFmtId="175" xfId="0" applyAlignment="1" applyFont="1" applyNumberFormat="1">
      <alignment readingOrder="0"/>
    </xf>
    <xf borderId="0" fillId="0" fontId="5" numFmtId="4" xfId="0" applyFont="1" applyNumberFormat="1"/>
    <xf borderId="0" fillId="5" fontId="3" numFmtId="172" xfId="0" applyAlignment="1" applyFont="1" applyNumberFormat="1">
      <alignment readingOrder="0"/>
    </xf>
    <xf borderId="0" fillId="0" fontId="5" numFmtId="4" xfId="0" applyAlignment="1" applyFont="1" applyNumberFormat="1">
      <alignment readingOrder="0"/>
    </xf>
    <xf borderId="0" fillId="0" fontId="5" numFmtId="10" xfId="0" applyFont="1" applyNumberForma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  <xf borderId="3" fillId="2" fontId="2" numFmtId="0" xfId="0" applyAlignment="1" applyBorder="1" applyFont="1">
      <alignment readingOrder="0"/>
    </xf>
    <xf borderId="4" fillId="0" fontId="13" numFmtId="0" xfId="0" applyBorder="1" applyFont="1"/>
    <xf borderId="5" fillId="0" fontId="13" numFmtId="0" xfId="0" applyBorder="1" applyFont="1"/>
    <xf borderId="0" fillId="0" fontId="2" numFmtId="0" xfId="0" applyAlignment="1" applyFont="1">
      <alignment readingOrder="0"/>
    </xf>
    <xf borderId="6" fillId="5" fontId="6" numFmtId="0" xfId="0" applyBorder="1" applyFont="1"/>
    <xf borderId="0" fillId="5" fontId="5" numFmtId="0" xfId="0" applyAlignment="1" applyFont="1">
      <alignment horizontal="center" readingOrder="0"/>
    </xf>
    <xf borderId="7" fillId="5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3" fillId="0" fontId="5" numFmtId="0" xfId="0" applyAlignment="1" applyBorder="1" applyFont="1">
      <alignment readingOrder="0"/>
    </xf>
    <xf borderId="4" fillId="0" fontId="6" numFmtId="166" xfId="0" applyAlignment="1" applyBorder="1" applyFont="1" applyNumberFormat="1">
      <alignment horizontal="center" readingOrder="0"/>
    </xf>
    <xf borderId="5" fillId="0" fontId="6" numFmtId="166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6" fillId="0" fontId="6" numFmtId="0" xfId="0" applyAlignment="1" applyBorder="1" applyFont="1">
      <alignment readingOrder="0"/>
    </xf>
    <xf borderId="0" fillId="0" fontId="6" numFmtId="166" xfId="0" applyAlignment="1" applyFont="1" applyNumberFormat="1">
      <alignment horizontal="center" readingOrder="0"/>
    </xf>
    <xf borderId="7" fillId="0" fontId="6" numFmtId="166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/>
    </xf>
    <xf borderId="6" fillId="0" fontId="14" numFmtId="0" xfId="0" applyAlignment="1" applyBorder="1" applyFont="1">
      <alignment readingOrder="0"/>
    </xf>
    <xf borderId="0" fillId="0" fontId="5" numFmtId="166" xfId="0" applyAlignment="1" applyFont="1" applyNumberFormat="1">
      <alignment horizontal="center" readingOrder="0"/>
    </xf>
    <xf borderId="7" fillId="0" fontId="5" numFmtId="166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8" fillId="0" fontId="5" numFmtId="0" xfId="0" applyAlignment="1" applyBorder="1" applyFont="1">
      <alignment readingOrder="0"/>
    </xf>
    <xf borderId="9" fillId="0" fontId="5" numFmtId="10" xfId="0" applyAlignment="1" applyBorder="1" applyFont="1" applyNumberFormat="1">
      <alignment horizontal="center" readingOrder="0"/>
    </xf>
    <xf borderId="10" fillId="0" fontId="5" numFmtId="10" xfId="0" applyAlignment="1" applyBorder="1" applyFont="1" applyNumberFormat="1">
      <alignment horizontal="center" readingOrder="0"/>
    </xf>
    <xf borderId="0" fillId="0" fontId="5" numFmtId="10" xfId="0" applyAlignment="1" applyFont="1" applyNumberFormat="1">
      <alignment horizontal="center" readingOrder="0"/>
    </xf>
    <xf borderId="11" fillId="11" fontId="6" numFmtId="0" xfId="0" applyBorder="1" applyFill="1" applyFont="1"/>
    <xf borderId="0" fillId="11" fontId="5" numFmtId="0" xfId="0" applyAlignment="1" applyFont="1">
      <alignment horizontal="center" readingOrder="0"/>
    </xf>
    <xf borderId="7" fillId="11" fontId="5" numFmtId="0" xfId="0" applyAlignment="1" applyBorder="1" applyFont="1">
      <alignment horizontal="center" readingOrder="0"/>
    </xf>
    <xf borderId="0" fillId="0" fontId="14" numFmtId="0" xfId="0" applyAlignment="1" applyFont="1">
      <alignment readingOrder="0"/>
    </xf>
    <xf borderId="11" fillId="12" fontId="6" numFmtId="0" xfId="0" applyBorder="1" applyFill="1" applyFont="1"/>
    <xf borderId="0" fillId="12" fontId="5" numFmtId="0" xfId="0" applyAlignment="1" applyFont="1">
      <alignment horizontal="center" readingOrder="0"/>
    </xf>
    <xf borderId="7" fillId="12" fontId="5" numFmtId="0" xfId="0" applyAlignment="1" applyBorder="1" applyFont="1">
      <alignment horizontal="center" readingOrder="0"/>
    </xf>
    <xf borderId="4" fillId="0" fontId="6" numFmtId="175" xfId="0" applyAlignment="1" applyBorder="1" applyFont="1" applyNumberFormat="1">
      <alignment horizontal="center" readingOrder="0"/>
    </xf>
    <xf borderId="5" fillId="0" fontId="6" numFmtId="175" xfId="0" applyAlignment="1" applyBorder="1" applyFont="1" applyNumberFormat="1">
      <alignment horizontal="center" readingOrder="0"/>
    </xf>
    <xf borderId="0" fillId="0" fontId="6" numFmtId="175" xfId="0" applyAlignment="1" applyFont="1" applyNumberFormat="1">
      <alignment horizontal="center" readingOrder="0"/>
    </xf>
    <xf borderId="7" fillId="0" fontId="6" numFmtId="175" xfId="0" applyAlignment="1" applyBorder="1" applyFont="1" applyNumberFormat="1">
      <alignment horizontal="center" readingOrder="0"/>
    </xf>
    <xf borderId="0" fillId="0" fontId="5" numFmtId="175" xfId="0" applyAlignment="1" applyFont="1" applyNumberFormat="1">
      <alignment horizontal="center" readingOrder="0"/>
    </xf>
    <xf borderId="7" fillId="0" fontId="5" numFmtId="175" xfId="0" applyAlignment="1" applyBorder="1" applyFont="1" applyNumberFormat="1">
      <alignment horizontal="center" readingOrder="0"/>
    </xf>
    <xf borderId="0" fillId="3" fontId="3" numFmtId="0" xfId="0" applyAlignment="1" applyFont="1">
      <alignment horizontal="center" readingOrder="0"/>
    </xf>
    <xf borderId="0" fillId="13" fontId="6" numFmtId="169" xfId="0" applyAlignment="1" applyFill="1" applyFont="1" applyNumberFormat="1">
      <alignment horizontal="center" readingOrder="0"/>
    </xf>
    <xf borderId="0" fillId="13" fontId="6" numFmtId="166" xfId="0" applyAlignment="1" applyFont="1" applyNumberFormat="1">
      <alignment horizontal="center" readingOrder="0"/>
    </xf>
    <xf borderId="0" fillId="13" fontId="6" numFmtId="175" xfId="0" applyAlignment="1" applyFont="1" applyNumberFormat="1">
      <alignment horizontal="center" readingOrder="0"/>
    </xf>
    <xf borderId="0" fillId="13" fontId="5" numFmtId="175" xfId="0" applyAlignment="1" applyFont="1" applyNumberFormat="1">
      <alignment horizontal="center" readingOrder="0"/>
    </xf>
    <xf borderId="0" fillId="13" fontId="6" numFmtId="0" xfId="0" applyAlignment="1" applyFont="1">
      <alignment horizontal="center" readingOrder="0"/>
    </xf>
    <xf borderId="0" fillId="0" fontId="6" numFmtId="3" xfId="0" applyAlignment="1" applyFont="1" applyNumberFormat="1">
      <alignment readingOrder="0"/>
    </xf>
    <xf borderId="0" fillId="14" fontId="6" numFmtId="0" xfId="0" applyAlignment="1" applyFill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0" fontId="6" numFmtId="176" xfId="0" applyAlignment="1" applyFont="1" applyNumberFormat="1">
      <alignment readingOrder="0"/>
    </xf>
    <xf borderId="0" fillId="0" fontId="6" numFmtId="10" xfId="0" applyAlignment="1" applyFont="1" applyNumberFormat="1">
      <alignment horizontal="center"/>
    </xf>
    <xf borderId="0" fillId="0" fontId="15" numFmtId="10" xfId="0" applyAlignment="1" applyFont="1" applyNumberFormat="1">
      <alignment horizontal="center" readingOrder="0"/>
    </xf>
    <xf borderId="0" fillId="0" fontId="6" numFmtId="166" xfId="0" applyAlignment="1" applyFont="1" applyNumberFormat="1">
      <alignment horizontal="center"/>
    </xf>
    <xf borderId="0" fillId="0" fontId="6" numFmtId="166" xfId="0" applyAlignment="1" applyFont="1" applyNumberFormat="1">
      <alignment horizontal="center" readingOrder="0"/>
    </xf>
    <xf borderId="0" fillId="0" fontId="5" numFmtId="175" xfId="0" applyAlignment="1" applyFont="1" applyNumberFormat="1">
      <alignment horizontal="center"/>
    </xf>
    <xf borderId="0" fillId="0" fontId="6" numFmtId="165" xfId="0" applyAlignment="1" applyFont="1" applyNumberFormat="1">
      <alignment readingOrder="0"/>
    </xf>
    <xf borderId="0" fillId="0" fontId="6" numFmtId="4" xfId="0" applyAlignment="1" applyFont="1" applyNumberFormat="1">
      <alignment horizontal="center" readingOrder="0"/>
    </xf>
    <xf borderId="0" fillId="0" fontId="6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9.5"/>
    <col customWidth="1" min="4" max="4" width="21.5"/>
    <col customWidth="1" min="5" max="7" width="17.38"/>
    <col customWidth="1" min="8" max="9" width="15.75"/>
    <col customWidth="1" min="10" max="10" width="9.25"/>
    <col customWidth="1" min="11" max="16" width="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7</v>
      </c>
      <c r="J1" s="2" t="s">
        <v>8</v>
      </c>
      <c r="K1" s="4">
        <v>45640.0</v>
      </c>
      <c r="L1" s="5">
        <v>45658.0</v>
      </c>
      <c r="M1" s="5">
        <v>45689.0</v>
      </c>
      <c r="N1" s="5">
        <v>45717.0</v>
      </c>
      <c r="O1" s="5">
        <v>45748.0</v>
      </c>
      <c r="P1" s="4">
        <v>45763.0</v>
      </c>
    </row>
    <row r="2">
      <c r="A2" s="6">
        <v>45640.0</v>
      </c>
      <c r="B2" s="7">
        <v>11.5681</v>
      </c>
      <c r="C2" s="8">
        <v>1.0</v>
      </c>
      <c r="D2" s="9"/>
      <c r="E2" s="9"/>
      <c r="F2" s="9"/>
      <c r="G2" s="10" t="s">
        <v>9</v>
      </c>
      <c r="I2" s="11" t="s">
        <v>10</v>
      </c>
      <c r="J2" s="12">
        <v>0.0</v>
      </c>
      <c r="K2" s="13">
        <v>0.0</v>
      </c>
      <c r="L2" s="13">
        <f>K2*$C$3*1+K2+(K3*$C$3*0.15)+(K4*$C$3*0.1)+(K5*$C$3*0.1)</f>
        <v>0.004558287964</v>
      </c>
      <c r="M2" s="13">
        <f>L2*$C$4*1+L2+(L3*$C$4*0.15)+(L4*$C$4*0.1)+(L5*$C$4*0.1)</f>
        <v>0.01765488232</v>
      </c>
      <c r="N2" s="13">
        <f>M2*$C$5*1+M2+(M3*$C$5*0.15)+(M4*$C$5*0.1)+(M5*$C$5*0.1)</f>
        <v>0.02976874721</v>
      </c>
      <c r="O2" s="13">
        <f>N2*$C$6*1+N2+(N3*$C$6*0.15)+(N4*$C$6*0.1)+(N5*$C$6*0.1)</f>
        <v>0.04198117307</v>
      </c>
      <c r="P2" s="13">
        <f>O2*$C$7*1+O2+(O3*$C$7*0.15)+(O4*$C$7*0.1)+(O5*$C$7*0.1)</f>
        <v>0.04981479564</v>
      </c>
    </row>
    <row r="3">
      <c r="A3" s="6">
        <v>45658.0</v>
      </c>
      <c r="B3" s="7">
        <v>11.61</v>
      </c>
      <c r="C3" s="14">
        <f t="shared" ref="C3:C7" si="1">(B3*$C$2/B2)-100%</f>
        <v>0.003622029547</v>
      </c>
      <c r="D3" s="15">
        <f t="shared" ref="D3:D7" si="2">B3-B2</f>
        <v>0.0419</v>
      </c>
      <c r="E3" s="14">
        <f t="shared" ref="E3:E7" si="3">C3*0.8</f>
        <v>0.002897623637</v>
      </c>
      <c r="F3" s="16">
        <f t="shared" ref="F3:F7" si="4">C3*12</f>
        <v>0.04346435456</v>
      </c>
      <c r="G3" s="17"/>
      <c r="I3" s="11" t="s">
        <v>11</v>
      </c>
      <c r="J3" s="12">
        <v>0.15</v>
      </c>
      <c r="K3" s="13">
        <v>2.0336</v>
      </c>
      <c r="L3" s="13">
        <f>K3*$C$3*0.85+K3</f>
        <v>2.039860895</v>
      </c>
      <c r="M3" s="13">
        <f>L3*$C$4*0.85+L3</f>
        <v>2.057782154</v>
      </c>
      <c r="N3" s="13">
        <f>M3*$C$5*0.85+M3</f>
        <v>2.074184765</v>
      </c>
      <c r="O3" s="13">
        <f>N3*$C$6*0.85+N3</f>
        <v>2.090564518</v>
      </c>
      <c r="P3" s="13">
        <f>O3*$C$7*0.85+O3</f>
        <v>2.100973605</v>
      </c>
    </row>
    <row r="4">
      <c r="A4" s="6">
        <v>45689.0</v>
      </c>
      <c r="B4" s="7">
        <v>11.73</v>
      </c>
      <c r="C4" s="14">
        <f t="shared" si="1"/>
        <v>0.01033591731</v>
      </c>
      <c r="D4" s="15">
        <f t="shared" si="2"/>
        <v>0.12</v>
      </c>
      <c r="E4" s="14">
        <f t="shared" si="3"/>
        <v>0.00826873385</v>
      </c>
      <c r="F4" s="16">
        <f t="shared" si="4"/>
        <v>0.1240310078</v>
      </c>
      <c r="G4" s="17"/>
      <c r="I4" s="11" t="s">
        <v>12</v>
      </c>
      <c r="J4" s="12">
        <v>0.1</v>
      </c>
      <c r="K4" s="13">
        <v>4.6717</v>
      </c>
      <c r="L4" s="13">
        <f t="shared" ref="L4:L5" si="5">K4*$C$3*0.9+K4</f>
        <v>4.686928932</v>
      </c>
      <c r="M4" s="13">
        <f t="shared" ref="M4:M5" si="6">L4*$C$4*0.9+L4</f>
        <v>4.730528271</v>
      </c>
      <c r="N4" s="13">
        <f t="shared" ref="N4:N5" si="7">M4*$C$5*0.9+M4</f>
        <v>4.770453445</v>
      </c>
      <c r="O4" s="13">
        <f t="shared" ref="O4:O5" si="8">N4*$C$6*0.9+N4</f>
        <v>4.810341527</v>
      </c>
      <c r="P4" s="13">
        <f t="shared" ref="P4:P5" si="9">O4*$C$7*0.9+O4</f>
        <v>4.835701487</v>
      </c>
    </row>
    <row r="5">
      <c r="A5" s="6">
        <v>45717.0</v>
      </c>
      <c r="B5" s="7">
        <v>11.84</v>
      </c>
      <c r="C5" s="14">
        <f t="shared" si="1"/>
        <v>0.009377664109</v>
      </c>
      <c r="D5" s="15">
        <f t="shared" si="2"/>
        <v>0.11</v>
      </c>
      <c r="E5" s="14">
        <f t="shared" si="3"/>
        <v>0.007502131287</v>
      </c>
      <c r="F5" s="16">
        <f t="shared" si="4"/>
        <v>0.1125319693</v>
      </c>
      <c r="G5" s="17"/>
      <c r="I5" s="11" t="s">
        <v>13</v>
      </c>
      <c r="J5" s="12">
        <v>0.1</v>
      </c>
      <c r="K5" s="13">
        <v>4.8628</v>
      </c>
      <c r="L5" s="13">
        <f t="shared" si="5"/>
        <v>4.878651885</v>
      </c>
      <c r="M5" s="13">
        <f t="shared" si="6"/>
        <v>4.924034693</v>
      </c>
      <c r="N5" s="13">
        <f t="shared" si="7"/>
        <v>4.965593042</v>
      </c>
      <c r="O5" s="13">
        <f t="shared" si="8"/>
        <v>5.007112781</v>
      </c>
      <c r="P5" s="13">
        <f t="shared" si="9"/>
        <v>5.033510112</v>
      </c>
    </row>
    <row r="6">
      <c r="A6" s="6">
        <v>45747.0</v>
      </c>
      <c r="B6" s="7">
        <v>11.95</v>
      </c>
      <c r="C6" s="14">
        <f t="shared" si="1"/>
        <v>0.009290540541</v>
      </c>
      <c r="D6" s="15">
        <f t="shared" si="2"/>
        <v>0.11</v>
      </c>
      <c r="E6" s="14">
        <f t="shared" si="3"/>
        <v>0.007432432432</v>
      </c>
      <c r="F6" s="16">
        <f t="shared" si="4"/>
        <v>0.1114864865</v>
      </c>
      <c r="G6" s="17"/>
      <c r="I6" s="11" t="s">
        <v>14</v>
      </c>
      <c r="J6" s="18"/>
      <c r="K6" s="19">
        <f t="shared" ref="K6:P6" si="10">SUM(K2:K5)</f>
        <v>11.5681</v>
      </c>
      <c r="L6" s="19">
        <f t="shared" si="10"/>
        <v>11.61</v>
      </c>
      <c r="M6" s="19">
        <f t="shared" si="10"/>
        <v>11.73</v>
      </c>
      <c r="N6" s="19">
        <f t="shared" si="10"/>
        <v>11.84</v>
      </c>
      <c r="O6" s="19">
        <f t="shared" si="10"/>
        <v>11.95</v>
      </c>
      <c r="P6" s="19">
        <f t="shared" si="10"/>
        <v>12.02</v>
      </c>
    </row>
    <row r="7">
      <c r="A7" s="6">
        <v>45763.0</v>
      </c>
      <c r="B7" s="7">
        <v>12.02</v>
      </c>
      <c r="C7" s="14">
        <f t="shared" si="1"/>
        <v>0.005857740586</v>
      </c>
      <c r="D7" s="15">
        <f t="shared" si="2"/>
        <v>0.07</v>
      </c>
      <c r="E7" s="14">
        <f t="shared" si="3"/>
        <v>0.004686192469</v>
      </c>
      <c r="F7" s="16">
        <f t="shared" si="4"/>
        <v>0.07029288703</v>
      </c>
    </row>
    <row r="8">
      <c r="A8" s="20" t="s">
        <v>15</v>
      </c>
      <c r="I8" s="11" t="s">
        <v>10</v>
      </c>
      <c r="K8" s="21">
        <f t="shared" ref="K8:P8" si="11">IFERROR(K2/K$6,"")</f>
        <v>0</v>
      </c>
      <c r="L8" s="21">
        <f t="shared" si="11"/>
        <v>0.0003926173957</v>
      </c>
      <c r="M8" s="21">
        <f t="shared" si="11"/>
        <v>0.001505105057</v>
      </c>
      <c r="N8" s="21">
        <f t="shared" si="11"/>
        <v>0.002514252298</v>
      </c>
      <c r="O8" s="21">
        <f t="shared" si="11"/>
        <v>0.003513068876</v>
      </c>
      <c r="P8" s="21">
        <f t="shared" si="11"/>
        <v>0.004144325761</v>
      </c>
    </row>
    <row r="9">
      <c r="A9" s="6"/>
      <c r="B9" s="7"/>
      <c r="C9" s="14"/>
      <c r="E9" s="17"/>
      <c r="F9" s="17"/>
      <c r="G9" s="17"/>
      <c r="I9" s="11" t="s">
        <v>16</v>
      </c>
      <c r="K9" s="21">
        <f t="shared" ref="K9:P9" si="12">IFERROR(K3/K$6,"")</f>
        <v>0.1757937777</v>
      </c>
      <c r="L9" s="21">
        <f t="shared" si="12"/>
        <v>0.1756986129</v>
      </c>
      <c r="M9" s="21">
        <f t="shared" si="12"/>
        <v>0.1754289986</v>
      </c>
      <c r="N9" s="21">
        <f t="shared" si="12"/>
        <v>0.1751845241</v>
      </c>
      <c r="O9" s="21">
        <f t="shared" si="12"/>
        <v>0.1749426375</v>
      </c>
      <c r="P9" s="21">
        <f t="shared" si="12"/>
        <v>0.1747898174</v>
      </c>
    </row>
    <row r="10">
      <c r="A10" s="22" t="s">
        <v>17</v>
      </c>
      <c r="B10" s="23" t="s">
        <v>18</v>
      </c>
      <c r="C10" s="24">
        <f>(B7-B2)/B2</f>
        <v>0.03906432344</v>
      </c>
      <c r="D10" s="25">
        <f>B7-B2</f>
        <v>0.4519</v>
      </c>
      <c r="E10" s="24">
        <f>C10*0.8</f>
        <v>0.03125145875</v>
      </c>
      <c r="F10" s="26">
        <f>E10/4*12</f>
        <v>0.09375437626</v>
      </c>
      <c r="I10" s="11" t="s">
        <v>19</v>
      </c>
      <c r="K10" s="21">
        <f t="shared" ref="K10:P10" si="13">IFERROR(K4/K$6,"")</f>
        <v>0.4038433278</v>
      </c>
      <c r="L10" s="21">
        <f t="shared" si="13"/>
        <v>0.4036975824</v>
      </c>
      <c r="M10" s="21">
        <f t="shared" si="13"/>
        <v>0.4032845926</v>
      </c>
      <c r="N10" s="21">
        <f t="shared" si="13"/>
        <v>0.4029099194</v>
      </c>
      <c r="O10" s="21">
        <f t="shared" si="13"/>
        <v>0.40253904</v>
      </c>
      <c r="P10" s="21">
        <f t="shared" si="13"/>
        <v>0.4023046162</v>
      </c>
    </row>
    <row r="11">
      <c r="A11" s="6"/>
      <c r="B11" s="18"/>
      <c r="C11" s="27"/>
      <c r="E11" s="17"/>
      <c r="F11" s="17"/>
      <c r="G11" s="17"/>
      <c r="I11" s="11" t="s">
        <v>13</v>
      </c>
      <c r="K11" s="21">
        <f t="shared" ref="K11:P11" si="14">IFERROR(K5/K$6,"")</f>
        <v>0.4203628945</v>
      </c>
      <c r="L11" s="21">
        <f t="shared" si="14"/>
        <v>0.4202111873</v>
      </c>
      <c r="M11" s="21">
        <f t="shared" si="14"/>
        <v>0.4197813037</v>
      </c>
      <c r="N11" s="21">
        <f t="shared" si="14"/>
        <v>0.4193913042</v>
      </c>
      <c r="O11" s="21">
        <f t="shared" si="14"/>
        <v>0.4190052537</v>
      </c>
      <c r="P11" s="21">
        <f t="shared" si="14"/>
        <v>0.4187612406</v>
      </c>
    </row>
    <row r="12">
      <c r="A12" s="6"/>
      <c r="B12" s="7"/>
      <c r="C12" s="14"/>
      <c r="I12" s="11" t="s">
        <v>14</v>
      </c>
      <c r="J12" s="18"/>
      <c r="K12" s="28">
        <f t="shared" ref="K12:P12" si="15">SUM(K8:K11)</f>
        <v>1</v>
      </c>
      <c r="L12" s="28">
        <f t="shared" si="15"/>
        <v>1</v>
      </c>
      <c r="M12" s="28">
        <f t="shared" si="15"/>
        <v>1</v>
      </c>
      <c r="N12" s="28">
        <f t="shared" si="15"/>
        <v>1</v>
      </c>
      <c r="O12" s="28">
        <f t="shared" si="15"/>
        <v>1</v>
      </c>
      <c r="P12" s="28">
        <f t="shared" si="15"/>
        <v>1</v>
      </c>
    </row>
    <row r="13">
      <c r="A13" s="29"/>
      <c r="C13" s="30"/>
      <c r="D13" s="14"/>
    </row>
    <row r="14">
      <c r="A14" s="29"/>
      <c r="C14" s="27"/>
      <c r="D14" s="14"/>
    </row>
    <row r="15">
      <c r="A15" s="31"/>
      <c r="D15" s="14"/>
    </row>
    <row r="16">
      <c r="A16" s="31"/>
      <c r="D16" s="14"/>
    </row>
    <row r="17">
      <c r="A17" s="31"/>
      <c r="D17" s="14"/>
    </row>
    <row r="18">
      <c r="A18" s="31"/>
      <c r="D18" s="14"/>
    </row>
    <row r="19">
      <c r="A19" s="31"/>
    </row>
    <row r="20">
      <c r="A20" s="31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>
      <c r="A21" s="31"/>
    </row>
    <row r="22">
      <c r="A22" s="31"/>
    </row>
    <row r="23">
      <c r="A23" s="31"/>
    </row>
    <row r="24">
      <c r="A24" s="31"/>
    </row>
    <row r="25">
      <c r="A25" s="31"/>
    </row>
    <row r="26">
      <c r="A26" s="31"/>
    </row>
    <row r="27">
      <c r="A27" s="31"/>
    </row>
    <row r="28">
      <c r="A28" s="31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>
      <c r="A29" s="31"/>
      <c r="B29" s="18"/>
      <c r="E29" s="32"/>
      <c r="F29" s="32"/>
      <c r="G29" s="32"/>
      <c r="H29" s="14"/>
    </row>
    <row r="30">
      <c r="A30" s="31"/>
      <c r="B30" s="18"/>
      <c r="E30" s="32"/>
      <c r="F30" s="32"/>
      <c r="G30" s="32"/>
      <c r="H30" s="14"/>
    </row>
    <row r="31">
      <c r="A31" s="31"/>
      <c r="B31" s="18"/>
      <c r="E31" s="32"/>
      <c r="F31" s="32"/>
      <c r="G31" s="32"/>
      <c r="H31" s="14"/>
    </row>
    <row r="32">
      <c r="A32" s="31"/>
      <c r="B32" s="18"/>
      <c r="E32" s="32"/>
      <c r="F32" s="32"/>
      <c r="G32" s="32"/>
      <c r="H32" s="14"/>
    </row>
    <row r="33">
      <c r="A33" s="31"/>
      <c r="B33" s="18"/>
      <c r="E33" s="32"/>
      <c r="F33" s="32"/>
      <c r="G33" s="32"/>
      <c r="H33" s="14"/>
    </row>
    <row r="34">
      <c r="A34" s="31"/>
      <c r="B34" s="18"/>
      <c r="E34" s="32"/>
      <c r="F34" s="32"/>
      <c r="G34" s="32"/>
      <c r="H34" s="14"/>
    </row>
    <row r="35">
      <c r="A35" s="31"/>
      <c r="B35" s="18"/>
      <c r="E35" s="32"/>
      <c r="F35" s="32"/>
      <c r="G35" s="32"/>
      <c r="H35" s="14"/>
    </row>
    <row r="36">
      <c r="A36" s="31"/>
      <c r="B36" s="18"/>
      <c r="E36" s="32"/>
      <c r="F36" s="32"/>
      <c r="G36" s="32"/>
      <c r="H36" s="14"/>
    </row>
    <row r="37">
      <c r="A37" s="31"/>
      <c r="B37" s="18"/>
      <c r="E37" s="32"/>
      <c r="F37" s="32"/>
      <c r="G37" s="32"/>
      <c r="H37" s="14"/>
    </row>
    <row r="38">
      <c r="A38" s="31"/>
      <c r="B38" s="18"/>
      <c r="E38" s="32"/>
      <c r="F38" s="32"/>
      <c r="G38" s="32"/>
      <c r="H38" s="14"/>
    </row>
    <row r="39">
      <c r="A39" s="31"/>
      <c r="B39" s="18"/>
      <c r="E39" s="32"/>
      <c r="F39" s="32"/>
      <c r="G39" s="32"/>
      <c r="H39" s="14"/>
    </row>
    <row r="40">
      <c r="A40" s="31"/>
      <c r="B40" s="18"/>
      <c r="E40" s="32"/>
      <c r="F40" s="32"/>
      <c r="G40" s="32"/>
      <c r="H40" s="14"/>
    </row>
    <row r="41">
      <c r="A41" s="31"/>
      <c r="B41" s="18"/>
      <c r="E41" s="32"/>
      <c r="F41" s="32"/>
      <c r="G41" s="32"/>
      <c r="H41" s="14"/>
    </row>
    <row r="42">
      <c r="A42" s="31"/>
      <c r="B42" s="18"/>
      <c r="E42" s="32"/>
      <c r="F42" s="32"/>
      <c r="G42" s="32"/>
      <c r="H42" s="14"/>
    </row>
    <row r="43">
      <c r="A43" s="31"/>
      <c r="B43" s="18"/>
      <c r="E43" s="32"/>
      <c r="F43" s="32"/>
      <c r="G43" s="32"/>
      <c r="H43" s="14"/>
    </row>
    <row r="44">
      <c r="A44" s="31"/>
      <c r="B44" s="18"/>
      <c r="E44" s="32"/>
      <c r="F44" s="32"/>
      <c r="G44" s="32"/>
      <c r="H44" s="14"/>
    </row>
    <row r="45">
      <c r="A45" s="31"/>
      <c r="B45" s="18"/>
      <c r="E45" s="32"/>
      <c r="F45" s="32"/>
      <c r="G45" s="32"/>
      <c r="H45" s="14"/>
    </row>
    <row r="46">
      <c r="A46" s="31"/>
      <c r="B46" s="18"/>
      <c r="E46" s="32"/>
      <c r="F46" s="32"/>
      <c r="G46" s="32"/>
      <c r="H46" s="14"/>
    </row>
    <row r="47">
      <c r="A47" s="31"/>
      <c r="B47" s="18"/>
      <c r="E47" s="32"/>
      <c r="F47" s="32"/>
      <c r="G47" s="32"/>
      <c r="H47" s="14"/>
    </row>
    <row r="48">
      <c r="A48" s="31"/>
      <c r="B48" s="18"/>
      <c r="E48" s="32"/>
      <c r="F48" s="32"/>
      <c r="G48" s="32"/>
      <c r="H48" s="14"/>
    </row>
    <row r="49">
      <c r="A49" s="31"/>
      <c r="B49" s="18"/>
      <c r="E49" s="32"/>
      <c r="F49" s="32"/>
      <c r="G49" s="32"/>
      <c r="H49" s="14"/>
    </row>
    <row r="50">
      <c r="A50" s="31"/>
      <c r="B50" s="18"/>
      <c r="E50" s="32"/>
      <c r="F50" s="32"/>
      <c r="G50" s="32"/>
      <c r="H50" s="14"/>
    </row>
    <row r="51">
      <c r="A51" s="31"/>
      <c r="B51" s="18"/>
      <c r="E51" s="32"/>
      <c r="F51" s="32"/>
      <c r="G51" s="32"/>
      <c r="H51" s="14"/>
    </row>
    <row r="52">
      <c r="A52" s="31"/>
      <c r="B52" s="18"/>
      <c r="E52" s="32"/>
      <c r="F52" s="32"/>
      <c r="G52" s="32"/>
      <c r="H52" s="14"/>
    </row>
    <row r="53">
      <c r="A53" s="31"/>
      <c r="B53" s="18"/>
      <c r="E53" s="32"/>
      <c r="F53" s="32"/>
      <c r="G53" s="32"/>
      <c r="H53" s="14"/>
    </row>
    <row r="54">
      <c r="A54" s="31"/>
      <c r="B54" s="18"/>
      <c r="E54" s="32"/>
      <c r="F54" s="32"/>
      <c r="G54" s="32"/>
      <c r="H54" s="14"/>
    </row>
    <row r="55">
      <c r="A55" s="31"/>
      <c r="B55" s="18"/>
      <c r="E55" s="32"/>
      <c r="F55" s="32"/>
      <c r="G55" s="32"/>
      <c r="H55" s="14"/>
    </row>
    <row r="56">
      <c r="A56" s="31"/>
      <c r="B56" s="18"/>
      <c r="E56" s="32"/>
      <c r="F56" s="32"/>
      <c r="G56" s="32"/>
      <c r="H56" s="14"/>
    </row>
    <row r="57">
      <c r="A57" s="31"/>
      <c r="B57" s="18"/>
      <c r="E57" s="32"/>
      <c r="F57" s="32"/>
      <c r="G57" s="32"/>
      <c r="H57" s="14"/>
    </row>
    <row r="58">
      <c r="A58" s="31"/>
      <c r="B58" s="18"/>
      <c r="E58" s="32"/>
      <c r="F58" s="32"/>
      <c r="G58" s="32"/>
      <c r="H58" s="14"/>
    </row>
    <row r="59">
      <c r="A59" s="31"/>
      <c r="B59" s="18"/>
      <c r="E59" s="32"/>
      <c r="F59" s="32"/>
      <c r="G59" s="32"/>
      <c r="H59" s="14"/>
    </row>
    <row r="60">
      <c r="A60" s="31"/>
      <c r="B60" s="18"/>
      <c r="E60" s="32"/>
      <c r="F60" s="32"/>
      <c r="G60" s="32"/>
      <c r="H60" s="14"/>
    </row>
    <row r="61">
      <c r="A61" s="31"/>
      <c r="B61" s="18"/>
      <c r="E61" s="32"/>
      <c r="F61" s="32"/>
      <c r="G61" s="32"/>
      <c r="H61" s="14"/>
    </row>
    <row r="62">
      <c r="A62" s="31"/>
      <c r="B62" s="18"/>
      <c r="E62" s="32"/>
      <c r="F62" s="32"/>
      <c r="G62" s="32"/>
      <c r="H62" s="14"/>
    </row>
    <row r="63">
      <c r="A63" s="31"/>
      <c r="B63" s="18"/>
      <c r="E63" s="32"/>
      <c r="F63" s="32"/>
      <c r="G63" s="32"/>
      <c r="H63" s="14"/>
    </row>
    <row r="64">
      <c r="A64" s="31"/>
      <c r="B64" s="18"/>
      <c r="E64" s="32"/>
      <c r="F64" s="32"/>
      <c r="G64" s="32"/>
      <c r="H64" s="14"/>
    </row>
    <row r="65">
      <c r="A65" s="31"/>
      <c r="B65" s="18"/>
      <c r="E65" s="32"/>
      <c r="F65" s="32"/>
      <c r="G65" s="32"/>
      <c r="H65" s="14"/>
    </row>
    <row r="66">
      <c r="A66" s="31"/>
      <c r="B66" s="18"/>
      <c r="E66" s="32"/>
      <c r="F66" s="32"/>
      <c r="G66" s="32"/>
      <c r="H66" s="14"/>
    </row>
    <row r="67">
      <c r="A67" s="31"/>
      <c r="B67" s="18"/>
      <c r="E67" s="32"/>
      <c r="F67" s="32"/>
      <c r="G67" s="32"/>
      <c r="H67" s="14"/>
    </row>
    <row r="68">
      <c r="A68" s="31"/>
      <c r="B68" s="18"/>
      <c r="E68" s="32"/>
      <c r="F68" s="32"/>
      <c r="G68" s="32"/>
      <c r="H68" s="14"/>
    </row>
    <row r="69">
      <c r="A69" s="31"/>
      <c r="B69" s="18"/>
      <c r="E69" s="32"/>
      <c r="F69" s="32"/>
      <c r="G69" s="32"/>
      <c r="H69" s="14"/>
    </row>
    <row r="70">
      <c r="A70" s="31"/>
      <c r="B70" s="18"/>
      <c r="E70" s="32"/>
      <c r="F70" s="32"/>
      <c r="G70" s="32"/>
      <c r="H70" s="14"/>
    </row>
    <row r="71">
      <c r="A71" s="31"/>
      <c r="B71" s="18"/>
      <c r="E71" s="32"/>
      <c r="F71" s="32"/>
      <c r="G71" s="32"/>
      <c r="H71" s="14"/>
    </row>
    <row r="72">
      <c r="A72" s="31"/>
      <c r="B72" s="18"/>
      <c r="E72" s="32"/>
      <c r="F72" s="32"/>
      <c r="G72" s="32"/>
      <c r="H72" s="14"/>
    </row>
    <row r="73">
      <c r="A73" s="31"/>
      <c r="B73" s="18"/>
      <c r="E73" s="32"/>
      <c r="F73" s="32"/>
      <c r="G73" s="32"/>
      <c r="H73" s="14"/>
    </row>
    <row r="74">
      <c r="A74" s="31"/>
      <c r="B74" s="18"/>
      <c r="E74" s="32"/>
      <c r="F74" s="32"/>
      <c r="G74" s="32"/>
      <c r="H74" s="14"/>
    </row>
    <row r="75">
      <c r="A75" s="31"/>
      <c r="B75" s="18"/>
      <c r="E75" s="32"/>
      <c r="F75" s="32"/>
      <c r="G75" s="32"/>
      <c r="H75" s="14"/>
    </row>
    <row r="76">
      <c r="A76" s="31"/>
      <c r="B76" s="18"/>
      <c r="E76" s="32"/>
      <c r="F76" s="32"/>
      <c r="G76" s="32"/>
      <c r="H76" s="14"/>
    </row>
    <row r="77">
      <c r="A77" s="31"/>
      <c r="B77" s="18"/>
      <c r="E77" s="32"/>
      <c r="F77" s="32"/>
      <c r="G77" s="32"/>
      <c r="H77" s="14"/>
    </row>
    <row r="78">
      <c r="A78" s="31"/>
      <c r="B78" s="18"/>
      <c r="E78" s="32"/>
      <c r="F78" s="32"/>
      <c r="G78" s="32"/>
      <c r="H78" s="14"/>
    </row>
    <row r="79">
      <c r="A79" s="31"/>
      <c r="B79" s="18"/>
      <c r="E79" s="32"/>
      <c r="F79" s="32"/>
      <c r="G79" s="32"/>
      <c r="H79" s="14"/>
    </row>
    <row r="80">
      <c r="A80" s="31"/>
      <c r="B80" s="18"/>
      <c r="E80" s="32"/>
      <c r="F80" s="32"/>
      <c r="G80" s="32"/>
      <c r="H80" s="14"/>
    </row>
    <row r="81">
      <c r="A81" s="31"/>
      <c r="B81" s="18"/>
      <c r="E81" s="32"/>
      <c r="F81" s="32"/>
      <c r="G81" s="32"/>
      <c r="H81" s="14"/>
    </row>
    <row r="82">
      <c r="A82" s="31"/>
      <c r="B82" s="18"/>
      <c r="E82" s="32"/>
      <c r="F82" s="32"/>
      <c r="G82" s="32"/>
      <c r="H82" s="14"/>
    </row>
    <row r="83">
      <c r="A83" s="31"/>
      <c r="B83" s="18"/>
      <c r="E83" s="32"/>
      <c r="F83" s="32"/>
      <c r="G83" s="32"/>
      <c r="H83" s="14"/>
    </row>
    <row r="84">
      <c r="A84" s="31"/>
      <c r="B84" s="18"/>
      <c r="E84" s="32"/>
      <c r="F84" s="32"/>
      <c r="G84" s="32"/>
      <c r="H84" s="14"/>
    </row>
    <row r="85">
      <c r="A85" s="31"/>
      <c r="B85" s="18"/>
      <c r="E85" s="32"/>
      <c r="F85" s="32"/>
      <c r="G85" s="32"/>
      <c r="H85" s="14"/>
    </row>
    <row r="86">
      <c r="A86" s="31"/>
      <c r="B86" s="18"/>
      <c r="E86" s="32"/>
      <c r="F86" s="32"/>
      <c r="G86" s="32"/>
      <c r="H86" s="14"/>
    </row>
    <row r="87">
      <c r="A87" s="31"/>
      <c r="B87" s="18"/>
      <c r="E87" s="32"/>
      <c r="F87" s="32"/>
      <c r="G87" s="32"/>
      <c r="H87" s="14"/>
    </row>
    <row r="88">
      <c r="A88" s="31"/>
      <c r="B88" s="18"/>
      <c r="E88" s="32"/>
      <c r="F88" s="32"/>
      <c r="G88" s="32"/>
      <c r="H88" s="14"/>
    </row>
    <row r="89">
      <c r="A89" s="31"/>
      <c r="B89" s="18"/>
      <c r="E89" s="32"/>
      <c r="F89" s="32"/>
      <c r="G89" s="32"/>
      <c r="H89" s="14"/>
    </row>
    <row r="90">
      <c r="A90" s="31"/>
      <c r="B90" s="18"/>
      <c r="E90" s="32"/>
      <c r="F90" s="32"/>
      <c r="G90" s="32"/>
      <c r="H90" s="14"/>
    </row>
    <row r="91">
      <c r="A91" s="31"/>
      <c r="B91" s="18"/>
      <c r="E91" s="32"/>
      <c r="F91" s="32"/>
      <c r="G91" s="32"/>
      <c r="H91" s="14"/>
    </row>
    <row r="92">
      <c r="A92" s="31"/>
      <c r="B92" s="18"/>
      <c r="E92" s="32"/>
      <c r="F92" s="32"/>
      <c r="G92" s="32"/>
      <c r="H92" s="14"/>
    </row>
    <row r="93">
      <c r="A93" s="31"/>
      <c r="B93" s="18"/>
      <c r="E93" s="32"/>
      <c r="F93" s="32"/>
      <c r="G93" s="32"/>
      <c r="H93" s="14"/>
    </row>
    <row r="94">
      <c r="A94" s="31"/>
      <c r="B94" s="18"/>
      <c r="E94" s="32"/>
      <c r="F94" s="32"/>
      <c r="G94" s="32"/>
      <c r="H94" s="14"/>
    </row>
    <row r="95">
      <c r="A95" s="31"/>
      <c r="B95" s="18"/>
      <c r="E95" s="32"/>
      <c r="F95" s="32"/>
      <c r="G95" s="32"/>
      <c r="H95" s="14"/>
    </row>
    <row r="96">
      <c r="A96" s="31"/>
      <c r="B96" s="18"/>
      <c r="E96" s="32"/>
      <c r="F96" s="32"/>
      <c r="G96" s="32"/>
      <c r="H96" s="14"/>
    </row>
    <row r="97">
      <c r="A97" s="31"/>
      <c r="B97" s="18"/>
      <c r="E97" s="32"/>
      <c r="F97" s="32"/>
      <c r="G97" s="32"/>
      <c r="H97" s="14"/>
    </row>
    <row r="98">
      <c r="A98" s="31"/>
      <c r="B98" s="18"/>
      <c r="E98" s="32"/>
      <c r="F98" s="32"/>
      <c r="G98" s="32"/>
      <c r="H98" s="14"/>
    </row>
    <row r="99">
      <c r="A99" s="31"/>
      <c r="B99" s="18"/>
      <c r="E99" s="32"/>
      <c r="F99" s="32"/>
      <c r="G99" s="32"/>
      <c r="H99" s="14"/>
    </row>
    <row r="100">
      <c r="A100" s="31"/>
      <c r="B100" s="18"/>
      <c r="E100" s="32"/>
      <c r="F100" s="32"/>
      <c r="G100" s="32"/>
      <c r="H100" s="14"/>
    </row>
    <row r="101">
      <c r="A101" s="31"/>
      <c r="B101" s="18"/>
      <c r="E101" s="32"/>
      <c r="F101" s="32"/>
      <c r="G101" s="32"/>
      <c r="H101" s="14"/>
    </row>
    <row r="102">
      <c r="A102" s="31"/>
      <c r="B102" s="18"/>
      <c r="E102" s="32"/>
      <c r="F102" s="32"/>
      <c r="G102" s="32"/>
      <c r="H102" s="14"/>
    </row>
    <row r="103">
      <c r="A103" s="31"/>
      <c r="B103" s="18"/>
      <c r="E103" s="32"/>
      <c r="F103" s="32"/>
      <c r="G103" s="32"/>
      <c r="H103" s="14"/>
    </row>
    <row r="104">
      <c r="A104" s="31"/>
      <c r="B104" s="18"/>
      <c r="E104" s="32"/>
      <c r="F104" s="32"/>
      <c r="G104" s="32"/>
      <c r="H104" s="14"/>
    </row>
    <row r="105">
      <c r="A105" s="31"/>
      <c r="B105" s="18"/>
      <c r="E105" s="32"/>
      <c r="F105" s="32"/>
      <c r="G105" s="32"/>
      <c r="H105" s="14"/>
    </row>
    <row r="106">
      <c r="A106" s="31"/>
      <c r="B106" s="18"/>
      <c r="E106" s="32"/>
      <c r="F106" s="32"/>
      <c r="G106" s="32"/>
      <c r="H106" s="14"/>
    </row>
    <row r="107">
      <c r="A107" s="31"/>
      <c r="B107" s="18"/>
      <c r="E107" s="32"/>
      <c r="F107" s="32"/>
      <c r="G107" s="32"/>
      <c r="H107" s="14"/>
    </row>
    <row r="108">
      <c r="A108" s="31"/>
      <c r="B108" s="18"/>
      <c r="E108" s="32"/>
      <c r="F108" s="32"/>
      <c r="G108" s="32"/>
      <c r="H108" s="14"/>
    </row>
    <row r="109">
      <c r="A109" s="31"/>
      <c r="B109" s="18"/>
      <c r="E109" s="32"/>
      <c r="F109" s="32"/>
      <c r="G109" s="32"/>
      <c r="H109" s="14"/>
    </row>
    <row r="110">
      <c r="A110" s="31"/>
      <c r="B110" s="18"/>
      <c r="E110" s="32"/>
      <c r="F110" s="32"/>
      <c r="G110" s="32"/>
      <c r="H110" s="14"/>
    </row>
    <row r="111">
      <c r="A111" s="31"/>
      <c r="B111" s="18"/>
      <c r="E111" s="32"/>
      <c r="F111" s="32"/>
      <c r="G111" s="32"/>
      <c r="H111" s="14"/>
    </row>
    <row r="112">
      <c r="A112" s="31"/>
      <c r="B112" s="18"/>
      <c r="E112" s="32"/>
      <c r="F112" s="32"/>
      <c r="G112" s="32"/>
      <c r="H112" s="14"/>
    </row>
    <row r="113">
      <c r="A113" s="31"/>
      <c r="B113" s="18"/>
      <c r="E113" s="32"/>
      <c r="F113" s="32"/>
      <c r="G113" s="32"/>
      <c r="H113" s="14"/>
    </row>
    <row r="114">
      <c r="A114" s="31"/>
      <c r="B114" s="18"/>
      <c r="E114" s="32"/>
      <c r="F114" s="32"/>
      <c r="G114" s="32"/>
      <c r="H114" s="14"/>
    </row>
    <row r="115">
      <c r="A115" s="31"/>
      <c r="B115" s="18"/>
      <c r="E115" s="32"/>
      <c r="F115" s="32"/>
      <c r="G115" s="32"/>
      <c r="H115" s="14"/>
    </row>
    <row r="116">
      <c r="A116" s="31"/>
      <c r="B116" s="18"/>
      <c r="E116" s="32"/>
      <c r="F116" s="32"/>
      <c r="G116" s="32"/>
      <c r="H116" s="14"/>
    </row>
    <row r="117">
      <c r="A117" s="31"/>
      <c r="B117" s="18"/>
      <c r="E117" s="32"/>
      <c r="F117" s="32"/>
      <c r="G117" s="32"/>
      <c r="H117" s="14"/>
    </row>
    <row r="118">
      <c r="A118" s="31"/>
      <c r="B118" s="18"/>
      <c r="E118" s="32"/>
      <c r="F118" s="32"/>
      <c r="G118" s="32"/>
      <c r="H118" s="14"/>
    </row>
    <row r="119">
      <c r="A119" s="31"/>
      <c r="B119" s="18"/>
      <c r="E119" s="32"/>
      <c r="F119" s="32"/>
      <c r="G119" s="32"/>
      <c r="H119" s="14"/>
    </row>
    <row r="120">
      <c r="A120" s="31"/>
      <c r="B120" s="18"/>
      <c r="E120" s="32"/>
      <c r="F120" s="32"/>
      <c r="G120" s="32"/>
      <c r="H120" s="14"/>
    </row>
    <row r="121">
      <c r="A121" s="31"/>
      <c r="B121" s="18"/>
      <c r="E121" s="32"/>
      <c r="F121" s="32"/>
      <c r="G121" s="32"/>
      <c r="H121" s="14"/>
    </row>
    <row r="122">
      <c r="A122" s="31"/>
      <c r="B122" s="18"/>
      <c r="E122" s="32"/>
      <c r="F122" s="32"/>
      <c r="G122" s="32"/>
      <c r="H122" s="14"/>
    </row>
    <row r="123">
      <c r="A123" s="31"/>
      <c r="B123" s="18"/>
      <c r="E123" s="32"/>
      <c r="F123" s="32"/>
      <c r="G123" s="32"/>
      <c r="H123" s="14"/>
    </row>
    <row r="124">
      <c r="A124" s="31"/>
      <c r="B124" s="18"/>
      <c r="E124" s="32"/>
      <c r="F124" s="32"/>
      <c r="G124" s="32"/>
      <c r="H124" s="14"/>
    </row>
    <row r="125">
      <c r="A125" s="31"/>
      <c r="B125" s="18"/>
      <c r="E125" s="32"/>
      <c r="F125" s="32"/>
      <c r="G125" s="32"/>
      <c r="H125" s="14"/>
    </row>
    <row r="126">
      <c r="A126" s="31"/>
      <c r="B126" s="18"/>
      <c r="E126" s="32"/>
      <c r="F126" s="32"/>
      <c r="G126" s="32"/>
      <c r="H126" s="14"/>
    </row>
    <row r="127">
      <c r="A127" s="31"/>
      <c r="B127" s="18"/>
      <c r="E127" s="32"/>
      <c r="F127" s="32"/>
      <c r="G127" s="32"/>
      <c r="H127" s="14"/>
    </row>
    <row r="128">
      <c r="A128" s="31"/>
      <c r="B128" s="18"/>
      <c r="E128" s="32"/>
      <c r="F128" s="32"/>
      <c r="G128" s="32"/>
      <c r="H128" s="14"/>
    </row>
    <row r="129">
      <c r="A129" s="31"/>
      <c r="B129" s="18"/>
      <c r="E129" s="32"/>
      <c r="F129" s="32"/>
      <c r="G129" s="32"/>
      <c r="H129" s="14"/>
    </row>
    <row r="130">
      <c r="A130" s="31"/>
      <c r="B130" s="18"/>
      <c r="E130" s="32"/>
      <c r="F130" s="32"/>
      <c r="G130" s="32"/>
      <c r="H130" s="14"/>
    </row>
    <row r="131">
      <c r="A131" s="31"/>
      <c r="B131" s="18"/>
      <c r="E131" s="32"/>
      <c r="F131" s="32"/>
      <c r="G131" s="32"/>
      <c r="H131" s="14"/>
    </row>
    <row r="132">
      <c r="A132" s="31"/>
      <c r="B132" s="18"/>
      <c r="E132" s="32"/>
      <c r="F132" s="32"/>
      <c r="G132" s="32"/>
      <c r="H132" s="14"/>
    </row>
    <row r="133">
      <c r="A133" s="31"/>
      <c r="B133" s="18"/>
      <c r="E133" s="32"/>
      <c r="F133" s="32"/>
      <c r="G133" s="32"/>
      <c r="H133" s="14"/>
    </row>
    <row r="134">
      <c r="A134" s="31"/>
      <c r="B134" s="18"/>
      <c r="E134" s="32"/>
      <c r="F134" s="32"/>
      <c r="G134" s="32"/>
      <c r="H134" s="14"/>
    </row>
    <row r="135">
      <c r="A135" s="31"/>
      <c r="B135" s="18"/>
      <c r="E135" s="32"/>
      <c r="F135" s="32"/>
      <c r="G135" s="32"/>
      <c r="H135" s="14"/>
    </row>
    <row r="136">
      <c r="A136" s="31"/>
      <c r="B136" s="18"/>
      <c r="E136" s="32"/>
      <c r="F136" s="32"/>
      <c r="G136" s="32"/>
      <c r="H136" s="14"/>
    </row>
    <row r="137">
      <c r="A137" s="31"/>
      <c r="B137" s="18"/>
      <c r="E137" s="32"/>
      <c r="F137" s="32"/>
      <c r="G137" s="32"/>
      <c r="H137" s="14"/>
    </row>
    <row r="138">
      <c r="A138" s="31"/>
      <c r="B138" s="18"/>
      <c r="E138" s="32"/>
      <c r="F138" s="32"/>
      <c r="G138" s="32"/>
      <c r="H138" s="14"/>
    </row>
    <row r="139">
      <c r="A139" s="31"/>
      <c r="B139" s="18"/>
      <c r="E139" s="32"/>
      <c r="F139" s="32"/>
      <c r="G139" s="32"/>
      <c r="H139" s="14"/>
    </row>
    <row r="140">
      <c r="A140" s="31"/>
      <c r="B140" s="18"/>
      <c r="E140" s="32"/>
      <c r="F140" s="32"/>
      <c r="G140" s="32"/>
      <c r="H140" s="14"/>
    </row>
    <row r="141">
      <c r="A141" s="31"/>
      <c r="B141" s="18"/>
      <c r="E141" s="32"/>
      <c r="F141" s="32"/>
      <c r="G141" s="32"/>
      <c r="H141" s="14"/>
    </row>
    <row r="142">
      <c r="A142" s="31"/>
      <c r="B142" s="18"/>
      <c r="E142" s="32"/>
      <c r="F142" s="32"/>
      <c r="G142" s="32"/>
      <c r="H142" s="14"/>
    </row>
    <row r="143">
      <c r="A143" s="31"/>
      <c r="B143" s="18"/>
      <c r="E143" s="32"/>
      <c r="F143" s="32"/>
      <c r="G143" s="32"/>
      <c r="H143" s="14"/>
    </row>
    <row r="144">
      <c r="A144" s="31"/>
      <c r="B144" s="18"/>
      <c r="E144" s="32"/>
      <c r="F144" s="32"/>
      <c r="G144" s="32"/>
      <c r="H144" s="14"/>
    </row>
    <row r="145">
      <c r="A145" s="31"/>
      <c r="B145" s="18"/>
      <c r="E145" s="32"/>
      <c r="F145" s="32"/>
      <c r="G145" s="32"/>
      <c r="H145" s="14"/>
    </row>
    <row r="146">
      <c r="A146" s="31"/>
      <c r="B146" s="18"/>
      <c r="E146" s="32"/>
      <c r="F146" s="32"/>
      <c r="G146" s="32"/>
      <c r="H146" s="14"/>
    </row>
    <row r="147">
      <c r="A147" s="31"/>
      <c r="B147" s="18"/>
      <c r="E147" s="32"/>
      <c r="F147" s="32"/>
      <c r="G147" s="32"/>
      <c r="H147" s="14"/>
    </row>
    <row r="148">
      <c r="A148" s="31"/>
      <c r="B148" s="18"/>
      <c r="E148" s="32"/>
      <c r="F148" s="32"/>
      <c r="G148" s="32"/>
      <c r="H148" s="14"/>
    </row>
    <row r="149">
      <c r="A149" s="31"/>
      <c r="B149" s="18"/>
      <c r="E149" s="32"/>
      <c r="F149" s="32"/>
      <c r="G149" s="32"/>
      <c r="H149" s="14"/>
    </row>
    <row r="150">
      <c r="A150" s="31"/>
      <c r="B150" s="18"/>
      <c r="E150" s="32"/>
      <c r="F150" s="32"/>
      <c r="G150" s="32"/>
      <c r="H150" s="14"/>
    </row>
    <row r="151">
      <c r="A151" s="31"/>
      <c r="B151" s="18"/>
      <c r="E151" s="32"/>
      <c r="F151" s="32"/>
      <c r="G151" s="32"/>
      <c r="H151" s="14"/>
    </row>
    <row r="152">
      <c r="A152" s="31"/>
      <c r="B152" s="18"/>
      <c r="E152" s="32"/>
      <c r="F152" s="32"/>
      <c r="G152" s="32"/>
      <c r="H152" s="14"/>
    </row>
    <row r="153">
      <c r="A153" s="31"/>
      <c r="B153" s="18"/>
      <c r="E153" s="32"/>
      <c r="F153" s="32"/>
      <c r="G153" s="32"/>
      <c r="H153" s="14"/>
    </row>
    <row r="154">
      <c r="A154" s="31"/>
      <c r="B154" s="18"/>
      <c r="E154" s="32"/>
      <c r="F154" s="32"/>
      <c r="G154" s="32"/>
      <c r="H154" s="14"/>
    </row>
    <row r="155">
      <c r="A155" s="31"/>
      <c r="B155" s="18"/>
      <c r="E155" s="32"/>
      <c r="F155" s="32"/>
      <c r="G155" s="32"/>
      <c r="H155" s="14"/>
    </row>
    <row r="156">
      <c r="A156" s="31"/>
      <c r="B156" s="18"/>
      <c r="E156" s="32"/>
      <c r="F156" s="32"/>
      <c r="G156" s="32"/>
      <c r="H156" s="14"/>
    </row>
    <row r="157">
      <c r="A157" s="31"/>
      <c r="B157" s="18"/>
      <c r="E157" s="32"/>
      <c r="F157" s="32"/>
      <c r="G157" s="32"/>
      <c r="H157" s="14"/>
    </row>
    <row r="158">
      <c r="A158" s="31"/>
      <c r="B158" s="18"/>
      <c r="E158" s="32"/>
      <c r="F158" s="32"/>
      <c r="G158" s="32"/>
      <c r="H158" s="14"/>
    </row>
    <row r="159">
      <c r="A159" s="31"/>
      <c r="B159" s="18"/>
      <c r="E159" s="32"/>
      <c r="F159" s="32"/>
      <c r="G159" s="32"/>
      <c r="H159" s="14"/>
    </row>
    <row r="160">
      <c r="A160" s="31"/>
      <c r="B160" s="18"/>
      <c r="E160" s="32"/>
      <c r="F160" s="32"/>
      <c r="G160" s="32"/>
      <c r="H160" s="14"/>
    </row>
    <row r="161">
      <c r="A161" s="31"/>
      <c r="B161" s="18"/>
      <c r="E161" s="32"/>
      <c r="F161" s="32"/>
      <c r="G161" s="32"/>
      <c r="H161" s="14"/>
    </row>
    <row r="162">
      <c r="A162" s="31"/>
      <c r="B162" s="18"/>
      <c r="E162" s="32"/>
      <c r="F162" s="32"/>
      <c r="G162" s="32"/>
      <c r="H162" s="14"/>
    </row>
    <row r="163">
      <c r="A163" s="31"/>
      <c r="B163" s="18"/>
      <c r="E163" s="32"/>
      <c r="F163" s="32"/>
      <c r="G163" s="32"/>
      <c r="H163" s="14"/>
    </row>
    <row r="164">
      <c r="A164" s="31"/>
      <c r="B164" s="18"/>
      <c r="E164" s="32"/>
      <c r="F164" s="32"/>
      <c r="G164" s="32"/>
      <c r="H164" s="14"/>
    </row>
    <row r="165">
      <c r="A165" s="31"/>
      <c r="B165" s="18"/>
      <c r="E165" s="32"/>
      <c r="F165" s="32"/>
      <c r="G165" s="32"/>
      <c r="H165" s="14"/>
    </row>
    <row r="166">
      <c r="A166" s="31"/>
      <c r="B166" s="18"/>
      <c r="E166" s="32"/>
      <c r="F166" s="32"/>
      <c r="G166" s="32"/>
      <c r="H166" s="14"/>
    </row>
    <row r="167">
      <c r="A167" s="31"/>
      <c r="B167" s="18"/>
      <c r="E167" s="32"/>
      <c r="F167" s="32"/>
      <c r="G167" s="32"/>
      <c r="H167" s="14"/>
    </row>
    <row r="168">
      <c r="A168" s="31"/>
      <c r="B168" s="18"/>
      <c r="E168" s="32"/>
      <c r="F168" s="32"/>
      <c r="G168" s="32"/>
      <c r="H168" s="14"/>
    </row>
    <row r="169">
      <c r="A169" s="31"/>
      <c r="B169" s="18"/>
      <c r="E169" s="32"/>
      <c r="F169" s="32"/>
      <c r="G169" s="32"/>
      <c r="H169" s="14"/>
    </row>
    <row r="170">
      <c r="A170" s="31"/>
      <c r="B170" s="18"/>
      <c r="E170" s="32"/>
      <c r="F170" s="32"/>
      <c r="G170" s="32"/>
      <c r="H170" s="14"/>
    </row>
    <row r="171">
      <c r="A171" s="31"/>
      <c r="B171" s="18"/>
      <c r="E171" s="32"/>
      <c r="F171" s="32"/>
      <c r="G171" s="32"/>
      <c r="H171" s="14"/>
    </row>
    <row r="172">
      <c r="A172" s="31"/>
      <c r="B172" s="18"/>
      <c r="E172" s="32"/>
      <c r="F172" s="32"/>
      <c r="G172" s="32"/>
      <c r="H172" s="14"/>
    </row>
    <row r="173">
      <c r="A173" s="31"/>
      <c r="B173" s="18"/>
      <c r="E173" s="32"/>
      <c r="F173" s="32"/>
      <c r="G173" s="32"/>
      <c r="H173" s="14"/>
    </row>
    <row r="174">
      <c r="A174" s="31"/>
      <c r="B174" s="18"/>
      <c r="E174" s="32"/>
      <c r="F174" s="32"/>
      <c r="G174" s="32"/>
      <c r="H174" s="14"/>
    </row>
    <row r="175">
      <c r="A175" s="31"/>
      <c r="B175" s="18"/>
      <c r="E175" s="32"/>
      <c r="F175" s="32"/>
      <c r="G175" s="32"/>
      <c r="H175" s="14"/>
    </row>
    <row r="176">
      <c r="A176" s="31"/>
      <c r="B176" s="18"/>
      <c r="E176" s="32"/>
      <c r="F176" s="32"/>
      <c r="G176" s="32"/>
      <c r="H176" s="14"/>
    </row>
    <row r="177">
      <c r="A177" s="31"/>
      <c r="B177" s="18"/>
      <c r="E177" s="32"/>
      <c r="F177" s="32"/>
      <c r="G177" s="32"/>
      <c r="H177" s="14"/>
    </row>
    <row r="178">
      <c r="A178" s="31"/>
      <c r="B178" s="18"/>
      <c r="E178" s="32"/>
      <c r="F178" s="32"/>
      <c r="G178" s="32"/>
      <c r="H178" s="14"/>
    </row>
    <row r="179">
      <c r="A179" s="31"/>
      <c r="B179" s="18"/>
      <c r="E179" s="32"/>
      <c r="F179" s="32"/>
      <c r="G179" s="32"/>
      <c r="H179" s="14"/>
    </row>
    <row r="180">
      <c r="A180" s="31"/>
      <c r="B180" s="18"/>
      <c r="E180" s="32"/>
      <c r="F180" s="32"/>
      <c r="G180" s="32"/>
      <c r="H180" s="14"/>
    </row>
    <row r="181">
      <c r="A181" s="31"/>
      <c r="B181" s="18"/>
      <c r="E181" s="32"/>
      <c r="F181" s="32"/>
      <c r="G181" s="32"/>
      <c r="H181" s="14"/>
    </row>
    <row r="182">
      <c r="A182" s="31"/>
      <c r="B182" s="18"/>
      <c r="E182" s="32"/>
      <c r="F182" s="32"/>
      <c r="G182" s="32"/>
      <c r="H182" s="14"/>
    </row>
    <row r="183">
      <c r="A183" s="31"/>
      <c r="B183" s="18"/>
      <c r="E183" s="32"/>
      <c r="F183" s="32"/>
      <c r="G183" s="32"/>
      <c r="H183" s="14"/>
    </row>
    <row r="184">
      <c r="A184" s="31"/>
      <c r="B184" s="18"/>
      <c r="E184" s="32"/>
      <c r="F184" s="32"/>
      <c r="G184" s="32"/>
      <c r="H184" s="14"/>
    </row>
    <row r="185">
      <c r="A185" s="31"/>
      <c r="B185" s="18"/>
      <c r="E185" s="32"/>
      <c r="F185" s="32"/>
      <c r="G185" s="32"/>
      <c r="H185" s="14"/>
    </row>
    <row r="186">
      <c r="A186" s="31"/>
      <c r="B186" s="18"/>
      <c r="E186" s="32"/>
      <c r="F186" s="32"/>
      <c r="G186" s="32"/>
      <c r="H186" s="14"/>
    </row>
    <row r="187">
      <c r="A187" s="31"/>
      <c r="B187" s="18"/>
      <c r="E187" s="32"/>
      <c r="F187" s="32"/>
      <c r="G187" s="32"/>
      <c r="H187" s="14"/>
    </row>
    <row r="188">
      <c r="A188" s="31"/>
      <c r="B188" s="18"/>
      <c r="E188" s="32"/>
      <c r="F188" s="32"/>
      <c r="G188" s="32"/>
      <c r="H188" s="14"/>
    </row>
    <row r="189">
      <c r="A189" s="31"/>
      <c r="B189" s="18"/>
      <c r="E189" s="32"/>
      <c r="F189" s="32"/>
      <c r="G189" s="32"/>
      <c r="H189" s="14"/>
    </row>
    <row r="190">
      <c r="A190" s="31"/>
      <c r="B190" s="18"/>
      <c r="E190" s="32"/>
      <c r="F190" s="32"/>
      <c r="G190" s="32"/>
      <c r="H190" s="14"/>
    </row>
    <row r="191">
      <c r="A191" s="31"/>
      <c r="B191" s="18"/>
      <c r="E191" s="32"/>
      <c r="F191" s="32"/>
      <c r="G191" s="32"/>
      <c r="H191" s="14"/>
    </row>
    <row r="192">
      <c r="A192" s="31"/>
      <c r="B192" s="18"/>
      <c r="E192" s="32"/>
      <c r="F192" s="32"/>
      <c r="G192" s="32"/>
      <c r="H192" s="14"/>
    </row>
    <row r="193">
      <c r="A193" s="31"/>
      <c r="B193" s="18"/>
      <c r="E193" s="32"/>
      <c r="F193" s="32"/>
      <c r="G193" s="32"/>
      <c r="H193" s="14"/>
    </row>
    <row r="194">
      <c r="A194" s="31"/>
      <c r="B194" s="18"/>
      <c r="E194" s="32"/>
      <c r="F194" s="32"/>
      <c r="G194" s="32"/>
      <c r="H194" s="14"/>
    </row>
    <row r="195">
      <c r="A195" s="31"/>
      <c r="B195" s="18"/>
      <c r="E195" s="32"/>
      <c r="F195" s="32"/>
      <c r="G195" s="32"/>
      <c r="H195" s="14"/>
    </row>
    <row r="196">
      <c r="A196" s="31"/>
      <c r="B196" s="18"/>
      <c r="E196" s="32"/>
      <c r="F196" s="32"/>
      <c r="G196" s="32"/>
      <c r="H196" s="14"/>
    </row>
    <row r="197">
      <c r="A197" s="31"/>
      <c r="B197" s="18"/>
      <c r="E197" s="32"/>
      <c r="F197" s="32"/>
      <c r="G197" s="32"/>
      <c r="H197" s="14"/>
    </row>
    <row r="198">
      <c r="A198" s="31"/>
      <c r="B198" s="18"/>
      <c r="E198" s="32"/>
      <c r="F198" s="32"/>
      <c r="G198" s="32"/>
      <c r="H198" s="14"/>
    </row>
    <row r="199">
      <c r="A199" s="31"/>
      <c r="B199" s="18"/>
      <c r="E199" s="32"/>
      <c r="F199" s="32"/>
      <c r="G199" s="32"/>
      <c r="H199" s="14"/>
    </row>
    <row r="200">
      <c r="A200" s="31"/>
      <c r="B200" s="18"/>
      <c r="E200" s="32"/>
      <c r="F200" s="32"/>
      <c r="G200" s="32"/>
      <c r="H200" s="14"/>
    </row>
    <row r="201">
      <c r="A201" s="31"/>
      <c r="B201" s="18"/>
      <c r="E201" s="32"/>
      <c r="F201" s="32"/>
      <c r="G201" s="32"/>
      <c r="H201" s="14"/>
    </row>
    <row r="202">
      <c r="A202" s="31"/>
      <c r="B202" s="18"/>
      <c r="E202" s="32"/>
      <c r="F202" s="32"/>
      <c r="G202" s="32"/>
      <c r="H202" s="14"/>
    </row>
    <row r="203">
      <c r="A203" s="31"/>
      <c r="B203" s="18"/>
      <c r="E203" s="32"/>
      <c r="F203" s="32"/>
      <c r="G203" s="32"/>
      <c r="H203" s="14"/>
    </row>
    <row r="204">
      <c r="A204" s="31"/>
      <c r="B204" s="18"/>
      <c r="E204" s="32"/>
      <c r="F204" s="32"/>
      <c r="G204" s="32"/>
      <c r="H204" s="14"/>
    </row>
    <row r="205">
      <c r="A205" s="31"/>
      <c r="B205" s="18"/>
      <c r="E205" s="32"/>
      <c r="F205" s="32"/>
      <c r="G205" s="32"/>
      <c r="H205" s="14"/>
    </row>
    <row r="206">
      <c r="A206" s="31"/>
      <c r="B206" s="18"/>
      <c r="E206" s="32"/>
      <c r="F206" s="32"/>
      <c r="G206" s="32"/>
      <c r="H206" s="14"/>
    </row>
    <row r="207">
      <c r="A207" s="31"/>
      <c r="B207" s="18"/>
      <c r="E207" s="32"/>
      <c r="F207" s="32"/>
      <c r="G207" s="32"/>
      <c r="H207" s="14"/>
    </row>
    <row r="208">
      <c r="A208" s="31"/>
      <c r="B208" s="18"/>
      <c r="E208" s="32"/>
      <c r="F208" s="32"/>
      <c r="G208" s="32"/>
      <c r="H208" s="14"/>
    </row>
    <row r="209">
      <c r="A209" s="31"/>
      <c r="B209" s="18"/>
      <c r="E209" s="32"/>
      <c r="F209" s="32"/>
      <c r="G209" s="32"/>
      <c r="H209" s="14"/>
    </row>
    <row r="210">
      <c r="A210" s="31"/>
      <c r="B210" s="18"/>
      <c r="E210" s="32"/>
      <c r="F210" s="32"/>
      <c r="G210" s="32"/>
      <c r="H210" s="14"/>
    </row>
    <row r="211">
      <c r="A211" s="31"/>
      <c r="B211" s="18"/>
      <c r="E211" s="32"/>
      <c r="F211" s="32"/>
      <c r="G211" s="32"/>
      <c r="H211" s="14"/>
    </row>
    <row r="212">
      <c r="A212" s="31"/>
      <c r="B212" s="18"/>
      <c r="E212" s="32"/>
      <c r="F212" s="32"/>
      <c r="G212" s="32"/>
      <c r="H212" s="14"/>
    </row>
    <row r="213">
      <c r="A213" s="31"/>
      <c r="B213" s="18"/>
      <c r="E213" s="32"/>
      <c r="F213" s="32"/>
      <c r="G213" s="32"/>
      <c r="H213" s="14"/>
    </row>
    <row r="214">
      <c r="A214" s="31"/>
      <c r="B214" s="18"/>
      <c r="E214" s="32"/>
      <c r="F214" s="32"/>
      <c r="G214" s="32"/>
      <c r="H214" s="14"/>
    </row>
    <row r="215">
      <c r="A215" s="31"/>
      <c r="B215" s="18"/>
      <c r="E215" s="32"/>
      <c r="F215" s="32"/>
      <c r="G215" s="32"/>
      <c r="H215" s="14"/>
    </row>
    <row r="216">
      <c r="A216" s="31"/>
      <c r="B216" s="18"/>
      <c r="E216" s="32"/>
      <c r="F216" s="32"/>
      <c r="G216" s="32"/>
      <c r="H216" s="14"/>
    </row>
    <row r="217">
      <c r="A217" s="31"/>
      <c r="B217" s="18"/>
      <c r="E217" s="32"/>
      <c r="F217" s="32"/>
      <c r="G217" s="32"/>
      <c r="H217" s="14"/>
    </row>
    <row r="218">
      <c r="A218" s="31"/>
      <c r="B218" s="18"/>
      <c r="E218" s="32"/>
      <c r="F218" s="32"/>
      <c r="G218" s="32"/>
      <c r="H218" s="14"/>
    </row>
    <row r="219">
      <c r="A219" s="31"/>
      <c r="B219" s="18"/>
      <c r="E219" s="32"/>
      <c r="F219" s="32"/>
      <c r="G219" s="32"/>
      <c r="H219" s="14"/>
    </row>
    <row r="220">
      <c r="A220" s="31"/>
      <c r="B220" s="18"/>
      <c r="E220" s="32"/>
      <c r="F220" s="32"/>
      <c r="G220" s="32"/>
      <c r="H220" s="14"/>
    </row>
    <row r="221">
      <c r="A221" s="31"/>
      <c r="B221" s="18"/>
      <c r="E221" s="32"/>
      <c r="F221" s="32"/>
      <c r="G221" s="32"/>
      <c r="H221" s="14"/>
    </row>
    <row r="222">
      <c r="A222" s="31"/>
      <c r="B222" s="18"/>
      <c r="E222" s="32"/>
      <c r="F222" s="32"/>
      <c r="G222" s="32"/>
      <c r="H222" s="14"/>
    </row>
    <row r="223">
      <c r="A223" s="31"/>
      <c r="B223" s="18"/>
      <c r="E223" s="32"/>
      <c r="F223" s="32"/>
      <c r="G223" s="32"/>
      <c r="H223" s="14"/>
    </row>
    <row r="224">
      <c r="A224" s="31"/>
      <c r="B224" s="18"/>
      <c r="E224" s="32"/>
      <c r="F224" s="32"/>
      <c r="G224" s="32"/>
      <c r="H224" s="14"/>
    </row>
    <row r="225">
      <c r="A225" s="31"/>
      <c r="B225" s="18"/>
      <c r="E225" s="32"/>
      <c r="F225" s="32"/>
      <c r="G225" s="32"/>
      <c r="H225" s="14"/>
    </row>
    <row r="226">
      <c r="A226" s="31"/>
      <c r="B226" s="18"/>
      <c r="E226" s="32"/>
      <c r="F226" s="32"/>
      <c r="G226" s="32"/>
      <c r="H226" s="14"/>
    </row>
    <row r="227">
      <c r="A227" s="31"/>
      <c r="B227" s="18"/>
      <c r="E227" s="32"/>
      <c r="F227" s="32"/>
      <c r="G227" s="32"/>
      <c r="H227" s="14"/>
    </row>
    <row r="228">
      <c r="A228" s="31"/>
      <c r="B228" s="18"/>
      <c r="E228" s="32"/>
      <c r="F228" s="32"/>
      <c r="G228" s="32"/>
      <c r="H228" s="14"/>
    </row>
    <row r="229">
      <c r="A229" s="31"/>
      <c r="B229" s="18"/>
      <c r="E229" s="32"/>
      <c r="F229" s="32"/>
      <c r="G229" s="32"/>
      <c r="H229" s="14"/>
    </row>
    <row r="230">
      <c r="A230" s="31"/>
      <c r="B230" s="18"/>
      <c r="E230" s="32"/>
      <c r="F230" s="32"/>
      <c r="G230" s="32"/>
      <c r="H230" s="14"/>
    </row>
    <row r="231">
      <c r="A231" s="31"/>
      <c r="B231" s="18"/>
      <c r="E231" s="32"/>
      <c r="F231" s="32"/>
      <c r="G231" s="32"/>
      <c r="H231" s="14"/>
    </row>
    <row r="232">
      <c r="A232" s="31"/>
      <c r="B232" s="18"/>
      <c r="E232" s="32"/>
      <c r="F232" s="32"/>
      <c r="G232" s="32"/>
      <c r="H232" s="14"/>
    </row>
    <row r="233">
      <c r="A233" s="31"/>
      <c r="B233" s="18"/>
      <c r="E233" s="32"/>
      <c r="F233" s="32"/>
      <c r="G233" s="32"/>
      <c r="H233" s="14"/>
    </row>
    <row r="234">
      <c r="A234" s="31"/>
      <c r="B234" s="18"/>
      <c r="E234" s="32"/>
      <c r="F234" s="32"/>
      <c r="G234" s="32"/>
      <c r="H234" s="14"/>
    </row>
    <row r="235">
      <c r="A235" s="31"/>
      <c r="B235" s="18"/>
      <c r="E235" s="32"/>
      <c r="F235" s="32"/>
      <c r="G235" s="32"/>
      <c r="H235" s="14"/>
    </row>
    <row r="236">
      <c r="A236" s="31"/>
      <c r="B236" s="18"/>
      <c r="E236" s="32"/>
      <c r="F236" s="32"/>
      <c r="G236" s="32"/>
      <c r="H236" s="14"/>
    </row>
    <row r="237">
      <c r="A237" s="31"/>
      <c r="B237" s="18"/>
      <c r="E237" s="32"/>
      <c r="F237" s="32"/>
      <c r="G237" s="32"/>
      <c r="H237" s="14"/>
    </row>
    <row r="238">
      <c r="A238" s="31"/>
      <c r="B238" s="18"/>
      <c r="E238" s="32"/>
      <c r="F238" s="32"/>
      <c r="G238" s="32"/>
      <c r="H238" s="14"/>
    </row>
    <row r="239">
      <c r="A239" s="31"/>
      <c r="B239" s="18"/>
      <c r="E239" s="32"/>
      <c r="F239" s="32"/>
      <c r="G239" s="32"/>
      <c r="H239" s="14"/>
    </row>
    <row r="240">
      <c r="A240" s="31"/>
      <c r="B240" s="18"/>
      <c r="E240" s="32"/>
      <c r="F240" s="32"/>
      <c r="G240" s="32"/>
      <c r="H240" s="14"/>
    </row>
    <row r="241">
      <c r="A241" s="31"/>
      <c r="B241" s="18"/>
      <c r="E241" s="32"/>
      <c r="F241" s="32"/>
      <c r="G241" s="32"/>
      <c r="H241" s="14"/>
    </row>
    <row r="242">
      <c r="A242" s="31"/>
      <c r="B242" s="18"/>
      <c r="E242" s="32"/>
      <c r="F242" s="32"/>
      <c r="G242" s="32"/>
      <c r="H242" s="14"/>
    </row>
    <row r="243">
      <c r="A243" s="31"/>
      <c r="B243" s="18"/>
      <c r="E243" s="32"/>
      <c r="F243" s="32"/>
      <c r="G243" s="32"/>
      <c r="H243" s="14"/>
    </row>
    <row r="244">
      <c r="A244" s="31"/>
      <c r="B244" s="18"/>
      <c r="E244" s="32"/>
      <c r="F244" s="32"/>
      <c r="G244" s="32"/>
      <c r="H244" s="14"/>
    </row>
    <row r="245">
      <c r="A245" s="31"/>
      <c r="B245" s="18"/>
      <c r="E245" s="32"/>
      <c r="F245" s="32"/>
      <c r="G245" s="32"/>
      <c r="H245" s="14"/>
    </row>
    <row r="246">
      <c r="A246" s="31"/>
      <c r="B246" s="18"/>
      <c r="E246" s="32"/>
      <c r="F246" s="32"/>
      <c r="G246" s="32"/>
      <c r="H246" s="14"/>
    </row>
    <row r="247">
      <c r="A247" s="31"/>
      <c r="B247" s="18"/>
      <c r="E247" s="32"/>
      <c r="F247" s="32"/>
      <c r="G247" s="32"/>
      <c r="H247" s="14"/>
    </row>
    <row r="248">
      <c r="A248" s="31"/>
      <c r="B248" s="18"/>
      <c r="E248" s="32"/>
      <c r="F248" s="32"/>
      <c r="G248" s="32"/>
      <c r="H248" s="14"/>
    </row>
    <row r="249">
      <c r="A249" s="31"/>
      <c r="B249" s="18"/>
      <c r="E249" s="32"/>
      <c r="F249" s="32"/>
      <c r="G249" s="32"/>
      <c r="H249" s="14"/>
    </row>
    <row r="250">
      <c r="A250" s="31"/>
      <c r="B250" s="18"/>
      <c r="E250" s="32"/>
      <c r="F250" s="32"/>
      <c r="G250" s="32"/>
      <c r="H250" s="14"/>
    </row>
    <row r="251">
      <c r="A251" s="31"/>
      <c r="B251" s="18"/>
      <c r="E251" s="32"/>
      <c r="F251" s="32"/>
      <c r="G251" s="32"/>
      <c r="H251" s="14"/>
    </row>
    <row r="252">
      <c r="A252" s="31"/>
      <c r="B252" s="18"/>
      <c r="E252" s="32"/>
      <c r="F252" s="32"/>
      <c r="G252" s="32"/>
      <c r="H252" s="14"/>
    </row>
    <row r="253">
      <c r="A253" s="31"/>
      <c r="B253" s="18"/>
      <c r="E253" s="32"/>
      <c r="F253" s="32"/>
      <c r="G253" s="32"/>
      <c r="H253" s="14"/>
    </row>
    <row r="254">
      <c r="A254" s="31"/>
      <c r="B254" s="18"/>
      <c r="E254" s="32"/>
      <c r="F254" s="32"/>
      <c r="G254" s="32"/>
      <c r="H254" s="14"/>
    </row>
    <row r="255">
      <c r="A255" s="31"/>
      <c r="B255" s="18"/>
      <c r="E255" s="32"/>
      <c r="F255" s="32"/>
      <c r="G255" s="32"/>
      <c r="H255" s="14"/>
    </row>
    <row r="256">
      <c r="A256" s="31"/>
      <c r="B256" s="18"/>
      <c r="E256" s="32"/>
      <c r="F256" s="32"/>
      <c r="G256" s="32"/>
      <c r="H256" s="14"/>
    </row>
    <row r="257">
      <c r="A257" s="31"/>
      <c r="B257" s="18"/>
      <c r="E257" s="32"/>
      <c r="F257" s="32"/>
      <c r="G257" s="32"/>
      <c r="H257" s="14"/>
    </row>
    <row r="258">
      <c r="A258" s="31"/>
      <c r="B258" s="18"/>
      <c r="E258" s="32"/>
      <c r="F258" s="32"/>
      <c r="G258" s="32"/>
      <c r="H258" s="14"/>
    </row>
    <row r="259">
      <c r="A259" s="31"/>
      <c r="B259" s="18"/>
      <c r="E259" s="32"/>
      <c r="F259" s="32"/>
      <c r="G259" s="32"/>
      <c r="H259" s="14"/>
    </row>
    <row r="260">
      <c r="A260" s="31"/>
      <c r="B260" s="18"/>
      <c r="E260" s="32"/>
      <c r="F260" s="32"/>
      <c r="G260" s="32"/>
      <c r="H260" s="14"/>
    </row>
    <row r="261">
      <c r="A261" s="31"/>
      <c r="B261" s="18"/>
      <c r="E261" s="32"/>
      <c r="F261" s="32"/>
      <c r="G261" s="32"/>
      <c r="H261" s="14"/>
    </row>
    <row r="262">
      <c r="A262" s="31"/>
      <c r="B262" s="18"/>
      <c r="E262" s="32"/>
      <c r="F262" s="32"/>
      <c r="G262" s="32"/>
      <c r="H262" s="14"/>
    </row>
    <row r="263">
      <c r="A263" s="31"/>
      <c r="B263" s="18"/>
      <c r="E263" s="32"/>
      <c r="F263" s="32"/>
      <c r="G263" s="32"/>
      <c r="H263" s="14"/>
    </row>
    <row r="264">
      <c r="A264" s="31"/>
      <c r="B264" s="18"/>
      <c r="E264" s="32"/>
      <c r="F264" s="32"/>
      <c r="G264" s="32"/>
      <c r="H264" s="14"/>
    </row>
    <row r="265">
      <c r="A265" s="31"/>
      <c r="B265" s="18"/>
      <c r="E265" s="32"/>
      <c r="F265" s="32"/>
      <c r="G265" s="32"/>
      <c r="H265" s="14"/>
    </row>
    <row r="266">
      <c r="A266" s="31"/>
      <c r="B266" s="18"/>
      <c r="E266" s="32"/>
      <c r="F266" s="32"/>
      <c r="G266" s="32"/>
      <c r="H266" s="14"/>
    </row>
    <row r="267">
      <c r="A267" s="31"/>
      <c r="B267" s="18"/>
      <c r="E267" s="32"/>
      <c r="F267" s="32"/>
      <c r="G267" s="32"/>
      <c r="H267" s="14"/>
    </row>
    <row r="268">
      <c r="A268" s="31"/>
      <c r="B268" s="18"/>
      <c r="E268" s="32"/>
      <c r="F268" s="32"/>
      <c r="G268" s="32"/>
      <c r="H268" s="14"/>
    </row>
    <row r="269">
      <c r="A269" s="31"/>
      <c r="B269" s="18"/>
      <c r="E269" s="32"/>
      <c r="F269" s="32"/>
      <c r="G269" s="32"/>
      <c r="H269" s="14"/>
    </row>
    <row r="270">
      <c r="A270" s="31"/>
      <c r="B270" s="18"/>
      <c r="E270" s="32"/>
      <c r="F270" s="32"/>
      <c r="G270" s="32"/>
      <c r="H270" s="14"/>
    </row>
    <row r="271">
      <c r="A271" s="31"/>
      <c r="B271" s="18"/>
      <c r="E271" s="32"/>
      <c r="F271" s="32"/>
      <c r="G271" s="32"/>
      <c r="H271" s="14"/>
    </row>
    <row r="272">
      <c r="A272" s="31"/>
      <c r="B272" s="18"/>
      <c r="E272" s="32"/>
      <c r="F272" s="32"/>
      <c r="G272" s="32"/>
      <c r="H272" s="14"/>
    </row>
    <row r="273">
      <c r="A273" s="31"/>
      <c r="B273" s="18"/>
      <c r="E273" s="32"/>
      <c r="F273" s="32"/>
      <c r="G273" s="32"/>
      <c r="H273" s="14"/>
    </row>
    <row r="274">
      <c r="A274" s="31"/>
      <c r="B274" s="18"/>
      <c r="E274" s="32"/>
      <c r="F274" s="32"/>
      <c r="G274" s="32"/>
      <c r="H274" s="14"/>
    </row>
    <row r="275">
      <c r="A275" s="31"/>
      <c r="B275" s="18"/>
      <c r="E275" s="32"/>
      <c r="F275" s="32"/>
      <c r="G275" s="32"/>
      <c r="H275" s="14"/>
    </row>
    <row r="276">
      <c r="A276" s="31"/>
      <c r="B276" s="18"/>
      <c r="E276" s="32"/>
      <c r="F276" s="32"/>
      <c r="G276" s="32"/>
      <c r="H276" s="14"/>
    </row>
    <row r="277">
      <c r="A277" s="31"/>
      <c r="B277" s="18"/>
      <c r="E277" s="32"/>
      <c r="F277" s="32"/>
      <c r="G277" s="32"/>
      <c r="H277" s="14"/>
    </row>
    <row r="278">
      <c r="A278" s="31"/>
      <c r="B278" s="18"/>
      <c r="E278" s="32"/>
      <c r="F278" s="32"/>
      <c r="G278" s="32"/>
      <c r="H278" s="14"/>
    </row>
    <row r="279">
      <c r="A279" s="31"/>
      <c r="B279" s="18"/>
      <c r="E279" s="32"/>
      <c r="F279" s="32"/>
      <c r="G279" s="32"/>
      <c r="H279" s="14"/>
    </row>
    <row r="280">
      <c r="A280" s="31"/>
      <c r="B280" s="18"/>
      <c r="E280" s="32"/>
      <c r="F280" s="32"/>
      <c r="G280" s="32"/>
      <c r="H280" s="14"/>
    </row>
    <row r="281">
      <c r="A281" s="31"/>
      <c r="B281" s="18"/>
      <c r="E281" s="32"/>
      <c r="F281" s="32"/>
      <c r="G281" s="32"/>
      <c r="H281" s="14"/>
    </row>
    <row r="282">
      <c r="A282" s="31"/>
      <c r="B282" s="18"/>
      <c r="E282" s="32"/>
      <c r="F282" s="32"/>
      <c r="G282" s="32"/>
      <c r="H282" s="14"/>
    </row>
    <row r="283">
      <c r="A283" s="31"/>
      <c r="B283" s="18"/>
      <c r="E283" s="32"/>
      <c r="F283" s="32"/>
      <c r="G283" s="32"/>
      <c r="H283" s="14"/>
    </row>
    <row r="284">
      <c r="A284" s="31"/>
      <c r="B284" s="18"/>
      <c r="E284" s="32"/>
      <c r="F284" s="32"/>
      <c r="G284" s="32"/>
      <c r="H284" s="14"/>
    </row>
    <row r="285">
      <c r="A285" s="31"/>
      <c r="B285" s="18"/>
      <c r="E285" s="32"/>
      <c r="F285" s="32"/>
      <c r="G285" s="32"/>
      <c r="H285" s="14"/>
    </row>
    <row r="286">
      <c r="A286" s="31"/>
      <c r="B286" s="18"/>
      <c r="E286" s="32"/>
      <c r="F286" s="32"/>
      <c r="G286" s="32"/>
      <c r="H286" s="14"/>
    </row>
    <row r="287">
      <c r="A287" s="31"/>
      <c r="B287" s="18"/>
      <c r="E287" s="32"/>
      <c r="F287" s="32"/>
      <c r="G287" s="32"/>
      <c r="H287" s="14"/>
    </row>
    <row r="288">
      <c r="A288" s="31"/>
      <c r="B288" s="18"/>
      <c r="E288" s="32"/>
      <c r="F288" s="32"/>
      <c r="G288" s="32"/>
      <c r="H288" s="14"/>
    </row>
    <row r="289">
      <c r="A289" s="31"/>
      <c r="B289" s="18"/>
      <c r="E289" s="32"/>
      <c r="F289" s="32"/>
      <c r="G289" s="32"/>
      <c r="H289" s="14"/>
    </row>
    <row r="290">
      <c r="A290" s="31"/>
      <c r="B290" s="18"/>
      <c r="E290" s="32"/>
      <c r="F290" s="32"/>
      <c r="G290" s="32"/>
      <c r="H290" s="14"/>
    </row>
    <row r="291">
      <c r="A291" s="31"/>
      <c r="B291" s="18"/>
      <c r="E291" s="32"/>
      <c r="F291" s="32"/>
      <c r="G291" s="32"/>
      <c r="H291" s="14"/>
    </row>
    <row r="292">
      <c r="A292" s="31"/>
      <c r="B292" s="18"/>
      <c r="E292" s="32"/>
      <c r="F292" s="32"/>
      <c r="G292" s="32"/>
      <c r="H292" s="14"/>
    </row>
    <row r="293">
      <c r="A293" s="31"/>
      <c r="B293" s="18"/>
      <c r="E293" s="32"/>
      <c r="F293" s="32"/>
      <c r="G293" s="32"/>
      <c r="H293" s="14"/>
    </row>
    <row r="294">
      <c r="A294" s="31"/>
      <c r="B294" s="18"/>
      <c r="E294" s="32"/>
      <c r="F294" s="32"/>
      <c r="G294" s="32"/>
      <c r="H294" s="14"/>
    </row>
    <row r="295">
      <c r="A295" s="31"/>
      <c r="B295" s="18"/>
      <c r="E295" s="32"/>
      <c r="F295" s="32"/>
      <c r="G295" s="32"/>
      <c r="H295" s="14"/>
    </row>
    <row r="296">
      <c r="A296" s="31"/>
      <c r="B296" s="18"/>
      <c r="E296" s="32"/>
      <c r="F296" s="32"/>
      <c r="G296" s="32"/>
      <c r="H296" s="14"/>
    </row>
    <row r="297">
      <c r="A297" s="31"/>
      <c r="B297" s="18"/>
      <c r="E297" s="32"/>
      <c r="F297" s="32"/>
      <c r="G297" s="32"/>
      <c r="H297" s="14"/>
    </row>
    <row r="298">
      <c r="A298" s="31"/>
      <c r="B298" s="18"/>
      <c r="E298" s="32"/>
      <c r="F298" s="32"/>
      <c r="G298" s="32"/>
      <c r="H298" s="14"/>
    </row>
    <row r="299">
      <c r="A299" s="31"/>
      <c r="B299" s="18"/>
      <c r="E299" s="32"/>
      <c r="F299" s="32"/>
      <c r="G299" s="32"/>
      <c r="H299" s="14"/>
    </row>
    <row r="300">
      <c r="A300" s="31"/>
      <c r="B300" s="18"/>
      <c r="E300" s="32"/>
      <c r="F300" s="32"/>
      <c r="G300" s="32"/>
      <c r="H300" s="14"/>
    </row>
    <row r="301">
      <c r="A301" s="31"/>
      <c r="B301" s="18"/>
      <c r="E301" s="32"/>
      <c r="F301" s="32"/>
      <c r="G301" s="32"/>
      <c r="H301" s="14"/>
    </row>
    <row r="302">
      <c r="A302" s="31"/>
      <c r="B302" s="18"/>
      <c r="E302" s="32"/>
      <c r="F302" s="32"/>
      <c r="G302" s="32"/>
      <c r="H302" s="14"/>
    </row>
    <row r="303">
      <c r="A303" s="31"/>
      <c r="B303" s="18"/>
      <c r="E303" s="32"/>
      <c r="F303" s="32"/>
      <c r="G303" s="32"/>
      <c r="H303" s="14"/>
    </row>
    <row r="304">
      <c r="A304" s="31"/>
      <c r="B304" s="18"/>
      <c r="E304" s="32"/>
      <c r="F304" s="32"/>
      <c r="G304" s="32"/>
      <c r="H304" s="14"/>
    </row>
    <row r="305">
      <c r="A305" s="31"/>
      <c r="B305" s="18"/>
      <c r="E305" s="32"/>
      <c r="F305" s="32"/>
      <c r="G305" s="32"/>
      <c r="H305" s="14"/>
    </row>
    <row r="306">
      <c r="A306" s="31"/>
      <c r="B306" s="18"/>
      <c r="E306" s="32"/>
      <c r="F306" s="32"/>
      <c r="G306" s="32"/>
      <c r="H306" s="14"/>
    </row>
    <row r="307">
      <c r="A307" s="31"/>
      <c r="B307" s="18"/>
      <c r="E307" s="32"/>
      <c r="F307" s="32"/>
      <c r="G307" s="32"/>
      <c r="H307" s="14"/>
    </row>
    <row r="308">
      <c r="A308" s="31"/>
      <c r="B308" s="18"/>
      <c r="E308" s="32"/>
      <c r="F308" s="32"/>
      <c r="G308" s="32"/>
      <c r="H308" s="14"/>
    </row>
    <row r="309">
      <c r="A309" s="31"/>
      <c r="B309" s="18"/>
      <c r="E309" s="32"/>
      <c r="F309" s="32"/>
      <c r="G309" s="32"/>
      <c r="H309" s="14"/>
    </row>
    <row r="310">
      <c r="A310" s="31"/>
      <c r="B310" s="18"/>
      <c r="E310" s="32"/>
      <c r="F310" s="32"/>
      <c r="G310" s="32"/>
      <c r="H310" s="14"/>
    </row>
    <row r="311">
      <c r="A311" s="31"/>
      <c r="B311" s="18"/>
      <c r="E311" s="32"/>
      <c r="F311" s="32"/>
      <c r="G311" s="32"/>
      <c r="H311" s="14"/>
    </row>
    <row r="312">
      <c r="A312" s="31"/>
      <c r="B312" s="18"/>
      <c r="E312" s="32"/>
      <c r="F312" s="32"/>
      <c r="G312" s="32"/>
      <c r="H312" s="14"/>
    </row>
    <row r="313">
      <c r="A313" s="31"/>
      <c r="B313" s="18"/>
      <c r="E313" s="32"/>
      <c r="F313" s="32"/>
      <c r="G313" s="32"/>
      <c r="H313" s="14"/>
    </row>
    <row r="314">
      <c r="A314" s="31"/>
      <c r="B314" s="18"/>
      <c r="E314" s="32"/>
      <c r="F314" s="32"/>
      <c r="G314" s="32"/>
      <c r="H314" s="14"/>
    </row>
    <row r="315">
      <c r="A315" s="31"/>
      <c r="B315" s="18"/>
      <c r="E315" s="32"/>
      <c r="F315" s="32"/>
      <c r="G315" s="32"/>
      <c r="H315" s="14"/>
    </row>
    <row r="316">
      <c r="A316" s="31"/>
      <c r="B316" s="18"/>
      <c r="E316" s="32"/>
      <c r="F316" s="32"/>
      <c r="G316" s="32"/>
      <c r="H316" s="14"/>
    </row>
    <row r="317">
      <c r="A317" s="31"/>
      <c r="B317" s="18"/>
      <c r="E317" s="32"/>
      <c r="F317" s="32"/>
      <c r="G317" s="32"/>
      <c r="H317" s="14"/>
    </row>
    <row r="318">
      <c r="A318" s="31"/>
      <c r="B318" s="18"/>
      <c r="E318" s="32"/>
      <c r="F318" s="32"/>
      <c r="G318" s="32"/>
      <c r="H318" s="14"/>
    </row>
    <row r="319">
      <c r="A319" s="31"/>
      <c r="B319" s="18"/>
      <c r="E319" s="32"/>
      <c r="F319" s="32"/>
      <c r="G319" s="32"/>
      <c r="H319" s="14"/>
    </row>
    <row r="320">
      <c r="A320" s="31"/>
      <c r="B320" s="18"/>
      <c r="E320" s="32"/>
      <c r="F320" s="32"/>
      <c r="G320" s="32"/>
      <c r="H320" s="14"/>
    </row>
    <row r="321">
      <c r="A321" s="31"/>
      <c r="B321" s="18"/>
      <c r="E321" s="32"/>
      <c r="F321" s="32"/>
      <c r="G321" s="32"/>
      <c r="H321" s="14"/>
    </row>
    <row r="322">
      <c r="A322" s="31"/>
      <c r="B322" s="18"/>
      <c r="E322" s="32"/>
      <c r="F322" s="32"/>
      <c r="G322" s="32"/>
      <c r="H322" s="14"/>
    </row>
    <row r="323">
      <c r="A323" s="31"/>
      <c r="B323" s="18"/>
      <c r="E323" s="32"/>
      <c r="F323" s="32"/>
      <c r="G323" s="32"/>
      <c r="H323" s="14"/>
    </row>
    <row r="324">
      <c r="A324" s="31"/>
      <c r="B324" s="18"/>
      <c r="E324" s="32"/>
      <c r="F324" s="32"/>
      <c r="G324" s="32"/>
      <c r="H324" s="14"/>
    </row>
    <row r="325">
      <c r="A325" s="31"/>
      <c r="B325" s="18"/>
      <c r="E325" s="32"/>
      <c r="F325" s="32"/>
      <c r="G325" s="32"/>
      <c r="H325" s="14"/>
    </row>
    <row r="326">
      <c r="A326" s="31"/>
      <c r="B326" s="18"/>
      <c r="E326" s="32"/>
      <c r="F326" s="32"/>
      <c r="G326" s="32"/>
      <c r="H326" s="14"/>
    </row>
    <row r="327">
      <c r="A327" s="31"/>
      <c r="B327" s="18"/>
      <c r="E327" s="32"/>
      <c r="F327" s="32"/>
      <c r="G327" s="32"/>
      <c r="H327" s="14"/>
    </row>
    <row r="328">
      <c r="A328" s="31"/>
      <c r="B328" s="18"/>
      <c r="E328" s="32"/>
      <c r="F328" s="32"/>
      <c r="G328" s="32"/>
      <c r="H328" s="14"/>
    </row>
    <row r="329">
      <c r="A329" s="31"/>
      <c r="B329" s="18"/>
      <c r="E329" s="32"/>
      <c r="F329" s="32"/>
      <c r="G329" s="32"/>
      <c r="H329" s="14"/>
    </row>
    <row r="330">
      <c r="A330" s="31"/>
      <c r="B330" s="18"/>
      <c r="E330" s="32"/>
      <c r="F330" s="32"/>
      <c r="G330" s="32"/>
      <c r="H330" s="14"/>
    </row>
    <row r="331">
      <c r="A331" s="31"/>
      <c r="B331" s="18"/>
      <c r="E331" s="32"/>
      <c r="F331" s="32"/>
      <c r="G331" s="32"/>
      <c r="H331" s="14"/>
    </row>
    <row r="332">
      <c r="A332" s="31"/>
      <c r="B332" s="18"/>
      <c r="E332" s="32"/>
      <c r="F332" s="32"/>
      <c r="G332" s="32"/>
      <c r="H332" s="14"/>
    </row>
    <row r="333">
      <c r="A333" s="31"/>
      <c r="B333" s="18"/>
      <c r="E333" s="32"/>
      <c r="F333" s="32"/>
      <c r="G333" s="32"/>
      <c r="H333" s="14"/>
    </row>
    <row r="334">
      <c r="A334" s="31"/>
      <c r="B334" s="18"/>
      <c r="E334" s="32"/>
      <c r="F334" s="32"/>
      <c r="G334" s="32"/>
      <c r="H334" s="14"/>
    </row>
    <row r="335">
      <c r="A335" s="31"/>
      <c r="B335" s="18"/>
      <c r="E335" s="32"/>
      <c r="F335" s="32"/>
      <c r="G335" s="32"/>
      <c r="H335" s="14"/>
    </row>
    <row r="336">
      <c r="A336" s="31"/>
      <c r="B336" s="18"/>
      <c r="E336" s="32"/>
      <c r="F336" s="32"/>
      <c r="G336" s="32"/>
      <c r="H336" s="14"/>
    </row>
    <row r="337">
      <c r="A337" s="31"/>
      <c r="B337" s="18"/>
      <c r="E337" s="32"/>
      <c r="F337" s="32"/>
      <c r="G337" s="32"/>
      <c r="H337" s="14"/>
    </row>
    <row r="338">
      <c r="A338" s="31"/>
      <c r="B338" s="18"/>
      <c r="E338" s="32"/>
      <c r="F338" s="32"/>
      <c r="G338" s="32"/>
      <c r="H338" s="14"/>
    </row>
    <row r="339">
      <c r="A339" s="31"/>
      <c r="B339" s="18"/>
      <c r="E339" s="32"/>
      <c r="F339" s="32"/>
      <c r="G339" s="32"/>
      <c r="H339" s="14"/>
    </row>
    <row r="340">
      <c r="A340" s="31"/>
      <c r="B340" s="18"/>
      <c r="E340" s="32"/>
      <c r="F340" s="32"/>
      <c r="G340" s="32"/>
      <c r="H340" s="14"/>
    </row>
    <row r="341">
      <c r="A341" s="31"/>
      <c r="B341" s="18"/>
      <c r="E341" s="32"/>
      <c r="F341" s="32"/>
      <c r="G341" s="32"/>
      <c r="H341" s="14"/>
    </row>
    <row r="342">
      <c r="A342" s="31"/>
      <c r="B342" s="18"/>
      <c r="E342" s="32"/>
      <c r="F342" s="32"/>
      <c r="G342" s="32"/>
      <c r="H342" s="14"/>
    </row>
    <row r="343">
      <c r="A343" s="31"/>
      <c r="B343" s="18"/>
      <c r="E343" s="32"/>
      <c r="F343" s="32"/>
      <c r="G343" s="32"/>
      <c r="H343" s="14"/>
    </row>
    <row r="344">
      <c r="A344" s="31"/>
      <c r="B344" s="18"/>
      <c r="E344" s="32"/>
      <c r="F344" s="32"/>
      <c r="G344" s="32"/>
      <c r="H344" s="14"/>
    </row>
    <row r="345">
      <c r="A345" s="31"/>
      <c r="B345" s="18"/>
      <c r="E345" s="32"/>
      <c r="F345" s="32"/>
      <c r="G345" s="32"/>
      <c r="H345" s="14"/>
    </row>
    <row r="346">
      <c r="A346" s="31"/>
      <c r="B346" s="18"/>
      <c r="E346" s="32"/>
      <c r="F346" s="32"/>
      <c r="G346" s="32"/>
      <c r="H346" s="14"/>
    </row>
    <row r="347">
      <c r="A347" s="31"/>
      <c r="B347" s="18"/>
      <c r="E347" s="32"/>
      <c r="F347" s="32"/>
      <c r="G347" s="32"/>
      <c r="H347" s="14"/>
    </row>
    <row r="348">
      <c r="A348" s="31"/>
      <c r="B348" s="18"/>
      <c r="E348" s="32"/>
      <c r="F348" s="32"/>
      <c r="G348" s="32"/>
      <c r="H348" s="14"/>
    </row>
    <row r="349">
      <c r="A349" s="31"/>
      <c r="B349" s="18"/>
      <c r="E349" s="32"/>
      <c r="F349" s="32"/>
      <c r="G349" s="32"/>
      <c r="H349" s="14"/>
    </row>
    <row r="350">
      <c r="A350" s="31"/>
      <c r="B350" s="18"/>
      <c r="E350" s="32"/>
      <c r="F350" s="32"/>
      <c r="G350" s="32"/>
      <c r="H350" s="14"/>
    </row>
    <row r="351">
      <c r="A351" s="31"/>
      <c r="B351" s="18"/>
      <c r="E351" s="32"/>
      <c r="F351" s="32"/>
      <c r="G351" s="32"/>
      <c r="H351" s="14"/>
    </row>
    <row r="352">
      <c r="A352" s="31"/>
      <c r="B352" s="18"/>
      <c r="E352" s="32"/>
      <c r="F352" s="32"/>
      <c r="G352" s="32"/>
      <c r="H352" s="14"/>
    </row>
    <row r="353">
      <c r="A353" s="31"/>
      <c r="B353" s="18"/>
      <c r="E353" s="32"/>
      <c r="F353" s="32"/>
      <c r="G353" s="32"/>
      <c r="H353" s="14"/>
    </row>
    <row r="354">
      <c r="A354" s="31"/>
      <c r="B354" s="18"/>
      <c r="E354" s="32"/>
      <c r="F354" s="32"/>
      <c r="G354" s="32"/>
      <c r="H354" s="14"/>
    </row>
    <row r="355">
      <c r="A355" s="31"/>
      <c r="B355" s="18"/>
      <c r="E355" s="32"/>
      <c r="F355" s="32"/>
      <c r="G355" s="32"/>
      <c r="H355" s="14"/>
    </row>
    <row r="356">
      <c r="A356" s="31"/>
      <c r="B356" s="18"/>
      <c r="E356" s="32"/>
      <c r="F356" s="32"/>
      <c r="G356" s="32"/>
      <c r="H356" s="14"/>
    </row>
    <row r="357">
      <c r="A357" s="31"/>
      <c r="B357" s="18"/>
      <c r="E357" s="32"/>
      <c r="F357" s="32"/>
      <c r="G357" s="32"/>
      <c r="H357" s="14"/>
    </row>
    <row r="358">
      <c r="A358" s="31"/>
      <c r="B358" s="18"/>
      <c r="E358" s="32"/>
      <c r="F358" s="32"/>
      <c r="G358" s="32"/>
      <c r="H358" s="14"/>
    </row>
    <row r="359">
      <c r="A359" s="31"/>
      <c r="B359" s="18"/>
      <c r="E359" s="32"/>
      <c r="F359" s="32"/>
      <c r="G359" s="32"/>
      <c r="H359" s="14"/>
    </row>
    <row r="360">
      <c r="A360" s="31"/>
      <c r="B360" s="18"/>
      <c r="E360" s="32"/>
      <c r="F360" s="32"/>
      <c r="G360" s="32"/>
      <c r="H360" s="14"/>
    </row>
    <row r="361">
      <c r="A361" s="31"/>
      <c r="B361" s="18"/>
      <c r="E361" s="32"/>
      <c r="F361" s="32"/>
      <c r="G361" s="32"/>
      <c r="H361" s="14"/>
    </row>
    <row r="362">
      <c r="A362" s="31"/>
      <c r="B362" s="18"/>
      <c r="E362" s="32"/>
      <c r="F362" s="32"/>
      <c r="G362" s="32"/>
      <c r="H362" s="14"/>
    </row>
    <row r="363">
      <c r="A363" s="31"/>
      <c r="B363" s="18"/>
      <c r="E363" s="32"/>
      <c r="F363" s="32"/>
      <c r="G363" s="32"/>
      <c r="H363" s="14"/>
    </row>
    <row r="364">
      <c r="A364" s="31"/>
      <c r="B364" s="18"/>
      <c r="E364" s="32"/>
      <c r="F364" s="32"/>
      <c r="G364" s="32"/>
      <c r="H364" s="14"/>
    </row>
    <row r="365">
      <c r="A365" s="31"/>
      <c r="B365" s="18"/>
      <c r="E365" s="32"/>
      <c r="F365" s="32"/>
      <c r="G365" s="32"/>
      <c r="H365" s="14"/>
    </row>
    <row r="366">
      <c r="A366" s="31"/>
      <c r="B366" s="18"/>
      <c r="E366" s="32"/>
      <c r="F366" s="32"/>
      <c r="G366" s="32"/>
      <c r="H366" s="14"/>
    </row>
    <row r="367">
      <c r="A367" s="31"/>
      <c r="B367" s="18"/>
      <c r="E367" s="32"/>
      <c r="F367" s="32"/>
      <c r="G367" s="32"/>
      <c r="H367" s="14"/>
    </row>
    <row r="368">
      <c r="A368" s="31"/>
      <c r="B368" s="18"/>
      <c r="E368" s="32"/>
      <c r="F368" s="32"/>
      <c r="G368" s="32"/>
      <c r="H368" s="14"/>
    </row>
    <row r="369">
      <c r="A369" s="31"/>
      <c r="B369" s="18"/>
      <c r="E369" s="32"/>
      <c r="F369" s="32"/>
      <c r="G369" s="32"/>
      <c r="H369" s="14"/>
    </row>
    <row r="370">
      <c r="A370" s="31"/>
      <c r="B370" s="18"/>
      <c r="E370" s="32"/>
      <c r="F370" s="32"/>
      <c r="G370" s="32"/>
      <c r="H370" s="14"/>
    </row>
    <row r="371">
      <c r="A371" s="31"/>
      <c r="B371" s="18"/>
      <c r="E371" s="32"/>
      <c r="F371" s="32"/>
      <c r="G371" s="32"/>
      <c r="H371" s="14"/>
    </row>
    <row r="372">
      <c r="A372" s="31"/>
      <c r="B372" s="18"/>
      <c r="E372" s="32"/>
      <c r="F372" s="32"/>
      <c r="G372" s="32"/>
      <c r="H372" s="14"/>
    </row>
    <row r="373">
      <c r="A373" s="31"/>
      <c r="B373" s="18"/>
      <c r="E373" s="32"/>
      <c r="F373" s="32"/>
      <c r="G373" s="32"/>
      <c r="H373" s="14"/>
    </row>
    <row r="374">
      <c r="A374" s="31"/>
      <c r="B374" s="18"/>
      <c r="E374" s="32"/>
      <c r="F374" s="32"/>
      <c r="G374" s="32"/>
      <c r="H374" s="14"/>
    </row>
    <row r="375">
      <c r="A375" s="31"/>
      <c r="B375" s="18"/>
      <c r="E375" s="32"/>
      <c r="F375" s="32"/>
      <c r="G375" s="32"/>
      <c r="H375" s="14"/>
    </row>
    <row r="376">
      <c r="A376" s="31"/>
      <c r="B376" s="18"/>
      <c r="E376" s="32"/>
      <c r="F376" s="32"/>
      <c r="G376" s="32"/>
      <c r="H376" s="14"/>
    </row>
    <row r="377">
      <c r="A377" s="31"/>
      <c r="B377" s="18"/>
      <c r="E377" s="32"/>
      <c r="F377" s="32"/>
      <c r="G377" s="32"/>
      <c r="H377" s="14"/>
    </row>
    <row r="378">
      <c r="A378" s="31"/>
      <c r="B378" s="18"/>
      <c r="E378" s="32"/>
      <c r="F378" s="32"/>
      <c r="G378" s="32"/>
      <c r="H378" s="14"/>
    </row>
    <row r="379">
      <c r="A379" s="31"/>
      <c r="B379" s="18"/>
      <c r="E379" s="32"/>
      <c r="F379" s="32"/>
      <c r="G379" s="32"/>
      <c r="H379" s="14"/>
    </row>
    <row r="380">
      <c r="A380" s="31"/>
      <c r="B380" s="18"/>
      <c r="E380" s="32"/>
      <c r="F380" s="32"/>
      <c r="G380" s="32"/>
      <c r="H380" s="14"/>
    </row>
    <row r="381">
      <c r="A381" s="31"/>
      <c r="B381" s="18"/>
      <c r="E381" s="32"/>
      <c r="F381" s="32"/>
      <c r="G381" s="32"/>
      <c r="H381" s="14"/>
    </row>
    <row r="382">
      <c r="A382" s="31"/>
      <c r="B382" s="18"/>
      <c r="E382" s="32"/>
      <c r="F382" s="32"/>
      <c r="G382" s="32"/>
      <c r="H382" s="14"/>
    </row>
    <row r="383">
      <c r="A383" s="31"/>
      <c r="B383" s="18"/>
      <c r="E383" s="32"/>
      <c r="F383" s="32"/>
      <c r="G383" s="32"/>
      <c r="H383" s="14"/>
    </row>
    <row r="384">
      <c r="A384" s="31"/>
      <c r="B384" s="18"/>
      <c r="E384" s="32"/>
      <c r="F384" s="32"/>
      <c r="G384" s="32"/>
      <c r="H384" s="14"/>
    </row>
    <row r="385">
      <c r="A385" s="31"/>
      <c r="B385" s="18"/>
      <c r="E385" s="32"/>
      <c r="F385" s="32"/>
      <c r="G385" s="32"/>
      <c r="H385" s="14"/>
    </row>
    <row r="386">
      <c r="A386" s="31"/>
      <c r="B386" s="18"/>
      <c r="E386" s="32"/>
      <c r="F386" s="32"/>
      <c r="G386" s="32"/>
      <c r="H386" s="14"/>
    </row>
    <row r="387">
      <c r="A387" s="31"/>
      <c r="B387" s="18"/>
      <c r="E387" s="32"/>
      <c r="F387" s="32"/>
      <c r="G387" s="32"/>
      <c r="H387" s="14"/>
    </row>
    <row r="388">
      <c r="A388" s="31"/>
      <c r="B388" s="18"/>
      <c r="E388" s="32"/>
      <c r="F388" s="32"/>
      <c r="G388" s="32"/>
      <c r="H388" s="14"/>
    </row>
    <row r="389">
      <c r="A389" s="31"/>
      <c r="B389" s="18"/>
      <c r="E389" s="32"/>
      <c r="F389" s="32"/>
      <c r="G389" s="32"/>
      <c r="H389" s="14"/>
    </row>
    <row r="390">
      <c r="A390" s="31"/>
      <c r="B390" s="18"/>
      <c r="E390" s="32"/>
      <c r="F390" s="32"/>
      <c r="G390" s="32"/>
      <c r="H390" s="14"/>
    </row>
    <row r="391">
      <c r="A391" s="31"/>
      <c r="B391" s="18"/>
      <c r="E391" s="32"/>
      <c r="F391" s="32"/>
      <c r="G391" s="32"/>
      <c r="H391" s="14"/>
    </row>
    <row r="392">
      <c r="A392" s="31"/>
      <c r="B392" s="18"/>
      <c r="E392" s="32"/>
      <c r="F392" s="32"/>
      <c r="G392" s="32"/>
      <c r="H392" s="14"/>
    </row>
    <row r="393">
      <c r="A393" s="31"/>
      <c r="B393" s="18"/>
      <c r="E393" s="32"/>
      <c r="F393" s="32"/>
      <c r="G393" s="32"/>
      <c r="H393" s="14"/>
    </row>
    <row r="394">
      <c r="A394" s="31"/>
      <c r="B394" s="18"/>
      <c r="E394" s="32"/>
      <c r="F394" s="32"/>
      <c r="G394" s="32"/>
      <c r="H394" s="14"/>
    </row>
    <row r="395">
      <c r="A395" s="31"/>
      <c r="B395" s="18"/>
      <c r="E395" s="32"/>
      <c r="F395" s="32"/>
      <c r="G395" s="32"/>
      <c r="H395" s="14"/>
    </row>
    <row r="396">
      <c r="A396" s="31"/>
      <c r="B396" s="18"/>
      <c r="E396" s="32"/>
      <c r="F396" s="32"/>
      <c r="G396" s="32"/>
      <c r="H396" s="14"/>
    </row>
    <row r="397">
      <c r="A397" s="31"/>
      <c r="B397" s="18"/>
      <c r="E397" s="32"/>
      <c r="F397" s="32"/>
      <c r="G397" s="32"/>
      <c r="H397" s="14"/>
    </row>
    <row r="398">
      <c r="A398" s="31"/>
      <c r="B398" s="18"/>
      <c r="E398" s="32"/>
      <c r="F398" s="32"/>
      <c r="G398" s="32"/>
      <c r="H398" s="14"/>
    </row>
    <row r="399">
      <c r="A399" s="31"/>
      <c r="B399" s="18"/>
      <c r="E399" s="32"/>
      <c r="F399" s="32"/>
      <c r="G399" s="32"/>
      <c r="H399" s="14"/>
    </row>
    <row r="400">
      <c r="A400" s="31"/>
      <c r="B400" s="18"/>
      <c r="E400" s="32"/>
      <c r="F400" s="32"/>
      <c r="G400" s="32"/>
      <c r="H400" s="14"/>
    </row>
    <row r="401">
      <c r="A401" s="31"/>
      <c r="B401" s="18"/>
      <c r="E401" s="32"/>
      <c r="F401" s="32"/>
      <c r="G401" s="32"/>
      <c r="H401" s="14"/>
    </row>
    <row r="402">
      <c r="A402" s="31"/>
      <c r="B402" s="18"/>
      <c r="E402" s="32"/>
      <c r="F402" s="32"/>
      <c r="G402" s="32"/>
      <c r="H402" s="14"/>
    </row>
    <row r="403">
      <c r="A403" s="31"/>
      <c r="B403" s="18"/>
      <c r="E403" s="32"/>
      <c r="F403" s="32"/>
      <c r="G403" s="32"/>
      <c r="H403" s="14"/>
    </row>
    <row r="404">
      <c r="A404" s="31"/>
      <c r="B404" s="18"/>
      <c r="E404" s="32"/>
      <c r="F404" s="32"/>
      <c r="G404" s="32"/>
      <c r="H404" s="14"/>
    </row>
    <row r="405">
      <c r="A405" s="31"/>
      <c r="B405" s="18"/>
      <c r="E405" s="32"/>
      <c r="F405" s="32"/>
      <c r="G405" s="32"/>
      <c r="H405" s="14"/>
    </row>
    <row r="406">
      <c r="A406" s="31"/>
      <c r="B406" s="18"/>
      <c r="E406" s="32"/>
      <c r="F406" s="32"/>
      <c r="G406" s="32"/>
      <c r="H406" s="14"/>
    </row>
    <row r="407">
      <c r="A407" s="31"/>
      <c r="B407" s="18"/>
      <c r="E407" s="32"/>
      <c r="F407" s="32"/>
      <c r="G407" s="32"/>
      <c r="H407" s="14"/>
    </row>
    <row r="408">
      <c r="A408" s="31"/>
      <c r="B408" s="18"/>
      <c r="E408" s="32"/>
      <c r="F408" s="32"/>
      <c r="G408" s="32"/>
      <c r="H408" s="14"/>
    </row>
    <row r="409">
      <c r="A409" s="31"/>
      <c r="B409" s="18"/>
      <c r="E409" s="32"/>
      <c r="F409" s="32"/>
      <c r="G409" s="32"/>
      <c r="H409" s="14"/>
    </row>
    <row r="410">
      <c r="A410" s="31"/>
      <c r="B410" s="18"/>
      <c r="E410" s="32"/>
      <c r="F410" s="32"/>
      <c r="G410" s="32"/>
      <c r="H410" s="14"/>
    </row>
    <row r="411">
      <c r="A411" s="31"/>
      <c r="B411" s="18"/>
      <c r="E411" s="32"/>
      <c r="F411" s="32"/>
      <c r="G411" s="32"/>
      <c r="H411" s="14"/>
    </row>
    <row r="412">
      <c r="A412" s="31"/>
      <c r="B412" s="18"/>
      <c r="E412" s="32"/>
      <c r="F412" s="32"/>
      <c r="G412" s="32"/>
      <c r="H412" s="14"/>
    </row>
    <row r="413">
      <c r="A413" s="31"/>
      <c r="B413" s="18"/>
      <c r="E413" s="32"/>
      <c r="F413" s="32"/>
      <c r="G413" s="32"/>
      <c r="H413" s="14"/>
    </row>
    <row r="414">
      <c r="A414" s="31"/>
      <c r="B414" s="18"/>
      <c r="E414" s="32"/>
      <c r="F414" s="32"/>
      <c r="G414" s="32"/>
      <c r="H414" s="14"/>
    </row>
    <row r="415">
      <c r="A415" s="31"/>
      <c r="B415" s="18"/>
      <c r="E415" s="32"/>
      <c r="F415" s="32"/>
      <c r="G415" s="32"/>
      <c r="H415" s="14"/>
    </row>
    <row r="416">
      <c r="A416" s="31"/>
      <c r="B416" s="18"/>
      <c r="E416" s="32"/>
      <c r="F416" s="32"/>
      <c r="G416" s="32"/>
      <c r="H416" s="14"/>
    </row>
    <row r="417">
      <c r="A417" s="31"/>
      <c r="B417" s="18"/>
      <c r="E417" s="32"/>
      <c r="F417" s="32"/>
      <c r="G417" s="32"/>
      <c r="H417" s="14"/>
    </row>
    <row r="418">
      <c r="A418" s="31"/>
      <c r="B418" s="18"/>
      <c r="E418" s="32"/>
      <c r="F418" s="32"/>
      <c r="G418" s="32"/>
      <c r="H418" s="14"/>
    </row>
    <row r="419">
      <c r="A419" s="31"/>
      <c r="B419" s="18"/>
      <c r="E419" s="32"/>
      <c r="F419" s="32"/>
      <c r="G419" s="32"/>
      <c r="H419" s="14"/>
    </row>
    <row r="420">
      <c r="A420" s="31"/>
      <c r="B420" s="18"/>
      <c r="E420" s="32"/>
      <c r="F420" s="32"/>
      <c r="G420" s="32"/>
      <c r="H420" s="14"/>
    </row>
    <row r="421">
      <c r="A421" s="31"/>
      <c r="B421" s="18"/>
      <c r="E421" s="32"/>
      <c r="F421" s="32"/>
      <c r="G421" s="32"/>
      <c r="H421" s="14"/>
    </row>
    <row r="422">
      <c r="A422" s="31"/>
      <c r="B422" s="18"/>
      <c r="E422" s="32"/>
      <c r="F422" s="32"/>
      <c r="G422" s="32"/>
      <c r="H422" s="14"/>
    </row>
    <row r="423">
      <c r="A423" s="31"/>
      <c r="B423" s="18"/>
      <c r="E423" s="32"/>
      <c r="F423" s="32"/>
      <c r="G423" s="32"/>
      <c r="H423" s="14"/>
    </row>
    <row r="424">
      <c r="A424" s="31"/>
      <c r="B424" s="18"/>
      <c r="E424" s="32"/>
      <c r="F424" s="32"/>
      <c r="G424" s="32"/>
      <c r="H424" s="14"/>
    </row>
    <row r="425">
      <c r="A425" s="31"/>
      <c r="B425" s="18"/>
      <c r="E425" s="32"/>
      <c r="F425" s="32"/>
      <c r="G425" s="32"/>
      <c r="H425" s="14"/>
    </row>
    <row r="426">
      <c r="A426" s="31"/>
      <c r="B426" s="18"/>
      <c r="E426" s="32"/>
      <c r="F426" s="32"/>
      <c r="G426" s="32"/>
      <c r="H426" s="14"/>
    </row>
    <row r="427">
      <c r="A427" s="31"/>
      <c r="B427" s="18"/>
      <c r="E427" s="32"/>
      <c r="F427" s="32"/>
      <c r="G427" s="32"/>
      <c r="H427" s="14"/>
    </row>
    <row r="428">
      <c r="A428" s="31"/>
      <c r="B428" s="18"/>
      <c r="E428" s="32"/>
      <c r="F428" s="32"/>
      <c r="G428" s="32"/>
      <c r="H428" s="14"/>
    </row>
    <row r="429">
      <c r="A429" s="31"/>
      <c r="B429" s="18"/>
      <c r="E429" s="32"/>
      <c r="F429" s="32"/>
      <c r="G429" s="32"/>
      <c r="H429" s="14"/>
    </row>
    <row r="430">
      <c r="A430" s="31"/>
      <c r="B430" s="18"/>
      <c r="E430" s="32"/>
      <c r="F430" s="32"/>
      <c r="G430" s="32"/>
      <c r="H430" s="14"/>
    </row>
    <row r="431">
      <c r="A431" s="31"/>
      <c r="B431" s="18"/>
      <c r="E431" s="32"/>
      <c r="F431" s="32"/>
      <c r="G431" s="32"/>
      <c r="H431" s="14"/>
    </row>
    <row r="432">
      <c r="A432" s="31"/>
      <c r="B432" s="18"/>
      <c r="E432" s="32"/>
      <c r="F432" s="32"/>
      <c r="G432" s="32"/>
      <c r="H432" s="14"/>
    </row>
    <row r="433">
      <c r="A433" s="31"/>
      <c r="B433" s="18"/>
      <c r="E433" s="32"/>
      <c r="F433" s="32"/>
      <c r="G433" s="32"/>
      <c r="H433" s="14"/>
    </row>
    <row r="434">
      <c r="A434" s="31"/>
      <c r="B434" s="18"/>
      <c r="E434" s="32"/>
      <c r="F434" s="32"/>
      <c r="G434" s="32"/>
      <c r="H434" s="14"/>
    </row>
    <row r="435">
      <c r="A435" s="31"/>
      <c r="B435" s="18"/>
      <c r="E435" s="32"/>
      <c r="F435" s="32"/>
      <c r="G435" s="32"/>
      <c r="H435" s="14"/>
    </row>
    <row r="436">
      <c r="A436" s="31"/>
      <c r="B436" s="18"/>
      <c r="E436" s="32"/>
      <c r="F436" s="32"/>
      <c r="G436" s="32"/>
      <c r="H436" s="14"/>
    </row>
    <row r="437">
      <c r="A437" s="31"/>
      <c r="B437" s="18"/>
      <c r="E437" s="32"/>
      <c r="F437" s="32"/>
      <c r="G437" s="32"/>
      <c r="H437" s="14"/>
    </row>
    <row r="438">
      <c r="A438" s="31"/>
      <c r="B438" s="18"/>
      <c r="E438" s="32"/>
      <c r="F438" s="32"/>
      <c r="G438" s="32"/>
      <c r="H438" s="14"/>
    </row>
    <row r="439">
      <c r="A439" s="31"/>
      <c r="B439" s="18"/>
      <c r="E439" s="32"/>
      <c r="F439" s="32"/>
      <c r="G439" s="32"/>
      <c r="H439" s="14"/>
    </row>
    <row r="440">
      <c r="A440" s="31"/>
      <c r="B440" s="18"/>
      <c r="E440" s="32"/>
      <c r="F440" s="32"/>
      <c r="G440" s="32"/>
      <c r="H440" s="14"/>
    </row>
    <row r="441">
      <c r="A441" s="31"/>
      <c r="B441" s="18"/>
      <c r="E441" s="32"/>
      <c r="F441" s="32"/>
      <c r="G441" s="32"/>
      <c r="H441" s="14"/>
    </row>
    <row r="442">
      <c r="A442" s="31"/>
      <c r="B442" s="18"/>
      <c r="E442" s="32"/>
      <c r="F442" s="32"/>
      <c r="G442" s="32"/>
      <c r="H442" s="14"/>
    </row>
    <row r="443">
      <c r="A443" s="31"/>
      <c r="B443" s="18"/>
      <c r="E443" s="32"/>
      <c r="F443" s="32"/>
      <c r="G443" s="32"/>
      <c r="H443" s="14"/>
    </row>
    <row r="444">
      <c r="A444" s="31"/>
      <c r="B444" s="18"/>
      <c r="E444" s="32"/>
      <c r="F444" s="32"/>
      <c r="G444" s="32"/>
      <c r="H444" s="14"/>
    </row>
    <row r="445">
      <c r="A445" s="31"/>
      <c r="B445" s="18"/>
      <c r="E445" s="32"/>
      <c r="F445" s="32"/>
      <c r="G445" s="32"/>
      <c r="H445" s="14"/>
    </row>
    <row r="446">
      <c r="A446" s="31"/>
      <c r="B446" s="18"/>
      <c r="E446" s="32"/>
      <c r="F446" s="32"/>
      <c r="G446" s="32"/>
      <c r="H446" s="14"/>
    </row>
    <row r="447">
      <c r="A447" s="31"/>
      <c r="B447" s="18"/>
      <c r="E447" s="32"/>
      <c r="F447" s="32"/>
      <c r="G447" s="32"/>
      <c r="H447" s="14"/>
    </row>
    <row r="448">
      <c r="A448" s="31"/>
      <c r="B448" s="18"/>
      <c r="E448" s="32"/>
      <c r="F448" s="32"/>
      <c r="G448" s="32"/>
      <c r="H448" s="14"/>
    </row>
    <row r="449">
      <c r="A449" s="31"/>
      <c r="B449" s="18"/>
      <c r="E449" s="32"/>
      <c r="F449" s="32"/>
      <c r="G449" s="32"/>
      <c r="H449" s="14"/>
    </row>
    <row r="450">
      <c r="A450" s="31"/>
      <c r="B450" s="18"/>
      <c r="E450" s="32"/>
      <c r="F450" s="32"/>
      <c r="G450" s="32"/>
      <c r="H450" s="14"/>
    </row>
    <row r="451">
      <c r="A451" s="31"/>
      <c r="B451" s="18"/>
      <c r="E451" s="32"/>
      <c r="F451" s="32"/>
      <c r="G451" s="32"/>
      <c r="H451" s="14"/>
    </row>
    <row r="452">
      <c r="A452" s="31"/>
      <c r="B452" s="18"/>
      <c r="E452" s="32"/>
      <c r="F452" s="32"/>
      <c r="G452" s="32"/>
      <c r="H452" s="14"/>
    </row>
    <row r="453">
      <c r="A453" s="31"/>
      <c r="B453" s="18"/>
      <c r="E453" s="32"/>
      <c r="F453" s="32"/>
      <c r="G453" s="32"/>
      <c r="H453" s="14"/>
    </row>
    <row r="454">
      <c r="A454" s="31"/>
      <c r="B454" s="18"/>
      <c r="E454" s="32"/>
      <c r="F454" s="32"/>
      <c r="G454" s="32"/>
      <c r="H454" s="14"/>
    </row>
    <row r="455">
      <c r="A455" s="31"/>
      <c r="B455" s="18"/>
      <c r="E455" s="32"/>
      <c r="F455" s="32"/>
      <c r="G455" s="32"/>
      <c r="H455" s="14"/>
    </row>
    <row r="456">
      <c r="A456" s="31"/>
      <c r="B456" s="18"/>
      <c r="E456" s="32"/>
      <c r="F456" s="32"/>
      <c r="G456" s="32"/>
      <c r="H456" s="14"/>
    </row>
    <row r="457">
      <c r="A457" s="31"/>
      <c r="B457" s="18"/>
      <c r="E457" s="32"/>
      <c r="F457" s="32"/>
      <c r="G457" s="32"/>
      <c r="H457" s="14"/>
    </row>
    <row r="458">
      <c r="A458" s="31"/>
      <c r="B458" s="18"/>
      <c r="E458" s="32"/>
      <c r="F458" s="32"/>
      <c r="G458" s="32"/>
      <c r="H458" s="14"/>
    </row>
    <row r="459">
      <c r="A459" s="31"/>
      <c r="B459" s="18"/>
      <c r="E459" s="32"/>
      <c r="F459" s="32"/>
      <c r="G459" s="32"/>
      <c r="H459" s="14"/>
    </row>
    <row r="460">
      <c r="A460" s="31"/>
      <c r="B460" s="18"/>
      <c r="E460" s="32"/>
      <c r="F460" s="32"/>
      <c r="G460" s="32"/>
      <c r="H460" s="14"/>
    </row>
    <row r="461">
      <c r="A461" s="31"/>
      <c r="B461" s="18"/>
      <c r="E461" s="32"/>
      <c r="F461" s="32"/>
      <c r="G461" s="32"/>
      <c r="H461" s="14"/>
    </row>
    <row r="462">
      <c r="A462" s="31"/>
      <c r="B462" s="18"/>
      <c r="E462" s="32"/>
      <c r="F462" s="32"/>
      <c r="G462" s="32"/>
      <c r="H462" s="14"/>
    </row>
    <row r="463">
      <c r="A463" s="31"/>
      <c r="B463" s="18"/>
      <c r="E463" s="32"/>
      <c r="F463" s="32"/>
      <c r="G463" s="32"/>
      <c r="H463" s="14"/>
    </row>
    <row r="464">
      <c r="A464" s="31"/>
      <c r="B464" s="18"/>
      <c r="E464" s="32"/>
      <c r="F464" s="32"/>
      <c r="G464" s="32"/>
      <c r="H464" s="14"/>
    </row>
    <row r="465">
      <c r="A465" s="31"/>
      <c r="B465" s="18"/>
      <c r="E465" s="32"/>
      <c r="F465" s="32"/>
      <c r="G465" s="32"/>
      <c r="H465" s="14"/>
    </row>
    <row r="466">
      <c r="A466" s="31"/>
      <c r="B466" s="18"/>
      <c r="E466" s="32"/>
      <c r="F466" s="32"/>
      <c r="G466" s="32"/>
      <c r="H466" s="14"/>
    </row>
    <row r="467">
      <c r="A467" s="31"/>
      <c r="B467" s="18"/>
      <c r="E467" s="32"/>
      <c r="F467" s="32"/>
      <c r="G467" s="32"/>
      <c r="H467" s="14"/>
    </row>
    <row r="468">
      <c r="A468" s="31"/>
      <c r="B468" s="18"/>
      <c r="E468" s="32"/>
      <c r="F468" s="32"/>
      <c r="G468" s="32"/>
      <c r="H468" s="14"/>
    </row>
    <row r="469">
      <c r="A469" s="31"/>
      <c r="B469" s="18"/>
      <c r="E469" s="32"/>
      <c r="F469" s="32"/>
      <c r="G469" s="32"/>
      <c r="H469" s="14"/>
    </row>
    <row r="470">
      <c r="A470" s="31"/>
      <c r="B470" s="18"/>
      <c r="E470" s="32"/>
      <c r="F470" s="32"/>
      <c r="G470" s="32"/>
      <c r="H470" s="14"/>
    </row>
    <row r="471">
      <c r="A471" s="31"/>
      <c r="B471" s="18"/>
      <c r="E471" s="32"/>
      <c r="F471" s="32"/>
      <c r="G471" s="32"/>
      <c r="H471" s="14"/>
    </row>
    <row r="472">
      <c r="A472" s="31"/>
      <c r="B472" s="18"/>
      <c r="E472" s="32"/>
      <c r="F472" s="32"/>
      <c r="G472" s="32"/>
      <c r="H472" s="14"/>
    </row>
    <row r="473">
      <c r="A473" s="31"/>
      <c r="B473" s="18"/>
      <c r="E473" s="32"/>
      <c r="F473" s="32"/>
      <c r="G473" s="32"/>
      <c r="H473" s="14"/>
    </row>
    <row r="474">
      <c r="A474" s="31"/>
      <c r="B474" s="18"/>
      <c r="E474" s="32"/>
      <c r="F474" s="32"/>
      <c r="G474" s="32"/>
      <c r="H474" s="14"/>
    </row>
    <row r="475">
      <c r="A475" s="31"/>
      <c r="B475" s="18"/>
      <c r="E475" s="32"/>
      <c r="F475" s="32"/>
      <c r="G475" s="32"/>
      <c r="H475" s="14"/>
    </row>
    <row r="476">
      <c r="A476" s="31"/>
      <c r="B476" s="18"/>
      <c r="E476" s="32"/>
      <c r="F476" s="32"/>
      <c r="G476" s="32"/>
      <c r="H476" s="14"/>
    </row>
    <row r="477">
      <c r="A477" s="31"/>
      <c r="B477" s="18"/>
      <c r="E477" s="32"/>
      <c r="F477" s="32"/>
      <c r="G477" s="32"/>
      <c r="H477" s="14"/>
    </row>
    <row r="478">
      <c r="A478" s="31"/>
      <c r="B478" s="18"/>
      <c r="E478" s="32"/>
      <c r="F478" s="32"/>
      <c r="G478" s="32"/>
      <c r="H478" s="14"/>
    </row>
    <row r="479">
      <c r="A479" s="31"/>
      <c r="B479" s="18"/>
      <c r="E479" s="32"/>
      <c r="F479" s="32"/>
      <c r="G479" s="32"/>
      <c r="H479" s="14"/>
    </row>
    <row r="480">
      <c r="A480" s="31"/>
      <c r="B480" s="18"/>
      <c r="E480" s="32"/>
      <c r="F480" s="32"/>
      <c r="G480" s="32"/>
      <c r="H480" s="14"/>
    </row>
    <row r="481">
      <c r="A481" s="31"/>
      <c r="B481" s="18"/>
      <c r="E481" s="32"/>
      <c r="F481" s="32"/>
      <c r="G481" s="32"/>
      <c r="H481" s="14"/>
    </row>
    <row r="482">
      <c r="A482" s="31"/>
      <c r="B482" s="18"/>
      <c r="E482" s="32"/>
      <c r="F482" s="32"/>
      <c r="G482" s="32"/>
      <c r="H482" s="14"/>
    </row>
    <row r="483">
      <c r="A483" s="31"/>
      <c r="B483" s="18"/>
      <c r="E483" s="32"/>
      <c r="F483" s="32"/>
      <c r="G483" s="32"/>
      <c r="H483" s="14"/>
    </row>
    <row r="484">
      <c r="A484" s="31"/>
      <c r="B484" s="18"/>
      <c r="E484" s="32"/>
      <c r="F484" s="32"/>
      <c r="G484" s="32"/>
      <c r="H484" s="14"/>
    </row>
    <row r="485">
      <c r="A485" s="31"/>
      <c r="B485" s="18"/>
      <c r="E485" s="32"/>
      <c r="F485" s="32"/>
      <c r="G485" s="32"/>
      <c r="H485" s="14"/>
    </row>
    <row r="486">
      <c r="A486" s="31"/>
      <c r="B486" s="18"/>
      <c r="E486" s="32"/>
      <c r="F486" s="32"/>
      <c r="G486" s="32"/>
      <c r="H486" s="14"/>
    </row>
    <row r="487">
      <c r="A487" s="31"/>
      <c r="B487" s="18"/>
      <c r="E487" s="32"/>
      <c r="F487" s="32"/>
      <c r="G487" s="32"/>
      <c r="H487" s="14"/>
    </row>
    <row r="488">
      <c r="A488" s="31"/>
      <c r="B488" s="18"/>
      <c r="E488" s="32"/>
      <c r="F488" s="32"/>
      <c r="G488" s="32"/>
      <c r="H488" s="14"/>
    </row>
    <row r="489">
      <c r="A489" s="31"/>
      <c r="B489" s="18"/>
      <c r="E489" s="32"/>
      <c r="F489" s="32"/>
      <c r="G489" s="32"/>
      <c r="H489" s="14"/>
    </row>
    <row r="490">
      <c r="A490" s="31"/>
      <c r="B490" s="18"/>
      <c r="E490" s="32"/>
      <c r="F490" s="32"/>
      <c r="G490" s="32"/>
      <c r="H490" s="14"/>
    </row>
    <row r="491">
      <c r="A491" s="31"/>
      <c r="B491" s="18"/>
      <c r="E491" s="32"/>
      <c r="F491" s="32"/>
      <c r="G491" s="32"/>
      <c r="H491" s="14"/>
    </row>
    <row r="492">
      <c r="A492" s="31"/>
      <c r="B492" s="18"/>
      <c r="E492" s="32"/>
      <c r="F492" s="32"/>
      <c r="G492" s="32"/>
      <c r="H492" s="14"/>
    </row>
    <row r="493">
      <c r="A493" s="31"/>
      <c r="B493" s="18"/>
      <c r="E493" s="32"/>
      <c r="F493" s="32"/>
      <c r="G493" s="32"/>
      <c r="H493" s="14"/>
    </row>
    <row r="494">
      <c r="A494" s="31"/>
      <c r="B494" s="18"/>
      <c r="E494" s="32"/>
      <c r="F494" s="32"/>
      <c r="G494" s="32"/>
      <c r="H494" s="14"/>
    </row>
    <row r="495">
      <c r="A495" s="31"/>
      <c r="B495" s="18"/>
      <c r="E495" s="32"/>
      <c r="F495" s="32"/>
      <c r="G495" s="32"/>
      <c r="H495" s="14"/>
    </row>
    <row r="496">
      <c r="A496" s="31"/>
      <c r="B496" s="18"/>
      <c r="E496" s="32"/>
      <c r="F496" s="32"/>
      <c r="G496" s="32"/>
      <c r="H496" s="14"/>
    </row>
    <row r="497">
      <c r="A497" s="31"/>
      <c r="B497" s="18"/>
      <c r="E497" s="32"/>
      <c r="F497" s="32"/>
      <c r="G497" s="32"/>
      <c r="H497" s="14"/>
    </row>
    <row r="498">
      <c r="A498" s="31"/>
      <c r="B498" s="18"/>
      <c r="E498" s="32"/>
      <c r="F498" s="32"/>
      <c r="G498" s="32"/>
      <c r="H498" s="14"/>
    </row>
    <row r="499">
      <c r="A499" s="31"/>
      <c r="B499" s="18"/>
      <c r="E499" s="32"/>
      <c r="F499" s="32"/>
      <c r="G499" s="32"/>
      <c r="H499" s="14"/>
    </row>
    <row r="500">
      <c r="A500" s="31"/>
      <c r="B500" s="18"/>
      <c r="E500" s="32"/>
      <c r="F500" s="32"/>
      <c r="G500" s="32"/>
      <c r="H500" s="14"/>
    </row>
    <row r="501">
      <c r="A501" s="31"/>
      <c r="B501" s="18"/>
      <c r="E501" s="32"/>
      <c r="F501" s="32"/>
      <c r="G501" s="32"/>
      <c r="H501" s="14"/>
    </row>
    <row r="502">
      <c r="A502" s="31"/>
      <c r="B502" s="18"/>
      <c r="E502" s="32"/>
      <c r="F502" s="32"/>
      <c r="G502" s="32"/>
      <c r="H502" s="14"/>
    </row>
    <row r="503">
      <c r="A503" s="31"/>
      <c r="B503" s="18"/>
      <c r="E503" s="32"/>
      <c r="F503" s="32"/>
      <c r="G503" s="32"/>
      <c r="H503" s="14"/>
    </row>
    <row r="504">
      <c r="A504" s="31"/>
      <c r="B504" s="18"/>
      <c r="E504" s="32"/>
      <c r="F504" s="32"/>
      <c r="G504" s="32"/>
      <c r="H504" s="14"/>
    </row>
    <row r="505">
      <c r="A505" s="31"/>
      <c r="B505" s="18"/>
      <c r="E505" s="32"/>
      <c r="F505" s="32"/>
      <c r="G505" s="32"/>
      <c r="H505" s="14"/>
    </row>
    <row r="506">
      <c r="A506" s="31"/>
      <c r="B506" s="18"/>
      <c r="E506" s="32"/>
      <c r="F506" s="32"/>
      <c r="G506" s="32"/>
      <c r="H506" s="14"/>
    </row>
    <row r="507">
      <c r="A507" s="31"/>
      <c r="B507" s="18"/>
      <c r="E507" s="32"/>
      <c r="F507" s="32"/>
      <c r="G507" s="32"/>
      <c r="H507" s="14"/>
    </row>
    <row r="508">
      <c r="A508" s="31"/>
      <c r="B508" s="18"/>
      <c r="E508" s="32"/>
      <c r="F508" s="32"/>
      <c r="G508" s="32"/>
      <c r="H508" s="14"/>
    </row>
    <row r="509">
      <c r="A509" s="31"/>
      <c r="B509" s="18"/>
      <c r="E509" s="32"/>
      <c r="F509" s="32"/>
      <c r="G509" s="32"/>
      <c r="H509" s="14"/>
    </row>
    <row r="510">
      <c r="A510" s="31"/>
      <c r="B510" s="18"/>
      <c r="E510" s="32"/>
      <c r="F510" s="32"/>
      <c r="G510" s="32"/>
      <c r="H510" s="14"/>
    </row>
    <row r="511">
      <c r="A511" s="31"/>
      <c r="B511" s="18"/>
      <c r="E511" s="32"/>
      <c r="F511" s="32"/>
      <c r="G511" s="32"/>
      <c r="H511" s="14"/>
    </row>
    <row r="512">
      <c r="A512" s="31"/>
      <c r="B512" s="18"/>
      <c r="E512" s="32"/>
      <c r="F512" s="32"/>
      <c r="G512" s="32"/>
      <c r="H512" s="14"/>
    </row>
    <row r="513">
      <c r="A513" s="31"/>
      <c r="B513" s="18"/>
      <c r="E513" s="32"/>
      <c r="F513" s="32"/>
      <c r="G513" s="32"/>
      <c r="H513" s="14"/>
    </row>
    <row r="514">
      <c r="A514" s="31"/>
      <c r="B514" s="18"/>
      <c r="E514" s="32"/>
      <c r="F514" s="32"/>
      <c r="G514" s="32"/>
      <c r="H514" s="14"/>
    </row>
    <row r="515">
      <c r="A515" s="31"/>
      <c r="B515" s="18"/>
      <c r="E515" s="32"/>
      <c r="F515" s="32"/>
      <c r="G515" s="32"/>
      <c r="H515" s="14"/>
    </row>
    <row r="516">
      <c r="A516" s="31"/>
      <c r="B516" s="18"/>
      <c r="E516" s="32"/>
      <c r="F516" s="32"/>
      <c r="G516" s="32"/>
      <c r="H516" s="14"/>
    </row>
    <row r="517">
      <c r="A517" s="31"/>
      <c r="B517" s="18"/>
      <c r="E517" s="32"/>
      <c r="F517" s="32"/>
      <c r="G517" s="32"/>
      <c r="H517" s="14"/>
    </row>
    <row r="518">
      <c r="A518" s="31"/>
      <c r="B518" s="18"/>
      <c r="E518" s="32"/>
      <c r="F518" s="32"/>
      <c r="G518" s="32"/>
      <c r="H518" s="14"/>
    </row>
    <row r="519">
      <c r="A519" s="31"/>
      <c r="B519" s="18"/>
      <c r="E519" s="32"/>
      <c r="F519" s="32"/>
      <c r="G519" s="32"/>
      <c r="H519" s="14"/>
    </row>
    <row r="520">
      <c r="A520" s="31"/>
      <c r="B520" s="18"/>
      <c r="E520" s="32"/>
      <c r="F520" s="32"/>
      <c r="G520" s="32"/>
      <c r="H520" s="14"/>
    </row>
    <row r="521">
      <c r="A521" s="31"/>
      <c r="B521" s="18"/>
      <c r="E521" s="32"/>
      <c r="F521" s="32"/>
      <c r="G521" s="32"/>
      <c r="H521" s="14"/>
    </row>
    <row r="522">
      <c r="A522" s="31"/>
      <c r="B522" s="18"/>
      <c r="E522" s="32"/>
      <c r="F522" s="32"/>
      <c r="G522" s="32"/>
      <c r="H522" s="14"/>
    </row>
    <row r="523">
      <c r="A523" s="31"/>
      <c r="B523" s="18"/>
      <c r="E523" s="32"/>
      <c r="F523" s="32"/>
      <c r="G523" s="32"/>
      <c r="H523" s="14"/>
    </row>
    <row r="524">
      <c r="A524" s="31"/>
      <c r="B524" s="18"/>
      <c r="E524" s="32"/>
      <c r="F524" s="32"/>
      <c r="G524" s="32"/>
      <c r="H524" s="14"/>
    </row>
    <row r="525">
      <c r="A525" s="31"/>
      <c r="B525" s="18"/>
      <c r="E525" s="32"/>
      <c r="F525" s="32"/>
      <c r="G525" s="32"/>
      <c r="H525" s="14"/>
    </row>
    <row r="526">
      <c r="A526" s="31"/>
      <c r="B526" s="18"/>
      <c r="E526" s="32"/>
      <c r="F526" s="32"/>
      <c r="G526" s="32"/>
      <c r="H526" s="14"/>
    </row>
    <row r="527">
      <c r="A527" s="31"/>
      <c r="B527" s="18"/>
      <c r="E527" s="32"/>
      <c r="F527" s="32"/>
      <c r="G527" s="32"/>
      <c r="H527" s="14"/>
    </row>
    <row r="528">
      <c r="A528" s="31"/>
      <c r="B528" s="18"/>
      <c r="E528" s="32"/>
      <c r="F528" s="32"/>
      <c r="G528" s="32"/>
      <c r="H528" s="14"/>
    </row>
    <row r="529">
      <c r="A529" s="31"/>
      <c r="B529" s="18"/>
      <c r="E529" s="32"/>
      <c r="F529" s="32"/>
      <c r="G529" s="32"/>
      <c r="H529" s="14"/>
    </row>
    <row r="530">
      <c r="A530" s="31"/>
      <c r="B530" s="18"/>
      <c r="E530" s="32"/>
      <c r="F530" s="32"/>
      <c r="G530" s="32"/>
      <c r="H530" s="14"/>
    </row>
    <row r="531">
      <c r="A531" s="31"/>
      <c r="B531" s="18"/>
      <c r="E531" s="32"/>
      <c r="F531" s="32"/>
      <c r="G531" s="32"/>
      <c r="H531" s="14"/>
    </row>
    <row r="532">
      <c r="A532" s="31"/>
      <c r="B532" s="18"/>
      <c r="E532" s="32"/>
      <c r="F532" s="32"/>
      <c r="G532" s="32"/>
      <c r="H532" s="14"/>
    </row>
    <row r="533">
      <c r="A533" s="31"/>
      <c r="B533" s="18"/>
      <c r="E533" s="32"/>
      <c r="F533" s="32"/>
      <c r="G533" s="32"/>
      <c r="H533" s="14"/>
    </row>
    <row r="534">
      <c r="A534" s="31"/>
      <c r="B534" s="18"/>
      <c r="E534" s="32"/>
      <c r="F534" s="32"/>
      <c r="G534" s="32"/>
      <c r="H534" s="14"/>
    </row>
    <row r="535">
      <c r="A535" s="31"/>
      <c r="B535" s="18"/>
      <c r="E535" s="32"/>
      <c r="F535" s="32"/>
      <c r="G535" s="32"/>
      <c r="H535" s="14"/>
    </row>
    <row r="536">
      <c r="A536" s="31"/>
      <c r="B536" s="18"/>
      <c r="E536" s="32"/>
      <c r="F536" s="32"/>
      <c r="G536" s="32"/>
      <c r="H536" s="14"/>
    </row>
    <row r="537">
      <c r="A537" s="31"/>
      <c r="B537" s="18"/>
      <c r="E537" s="32"/>
      <c r="F537" s="32"/>
      <c r="G537" s="32"/>
      <c r="H537" s="14"/>
    </row>
    <row r="538">
      <c r="A538" s="31"/>
      <c r="B538" s="18"/>
      <c r="E538" s="32"/>
      <c r="F538" s="32"/>
      <c r="G538" s="32"/>
      <c r="H538" s="14"/>
    </row>
    <row r="539">
      <c r="A539" s="31"/>
      <c r="B539" s="18"/>
      <c r="E539" s="32"/>
      <c r="F539" s="32"/>
      <c r="G539" s="32"/>
      <c r="H539" s="14"/>
    </row>
    <row r="540">
      <c r="A540" s="31"/>
      <c r="B540" s="18"/>
      <c r="E540" s="32"/>
      <c r="F540" s="32"/>
      <c r="G540" s="32"/>
      <c r="H540" s="14"/>
    </row>
    <row r="541">
      <c r="A541" s="31"/>
      <c r="B541" s="18"/>
      <c r="E541" s="32"/>
      <c r="F541" s="32"/>
      <c r="G541" s="32"/>
      <c r="H541" s="14"/>
    </row>
    <row r="542">
      <c r="A542" s="31"/>
      <c r="B542" s="18"/>
      <c r="E542" s="32"/>
      <c r="F542" s="32"/>
      <c r="G542" s="32"/>
      <c r="H542" s="14"/>
    </row>
    <row r="543">
      <c r="A543" s="31"/>
      <c r="B543" s="18"/>
      <c r="E543" s="32"/>
      <c r="F543" s="32"/>
      <c r="G543" s="32"/>
      <c r="H543" s="14"/>
    </row>
    <row r="544">
      <c r="A544" s="31"/>
      <c r="B544" s="18"/>
      <c r="E544" s="32"/>
      <c r="F544" s="32"/>
      <c r="G544" s="32"/>
      <c r="H544" s="14"/>
    </row>
    <row r="545">
      <c r="A545" s="31"/>
      <c r="B545" s="18"/>
      <c r="E545" s="32"/>
      <c r="F545" s="32"/>
      <c r="G545" s="32"/>
      <c r="H545" s="14"/>
    </row>
    <row r="546">
      <c r="A546" s="31"/>
      <c r="B546" s="18"/>
      <c r="E546" s="32"/>
      <c r="F546" s="32"/>
      <c r="G546" s="32"/>
      <c r="H546" s="14"/>
    </row>
    <row r="547">
      <c r="A547" s="31"/>
      <c r="B547" s="18"/>
      <c r="E547" s="32"/>
      <c r="F547" s="32"/>
      <c r="G547" s="32"/>
      <c r="H547" s="14"/>
    </row>
    <row r="548">
      <c r="A548" s="31"/>
      <c r="B548" s="18"/>
      <c r="E548" s="32"/>
      <c r="F548" s="32"/>
      <c r="G548" s="32"/>
      <c r="H548" s="14"/>
    </row>
    <row r="549">
      <c r="A549" s="31"/>
      <c r="B549" s="18"/>
      <c r="E549" s="32"/>
      <c r="F549" s="32"/>
      <c r="G549" s="32"/>
      <c r="H549" s="14"/>
    </row>
    <row r="550">
      <c r="A550" s="31"/>
      <c r="B550" s="18"/>
      <c r="E550" s="32"/>
      <c r="F550" s="32"/>
      <c r="G550" s="32"/>
      <c r="H550" s="14"/>
    </row>
    <row r="551">
      <c r="A551" s="31"/>
      <c r="B551" s="18"/>
      <c r="E551" s="32"/>
      <c r="F551" s="32"/>
      <c r="G551" s="32"/>
      <c r="H551" s="14"/>
    </row>
    <row r="552">
      <c r="A552" s="31"/>
      <c r="B552" s="18"/>
      <c r="E552" s="32"/>
      <c r="F552" s="32"/>
      <c r="G552" s="32"/>
      <c r="H552" s="14"/>
    </row>
    <row r="553">
      <c r="A553" s="31"/>
      <c r="B553" s="18"/>
      <c r="E553" s="32"/>
      <c r="F553" s="32"/>
      <c r="G553" s="32"/>
      <c r="H553" s="14"/>
    </row>
    <row r="554">
      <c r="A554" s="31"/>
      <c r="B554" s="18"/>
      <c r="E554" s="32"/>
      <c r="F554" s="32"/>
      <c r="G554" s="32"/>
      <c r="H554" s="14"/>
    </row>
    <row r="555">
      <c r="A555" s="31"/>
      <c r="B555" s="18"/>
      <c r="E555" s="32"/>
      <c r="F555" s="32"/>
      <c r="G555" s="32"/>
      <c r="H555" s="14"/>
    </row>
    <row r="556">
      <c r="A556" s="31"/>
      <c r="B556" s="18"/>
      <c r="E556" s="32"/>
      <c r="F556" s="32"/>
      <c r="G556" s="32"/>
      <c r="H556" s="14"/>
    </row>
    <row r="557">
      <c r="A557" s="31"/>
      <c r="B557" s="18"/>
      <c r="E557" s="32"/>
      <c r="F557" s="32"/>
      <c r="G557" s="32"/>
      <c r="H557" s="14"/>
    </row>
    <row r="558">
      <c r="A558" s="31"/>
      <c r="B558" s="18"/>
      <c r="E558" s="32"/>
      <c r="F558" s="32"/>
      <c r="G558" s="32"/>
      <c r="H558" s="14"/>
    </row>
    <row r="559">
      <c r="A559" s="31"/>
      <c r="B559" s="18"/>
      <c r="E559" s="32"/>
      <c r="F559" s="32"/>
      <c r="G559" s="32"/>
      <c r="H559" s="14"/>
    </row>
    <row r="560">
      <c r="A560" s="31"/>
      <c r="B560" s="18"/>
      <c r="E560" s="32"/>
      <c r="F560" s="32"/>
      <c r="G560" s="32"/>
      <c r="H560" s="14"/>
    </row>
    <row r="561">
      <c r="A561" s="31"/>
      <c r="B561" s="18"/>
      <c r="E561" s="32"/>
      <c r="F561" s="32"/>
      <c r="G561" s="32"/>
      <c r="H561" s="14"/>
    </row>
    <row r="562">
      <c r="A562" s="31"/>
      <c r="B562" s="18"/>
      <c r="E562" s="32"/>
      <c r="F562" s="32"/>
      <c r="G562" s="32"/>
      <c r="H562" s="14"/>
    </row>
    <row r="563">
      <c r="A563" s="31"/>
      <c r="B563" s="18"/>
      <c r="E563" s="32"/>
      <c r="F563" s="32"/>
      <c r="G563" s="32"/>
      <c r="H563" s="14"/>
    </row>
    <row r="564">
      <c r="A564" s="31"/>
      <c r="B564" s="18"/>
      <c r="E564" s="32"/>
      <c r="F564" s="32"/>
      <c r="G564" s="32"/>
      <c r="H564" s="14"/>
    </row>
    <row r="565">
      <c r="A565" s="31"/>
      <c r="B565" s="18"/>
      <c r="E565" s="32"/>
      <c r="F565" s="32"/>
      <c r="G565" s="32"/>
      <c r="H565" s="14"/>
    </row>
    <row r="566">
      <c r="A566" s="31"/>
      <c r="B566" s="18"/>
      <c r="E566" s="32"/>
      <c r="F566" s="32"/>
      <c r="G566" s="32"/>
      <c r="H566" s="14"/>
    </row>
    <row r="567">
      <c r="A567" s="31"/>
      <c r="B567" s="18"/>
      <c r="E567" s="32"/>
      <c r="F567" s="32"/>
      <c r="G567" s="32"/>
      <c r="H567" s="14"/>
    </row>
    <row r="568">
      <c r="A568" s="31"/>
      <c r="B568" s="18"/>
      <c r="E568" s="32"/>
      <c r="F568" s="32"/>
      <c r="G568" s="32"/>
      <c r="H568" s="14"/>
    </row>
    <row r="569">
      <c r="A569" s="31"/>
      <c r="B569" s="18"/>
      <c r="E569" s="32"/>
      <c r="F569" s="32"/>
      <c r="G569" s="32"/>
      <c r="H569" s="14"/>
    </row>
    <row r="570">
      <c r="A570" s="31"/>
      <c r="B570" s="18"/>
      <c r="E570" s="32"/>
      <c r="F570" s="32"/>
      <c r="G570" s="32"/>
      <c r="H570" s="14"/>
    </row>
    <row r="571">
      <c r="A571" s="31"/>
      <c r="B571" s="18"/>
      <c r="E571" s="32"/>
      <c r="F571" s="32"/>
      <c r="G571" s="32"/>
      <c r="H571" s="14"/>
    </row>
    <row r="572">
      <c r="A572" s="31"/>
      <c r="B572" s="18"/>
      <c r="E572" s="32"/>
      <c r="F572" s="32"/>
      <c r="G572" s="32"/>
      <c r="H572" s="14"/>
    </row>
    <row r="573">
      <c r="A573" s="31"/>
      <c r="B573" s="18"/>
      <c r="E573" s="32"/>
      <c r="F573" s="32"/>
      <c r="G573" s="32"/>
      <c r="H573" s="14"/>
    </row>
    <row r="574">
      <c r="A574" s="31"/>
      <c r="B574" s="18"/>
      <c r="E574" s="32"/>
      <c r="F574" s="32"/>
      <c r="G574" s="32"/>
      <c r="H574" s="14"/>
    </row>
    <row r="575">
      <c r="A575" s="31"/>
      <c r="B575" s="18"/>
      <c r="E575" s="32"/>
      <c r="F575" s="32"/>
      <c r="G575" s="32"/>
      <c r="H575" s="14"/>
    </row>
    <row r="576">
      <c r="A576" s="31"/>
      <c r="B576" s="18"/>
      <c r="E576" s="32"/>
      <c r="F576" s="32"/>
      <c r="G576" s="32"/>
      <c r="H576" s="14"/>
    </row>
    <row r="577">
      <c r="A577" s="31"/>
      <c r="B577" s="18"/>
      <c r="E577" s="32"/>
      <c r="F577" s="32"/>
      <c r="G577" s="32"/>
      <c r="H577" s="14"/>
    </row>
    <row r="578">
      <c r="A578" s="31"/>
      <c r="B578" s="18"/>
      <c r="E578" s="32"/>
      <c r="F578" s="32"/>
      <c r="G578" s="32"/>
      <c r="H578" s="14"/>
    </row>
    <row r="579">
      <c r="A579" s="31"/>
      <c r="B579" s="18"/>
      <c r="E579" s="32"/>
      <c r="F579" s="32"/>
      <c r="G579" s="32"/>
      <c r="H579" s="14"/>
    </row>
    <row r="580">
      <c r="A580" s="31"/>
      <c r="B580" s="18"/>
      <c r="E580" s="32"/>
      <c r="F580" s="32"/>
      <c r="G580" s="32"/>
      <c r="H580" s="14"/>
    </row>
    <row r="581">
      <c r="A581" s="31"/>
      <c r="B581" s="18"/>
      <c r="E581" s="32"/>
      <c r="F581" s="32"/>
      <c r="G581" s="32"/>
      <c r="H581" s="14"/>
    </row>
    <row r="582">
      <c r="A582" s="31"/>
      <c r="B582" s="18"/>
      <c r="E582" s="32"/>
      <c r="F582" s="32"/>
      <c r="G582" s="32"/>
      <c r="H582" s="14"/>
    </row>
    <row r="583">
      <c r="A583" s="31"/>
      <c r="B583" s="18"/>
      <c r="E583" s="32"/>
      <c r="F583" s="32"/>
      <c r="G583" s="32"/>
      <c r="H583" s="14"/>
    </row>
    <row r="584">
      <c r="A584" s="31"/>
      <c r="B584" s="18"/>
      <c r="E584" s="32"/>
      <c r="F584" s="32"/>
      <c r="G584" s="32"/>
      <c r="H584" s="14"/>
    </row>
    <row r="585">
      <c r="A585" s="31"/>
      <c r="B585" s="18"/>
      <c r="E585" s="32"/>
      <c r="F585" s="32"/>
      <c r="G585" s="32"/>
      <c r="H585" s="14"/>
    </row>
    <row r="586">
      <c r="A586" s="31"/>
      <c r="B586" s="18"/>
      <c r="E586" s="32"/>
      <c r="F586" s="32"/>
      <c r="G586" s="32"/>
      <c r="H586" s="14"/>
    </row>
    <row r="587">
      <c r="A587" s="31"/>
      <c r="B587" s="18"/>
      <c r="E587" s="32"/>
      <c r="F587" s="32"/>
      <c r="G587" s="32"/>
      <c r="H587" s="14"/>
    </row>
    <row r="588">
      <c r="A588" s="31"/>
      <c r="B588" s="18"/>
      <c r="E588" s="32"/>
      <c r="F588" s="32"/>
      <c r="G588" s="32"/>
      <c r="H588" s="14"/>
    </row>
    <row r="589">
      <c r="A589" s="31"/>
      <c r="B589" s="18"/>
      <c r="E589" s="32"/>
      <c r="F589" s="32"/>
      <c r="G589" s="32"/>
      <c r="H589" s="14"/>
    </row>
    <row r="590">
      <c r="A590" s="31"/>
      <c r="B590" s="18"/>
      <c r="E590" s="32"/>
      <c r="F590" s="32"/>
      <c r="G590" s="32"/>
      <c r="H590" s="14"/>
    </row>
    <row r="591">
      <c r="A591" s="31"/>
      <c r="B591" s="18"/>
      <c r="E591" s="32"/>
      <c r="F591" s="32"/>
      <c r="G591" s="32"/>
      <c r="H591" s="14"/>
    </row>
    <row r="592">
      <c r="A592" s="31"/>
      <c r="B592" s="18"/>
      <c r="E592" s="32"/>
      <c r="F592" s="32"/>
      <c r="G592" s="32"/>
      <c r="H592" s="14"/>
    </row>
    <row r="593">
      <c r="A593" s="31"/>
      <c r="B593" s="18"/>
      <c r="E593" s="32"/>
      <c r="F593" s="32"/>
      <c r="G593" s="32"/>
      <c r="H593" s="14"/>
    </row>
    <row r="594">
      <c r="A594" s="31"/>
      <c r="B594" s="18"/>
      <c r="E594" s="32"/>
      <c r="F594" s="32"/>
      <c r="G594" s="32"/>
      <c r="H594" s="14"/>
    </row>
    <row r="595">
      <c r="A595" s="31"/>
      <c r="B595" s="18"/>
      <c r="E595" s="32"/>
      <c r="F595" s="32"/>
      <c r="G595" s="32"/>
      <c r="H595" s="14"/>
    </row>
    <row r="596">
      <c r="A596" s="31"/>
      <c r="B596" s="18"/>
      <c r="E596" s="32"/>
      <c r="F596" s="32"/>
      <c r="G596" s="32"/>
      <c r="H596" s="14"/>
    </row>
    <row r="597">
      <c r="A597" s="31"/>
      <c r="B597" s="18"/>
      <c r="E597" s="32"/>
      <c r="F597" s="32"/>
      <c r="G597" s="32"/>
      <c r="H597" s="14"/>
    </row>
    <row r="598">
      <c r="A598" s="31"/>
      <c r="B598" s="18"/>
      <c r="E598" s="32"/>
      <c r="F598" s="32"/>
      <c r="G598" s="32"/>
      <c r="H598" s="14"/>
    </row>
    <row r="599">
      <c r="A599" s="31"/>
      <c r="B599" s="18"/>
      <c r="E599" s="32"/>
      <c r="F599" s="32"/>
      <c r="G599" s="32"/>
      <c r="H599" s="14"/>
    </row>
    <row r="600">
      <c r="A600" s="31"/>
      <c r="B600" s="18"/>
      <c r="E600" s="32"/>
      <c r="F600" s="32"/>
      <c r="G600" s="32"/>
      <c r="H600" s="14"/>
    </row>
    <row r="601">
      <c r="A601" s="31"/>
      <c r="B601" s="18"/>
      <c r="E601" s="32"/>
      <c r="F601" s="32"/>
      <c r="G601" s="32"/>
      <c r="H601" s="14"/>
    </row>
    <row r="602">
      <c r="A602" s="31"/>
      <c r="B602" s="18"/>
      <c r="E602" s="32"/>
      <c r="F602" s="32"/>
      <c r="G602" s="32"/>
      <c r="H602" s="14"/>
    </row>
    <row r="603">
      <c r="A603" s="31"/>
      <c r="B603" s="18"/>
      <c r="E603" s="32"/>
      <c r="F603" s="32"/>
      <c r="G603" s="32"/>
      <c r="H603" s="14"/>
    </row>
    <row r="604">
      <c r="A604" s="31"/>
      <c r="B604" s="18"/>
      <c r="E604" s="32"/>
      <c r="F604" s="32"/>
      <c r="G604" s="32"/>
      <c r="H604" s="14"/>
    </row>
    <row r="605">
      <c r="A605" s="31"/>
      <c r="B605" s="18"/>
      <c r="E605" s="32"/>
      <c r="F605" s="32"/>
      <c r="G605" s="32"/>
      <c r="H605" s="14"/>
    </row>
    <row r="606">
      <c r="A606" s="31"/>
      <c r="B606" s="18"/>
      <c r="E606" s="32"/>
      <c r="F606" s="32"/>
      <c r="G606" s="32"/>
      <c r="H606" s="14"/>
    </row>
    <row r="607">
      <c r="A607" s="31"/>
      <c r="B607" s="18"/>
      <c r="E607" s="32"/>
      <c r="F607" s="32"/>
      <c r="G607" s="32"/>
      <c r="H607" s="14"/>
    </row>
    <row r="608">
      <c r="A608" s="31"/>
      <c r="B608" s="18"/>
      <c r="E608" s="32"/>
      <c r="F608" s="32"/>
      <c r="G608" s="32"/>
      <c r="H608" s="14"/>
    </row>
    <row r="609">
      <c r="A609" s="31"/>
      <c r="B609" s="18"/>
      <c r="E609" s="32"/>
      <c r="F609" s="32"/>
      <c r="G609" s="32"/>
      <c r="H609" s="14"/>
    </row>
    <row r="610">
      <c r="A610" s="31"/>
      <c r="B610" s="18"/>
      <c r="E610" s="32"/>
      <c r="F610" s="32"/>
      <c r="G610" s="32"/>
      <c r="H610" s="14"/>
    </row>
    <row r="611">
      <c r="A611" s="31"/>
      <c r="B611" s="18"/>
      <c r="E611" s="32"/>
      <c r="F611" s="32"/>
      <c r="G611" s="32"/>
      <c r="H611" s="14"/>
    </row>
    <row r="612">
      <c r="A612" s="31"/>
      <c r="B612" s="18"/>
      <c r="E612" s="32"/>
      <c r="F612" s="32"/>
      <c r="G612" s="32"/>
      <c r="H612" s="14"/>
    </row>
    <row r="613">
      <c r="A613" s="31"/>
      <c r="B613" s="18"/>
      <c r="E613" s="32"/>
      <c r="F613" s="32"/>
      <c r="G613" s="32"/>
      <c r="H613" s="14"/>
    </row>
    <row r="614">
      <c r="A614" s="31"/>
      <c r="B614" s="18"/>
      <c r="E614" s="32"/>
      <c r="F614" s="32"/>
      <c r="G614" s="32"/>
      <c r="H614" s="14"/>
    </row>
    <row r="615">
      <c r="A615" s="31"/>
      <c r="B615" s="18"/>
      <c r="E615" s="32"/>
      <c r="F615" s="32"/>
      <c r="G615" s="32"/>
      <c r="H615" s="14"/>
    </row>
    <row r="616">
      <c r="A616" s="31"/>
      <c r="B616" s="18"/>
      <c r="E616" s="32"/>
      <c r="F616" s="32"/>
      <c r="G616" s="32"/>
      <c r="H616" s="14"/>
    </row>
    <row r="617">
      <c r="A617" s="31"/>
      <c r="B617" s="18"/>
      <c r="E617" s="32"/>
      <c r="F617" s="32"/>
      <c r="G617" s="32"/>
      <c r="H617" s="14"/>
    </row>
    <row r="618">
      <c r="A618" s="31"/>
      <c r="B618" s="18"/>
      <c r="E618" s="32"/>
      <c r="F618" s="32"/>
      <c r="G618" s="32"/>
      <c r="H618" s="14"/>
    </row>
    <row r="619">
      <c r="A619" s="31"/>
      <c r="B619" s="18"/>
      <c r="E619" s="32"/>
      <c r="F619" s="32"/>
      <c r="G619" s="32"/>
      <c r="H619" s="14"/>
    </row>
    <row r="620">
      <c r="A620" s="31"/>
      <c r="B620" s="18"/>
      <c r="E620" s="32"/>
      <c r="F620" s="32"/>
      <c r="G620" s="32"/>
      <c r="H620" s="14"/>
    </row>
    <row r="621">
      <c r="A621" s="31"/>
      <c r="B621" s="18"/>
      <c r="E621" s="32"/>
      <c r="F621" s="32"/>
      <c r="G621" s="32"/>
      <c r="H621" s="14"/>
    </row>
    <row r="622">
      <c r="A622" s="31"/>
      <c r="B622" s="18"/>
      <c r="E622" s="32"/>
      <c r="F622" s="32"/>
      <c r="G622" s="32"/>
      <c r="H622" s="14"/>
    </row>
    <row r="623">
      <c r="A623" s="31"/>
      <c r="B623" s="18"/>
      <c r="E623" s="32"/>
      <c r="F623" s="32"/>
      <c r="G623" s="32"/>
      <c r="H623" s="14"/>
    </row>
    <row r="624">
      <c r="A624" s="31"/>
      <c r="B624" s="18"/>
      <c r="E624" s="32"/>
      <c r="F624" s="32"/>
      <c r="G624" s="32"/>
      <c r="H624" s="14"/>
    </row>
    <row r="625">
      <c r="A625" s="31"/>
      <c r="B625" s="18"/>
      <c r="E625" s="32"/>
      <c r="F625" s="32"/>
      <c r="G625" s="32"/>
      <c r="H625" s="14"/>
    </row>
    <row r="626">
      <c r="A626" s="31"/>
      <c r="B626" s="18"/>
      <c r="E626" s="32"/>
      <c r="F626" s="32"/>
      <c r="G626" s="32"/>
      <c r="H626" s="14"/>
    </row>
    <row r="627">
      <c r="A627" s="31"/>
      <c r="B627" s="18"/>
      <c r="E627" s="32"/>
      <c r="F627" s="32"/>
      <c r="G627" s="32"/>
      <c r="H627" s="14"/>
    </row>
    <row r="628">
      <c r="A628" s="31"/>
      <c r="B628" s="18"/>
      <c r="E628" s="32"/>
      <c r="F628" s="32"/>
      <c r="G628" s="32"/>
      <c r="H628" s="14"/>
    </row>
    <row r="629">
      <c r="A629" s="31"/>
      <c r="B629" s="18"/>
      <c r="E629" s="32"/>
      <c r="F629" s="32"/>
      <c r="G629" s="32"/>
      <c r="H629" s="14"/>
    </row>
    <row r="630">
      <c r="A630" s="31"/>
      <c r="B630" s="18"/>
      <c r="E630" s="32"/>
      <c r="F630" s="32"/>
      <c r="G630" s="32"/>
      <c r="H630" s="14"/>
    </row>
    <row r="631">
      <c r="A631" s="31"/>
      <c r="B631" s="18"/>
      <c r="E631" s="32"/>
      <c r="F631" s="32"/>
      <c r="G631" s="32"/>
      <c r="H631" s="14"/>
    </row>
    <row r="632">
      <c r="A632" s="31"/>
      <c r="B632" s="18"/>
      <c r="E632" s="32"/>
      <c r="F632" s="32"/>
      <c r="G632" s="32"/>
      <c r="H632" s="14"/>
    </row>
    <row r="633">
      <c r="A633" s="31"/>
      <c r="B633" s="18"/>
      <c r="E633" s="32"/>
      <c r="F633" s="32"/>
      <c r="G633" s="32"/>
      <c r="H633" s="14"/>
    </row>
    <row r="634">
      <c r="A634" s="31"/>
      <c r="B634" s="18"/>
      <c r="E634" s="32"/>
      <c r="F634" s="32"/>
      <c r="G634" s="32"/>
      <c r="H634" s="14"/>
    </row>
    <row r="635">
      <c r="A635" s="31"/>
      <c r="B635" s="18"/>
      <c r="E635" s="32"/>
      <c r="F635" s="32"/>
      <c r="G635" s="32"/>
      <c r="H635" s="14"/>
    </row>
    <row r="636">
      <c r="A636" s="31"/>
      <c r="B636" s="18"/>
      <c r="E636" s="32"/>
      <c r="F636" s="32"/>
      <c r="G636" s="32"/>
      <c r="H636" s="14"/>
    </row>
    <row r="637">
      <c r="A637" s="31"/>
      <c r="B637" s="18"/>
      <c r="E637" s="32"/>
      <c r="F637" s="32"/>
      <c r="G637" s="32"/>
      <c r="H637" s="14"/>
    </row>
    <row r="638">
      <c r="A638" s="31"/>
      <c r="B638" s="18"/>
      <c r="E638" s="32"/>
      <c r="F638" s="32"/>
      <c r="G638" s="32"/>
      <c r="H638" s="14"/>
    </row>
    <row r="639">
      <c r="A639" s="31"/>
      <c r="B639" s="18"/>
      <c r="E639" s="32"/>
      <c r="F639" s="32"/>
      <c r="G639" s="32"/>
      <c r="H639" s="14"/>
    </row>
    <row r="640">
      <c r="A640" s="31"/>
      <c r="B640" s="18"/>
      <c r="E640" s="32"/>
      <c r="F640" s="32"/>
      <c r="G640" s="32"/>
      <c r="H640" s="14"/>
    </row>
    <row r="641">
      <c r="A641" s="31"/>
      <c r="B641" s="18"/>
      <c r="E641" s="32"/>
      <c r="F641" s="32"/>
      <c r="G641" s="32"/>
      <c r="H641" s="14"/>
    </row>
    <row r="642">
      <c r="A642" s="31"/>
      <c r="B642" s="18"/>
      <c r="E642" s="32"/>
      <c r="F642" s="32"/>
      <c r="G642" s="32"/>
      <c r="H642" s="14"/>
    </row>
    <row r="643">
      <c r="A643" s="31"/>
      <c r="B643" s="18"/>
      <c r="E643" s="32"/>
      <c r="F643" s="32"/>
      <c r="G643" s="32"/>
      <c r="H643" s="14"/>
    </row>
    <row r="644">
      <c r="A644" s="31"/>
      <c r="B644" s="18"/>
      <c r="E644" s="32"/>
      <c r="F644" s="32"/>
      <c r="G644" s="32"/>
      <c r="H644" s="14"/>
    </row>
    <row r="645">
      <c r="A645" s="31"/>
      <c r="B645" s="18"/>
      <c r="E645" s="32"/>
      <c r="F645" s="32"/>
      <c r="G645" s="32"/>
      <c r="H645" s="14"/>
    </row>
    <row r="646">
      <c r="A646" s="31"/>
      <c r="B646" s="18"/>
      <c r="E646" s="32"/>
      <c r="F646" s="32"/>
      <c r="G646" s="32"/>
      <c r="H646" s="14"/>
    </row>
    <row r="647">
      <c r="A647" s="31"/>
      <c r="B647" s="18"/>
      <c r="E647" s="32"/>
      <c r="F647" s="32"/>
      <c r="G647" s="32"/>
      <c r="H647" s="14"/>
    </row>
    <row r="648">
      <c r="A648" s="31"/>
      <c r="B648" s="18"/>
      <c r="E648" s="32"/>
      <c r="F648" s="32"/>
      <c r="G648" s="32"/>
      <c r="H648" s="14"/>
    </row>
    <row r="649">
      <c r="A649" s="31"/>
      <c r="B649" s="18"/>
      <c r="E649" s="32"/>
      <c r="F649" s="32"/>
      <c r="G649" s="32"/>
      <c r="H649" s="14"/>
    </row>
    <row r="650">
      <c r="A650" s="31"/>
      <c r="B650" s="18"/>
      <c r="E650" s="32"/>
      <c r="F650" s="32"/>
      <c r="G650" s="32"/>
      <c r="H650" s="14"/>
    </row>
    <row r="651">
      <c r="A651" s="31"/>
      <c r="B651" s="18"/>
      <c r="E651" s="32"/>
      <c r="F651" s="32"/>
      <c r="G651" s="32"/>
      <c r="H651" s="14"/>
    </row>
    <row r="652">
      <c r="A652" s="31"/>
      <c r="B652" s="18"/>
      <c r="E652" s="32"/>
      <c r="F652" s="32"/>
      <c r="G652" s="32"/>
      <c r="H652" s="14"/>
    </row>
    <row r="653">
      <c r="A653" s="31"/>
      <c r="B653" s="18"/>
      <c r="E653" s="32"/>
      <c r="F653" s="32"/>
      <c r="G653" s="32"/>
      <c r="H653" s="14"/>
    </row>
    <row r="654">
      <c r="A654" s="31"/>
      <c r="B654" s="18"/>
      <c r="E654" s="32"/>
      <c r="F654" s="32"/>
      <c r="G654" s="32"/>
      <c r="H654" s="14"/>
    </row>
    <row r="655">
      <c r="A655" s="31"/>
      <c r="B655" s="18"/>
      <c r="E655" s="32"/>
      <c r="F655" s="32"/>
      <c r="G655" s="32"/>
      <c r="H655" s="14"/>
    </row>
    <row r="656">
      <c r="A656" s="31"/>
      <c r="B656" s="18"/>
      <c r="E656" s="32"/>
      <c r="F656" s="32"/>
      <c r="G656" s="32"/>
      <c r="H656" s="14"/>
    </row>
    <row r="657">
      <c r="A657" s="31"/>
      <c r="B657" s="18"/>
      <c r="E657" s="32"/>
      <c r="F657" s="32"/>
      <c r="G657" s="32"/>
      <c r="H657" s="14"/>
    </row>
    <row r="658">
      <c r="A658" s="31"/>
      <c r="B658" s="18"/>
      <c r="E658" s="32"/>
      <c r="F658" s="32"/>
      <c r="G658" s="32"/>
      <c r="H658" s="14"/>
    </row>
    <row r="659">
      <c r="A659" s="31"/>
      <c r="B659" s="18"/>
      <c r="E659" s="32"/>
      <c r="F659" s="32"/>
      <c r="G659" s="32"/>
      <c r="H659" s="14"/>
    </row>
    <row r="660">
      <c r="A660" s="31"/>
      <c r="B660" s="18"/>
      <c r="E660" s="32"/>
      <c r="F660" s="32"/>
      <c r="G660" s="32"/>
      <c r="H660" s="14"/>
    </row>
    <row r="661">
      <c r="A661" s="31"/>
      <c r="B661" s="18"/>
      <c r="E661" s="32"/>
      <c r="F661" s="32"/>
      <c r="G661" s="32"/>
      <c r="H661" s="14"/>
    </row>
    <row r="662">
      <c r="A662" s="31"/>
      <c r="B662" s="18"/>
      <c r="E662" s="32"/>
      <c r="F662" s="32"/>
      <c r="G662" s="32"/>
      <c r="H662" s="14"/>
    </row>
    <row r="663">
      <c r="A663" s="31"/>
      <c r="B663" s="18"/>
      <c r="E663" s="32"/>
      <c r="F663" s="32"/>
      <c r="G663" s="32"/>
      <c r="H663" s="14"/>
    </row>
    <row r="664">
      <c r="A664" s="31"/>
      <c r="B664" s="18"/>
      <c r="E664" s="32"/>
      <c r="F664" s="32"/>
      <c r="G664" s="32"/>
      <c r="H664" s="14"/>
    </row>
    <row r="665">
      <c r="A665" s="31"/>
      <c r="B665" s="18"/>
      <c r="E665" s="32"/>
      <c r="F665" s="32"/>
      <c r="G665" s="32"/>
      <c r="H665" s="14"/>
    </row>
    <row r="666">
      <c r="A666" s="31"/>
      <c r="B666" s="18"/>
      <c r="E666" s="32"/>
      <c r="F666" s="32"/>
      <c r="G666" s="32"/>
      <c r="H666" s="14"/>
    </row>
    <row r="667">
      <c r="A667" s="31"/>
      <c r="B667" s="18"/>
      <c r="E667" s="32"/>
      <c r="F667" s="32"/>
      <c r="G667" s="32"/>
      <c r="H667" s="14"/>
    </row>
    <row r="668">
      <c r="A668" s="31"/>
      <c r="B668" s="18"/>
      <c r="E668" s="32"/>
      <c r="F668" s="32"/>
      <c r="G668" s="32"/>
      <c r="H668" s="14"/>
    </row>
    <row r="669">
      <c r="A669" s="31"/>
      <c r="B669" s="18"/>
      <c r="E669" s="32"/>
      <c r="F669" s="32"/>
      <c r="G669" s="32"/>
      <c r="H669" s="14"/>
    </row>
    <row r="670">
      <c r="A670" s="31"/>
      <c r="B670" s="18"/>
      <c r="E670" s="32"/>
      <c r="F670" s="32"/>
      <c r="G670" s="32"/>
      <c r="H670" s="14"/>
    </row>
    <row r="671">
      <c r="A671" s="31"/>
      <c r="B671" s="18"/>
      <c r="E671" s="32"/>
      <c r="F671" s="32"/>
      <c r="G671" s="32"/>
      <c r="H671" s="14"/>
    </row>
    <row r="672">
      <c r="A672" s="31"/>
      <c r="B672" s="18"/>
      <c r="E672" s="32"/>
      <c r="F672" s="32"/>
      <c r="G672" s="32"/>
      <c r="H672" s="14"/>
    </row>
    <row r="673">
      <c r="A673" s="31"/>
      <c r="B673" s="18"/>
      <c r="E673" s="32"/>
      <c r="F673" s="32"/>
      <c r="G673" s="32"/>
      <c r="H673" s="14"/>
    </row>
    <row r="674">
      <c r="A674" s="31"/>
      <c r="B674" s="18"/>
      <c r="E674" s="32"/>
      <c r="F674" s="32"/>
      <c r="G674" s="32"/>
      <c r="H674" s="14"/>
    </row>
    <row r="675">
      <c r="A675" s="31"/>
      <c r="B675" s="18"/>
      <c r="E675" s="32"/>
      <c r="F675" s="32"/>
      <c r="G675" s="32"/>
      <c r="H675" s="14"/>
    </row>
    <row r="676">
      <c r="A676" s="31"/>
      <c r="B676" s="18"/>
      <c r="E676" s="32"/>
      <c r="F676" s="32"/>
      <c r="G676" s="32"/>
      <c r="H676" s="14"/>
    </row>
    <row r="677">
      <c r="A677" s="31"/>
      <c r="B677" s="18"/>
      <c r="E677" s="32"/>
      <c r="F677" s="32"/>
      <c r="G677" s="32"/>
      <c r="H677" s="14"/>
    </row>
    <row r="678">
      <c r="A678" s="31"/>
      <c r="B678" s="18"/>
      <c r="E678" s="32"/>
      <c r="F678" s="32"/>
      <c r="G678" s="32"/>
      <c r="H678" s="14"/>
    </row>
    <row r="679">
      <c r="A679" s="31"/>
      <c r="B679" s="18"/>
      <c r="E679" s="32"/>
      <c r="F679" s="32"/>
      <c r="G679" s="32"/>
      <c r="H679" s="14"/>
    </row>
    <row r="680">
      <c r="A680" s="31"/>
      <c r="B680" s="18"/>
      <c r="E680" s="32"/>
      <c r="F680" s="32"/>
      <c r="G680" s="32"/>
      <c r="H680" s="14"/>
    </row>
    <row r="681">
      <c r="A681" s="31"/>
      <c r="B681" s="18"/>
      <c r="E681" s="32"/>
      <c r="F681" s="32"/>
      <c r="G681" s="32"/>
      <c r="H681" s="14"/>
    </row>
    <row r="682">
      <c r="A682" s="31"/>
      <c r="B682" s="18"/>
      <c r="E682" s="32"/>
      <c r="F682" s="32"/>
      <c r="G682" s="32"/>
      <c r="H682" s="14"/>
    </row>
    <row r="683">
      <c r="A683" s="31"/>
      <c r="B683" s="18"/>
      <c r="E683" s="32"/>
      <c r="F683" s="32"/>
      <c r="G683" s="32"/>
      <c r="H683" s="14"/>
    </row>
    <row r="684">
      <c r="A684" s="31"/>
      <c r="B684" s="18"/>
      <c r="E684" s="32"/>
      <c r="F684" s="32"/>
      <c r="G684" s="32"/>
      <c r="H684" s="14"/>
    </row>
    <row r="685">
      <c r="A685" s="31"/>
      <c r="B685" s="18"/>
      <c r="E685" s="32"/>
      <c r="F685" s="32"/>
      <c r="G685" s="32"/>
      <c r="H685" s="14"/>
    </row>
    <row r="686">
      <c r="A686" s="31"/>
      <c r="B686" s="18"/>
      <c r="E686" s="32"/>
      <c r="F686" s="32"/>
      <c r="G686" s="32"/>
      <c r="H686" s="14"/>
    </row>
    <row r="687">
      <c r="A687" s="31"/>
      <c r="B687" s="18"/>
      <c r="E687" s="32"/>
      <c r="F687" s="32"/>
      <c r="G687" s="32"/>
      <c r="H687" s="14"/>
    </row>
    <row r="688">
      <c r="A688" s="31"/>
      <c r="B688" s="18"/>
      <c r="E688" s="32"/>
      <c r="F688" s="32"/>
      <c r="G688" s="32"/>
      <c r="H688" s="14"/>
    </row>
    <row r="689">
      <c r="A689" s="31"/>
      <c r="B689" s="18"/>
      <c r="E689" s="32"/>
      <c r="F689" s="32"/>
      <c r="G689" s="32"/>
      <c r="H689" s="14"/>
    </row>
    <row r="690">
      <c r="A690" s="31"/>
      <c r="B690" s="18"/>
      <c r="E690" s="32"/>
      <c r="F690" s="32"/>
      <c r="G690" s="32"/>
      <c r="H690" s="14"/>
    </row>
    <row r="691">
      <c r="A691" s="31"/>
      <c r="B691" s="18"/>
      <c r="E691" s="32"/>
      <c r="F691" s="32"/>
      <c r="G691" s="32"/>
      <c r="H691" s="14"/>
    </row>
    <row r="692">
      <c r="A692" s="31"/>
      <c r="B692" s="18"/>
      <c r="E692" s="32"/>
      <c r="F692" s="32"/>
      <c r="G692" s="32"/>
      <c r="H692" s="14"/>
    </row>
    <row r="693">
      <c r="A693" s="31"/>
      <c r="B693" s="18"/>
      <c r="E693" s="32"/>
      <c r="F693" s="32"/>
      <c r="G693" s="32"/>
      <c r="H693" s="14"/>
    </row>
    <row r="694">
      <c r="A694" s="31"/>
      <c r="B694" s="18"/>
      <c r="E694" s="32"/>
      <c r="F694" s="32"/>
      <c r="G694" s="32"/>
      <c r="H694" s="14"/>
    </row>
    <row r="695">
      <c r="A695" s="31"/>
      <c r="B695" s="18"/>
      <c r="E695" s="32"/>
      <c r="F695" s="32"/>
      <c r="G695" s="32"/>
      <c r="H695" s="14"/>
    </row>
    <row r="696">
      <c r="A696" s="31"/>
      <c r="B696" s="18"/>
      <c r="E696" s="32"/>
      <c r="F696" s="32"/>
      <c r="G696" s="32"/>
      <c r="H696" s="14"/>
    </row>
    <row r="697">
      <c r="A697" s="31"/>
      <c r="B697" s="18"/>
      <c r="E697" s="32"/>
      <c r="F697" s="32"/>
      <c r="G697" s="32"/>
      <c r="H697" s="14"/>
    </row>
    <row r="698">
      <c r="A698" s="31"/>
      <c r="B698" s="18"/>
      <c r="E698" s="32"/>
      <c r="F698" s="32"/>
      <c r="G698" s="32"/>
      <c r="H698" s="14"/>
    </row>
    <row r="699">
      <c r="A699" s="31"/>
      <c r="B699" s="18"/>
      <c r="E699" s="32"/>
      <c r="F699" s="32"/>
      <c r="G699" s="32"/>
      <c r="H699" s="14"/>
    </row>
    <row r="700">
      <c r="A700" s="31"/>
      <c r="B700" s="18"/>
      <c r="E700" s="32"/>
      <c r="F700" s="32"/>
      <c r="G700" s="32"/>
      <c r="H700" s="14"/>
    </row>
    <row r="701">
      <c r="A701" s="31"/>
      <c r="B701" s="18"/>
      <c r="E701" s="32"/>
      <c r="F701" s="32"/>
      <c r="G701" s="32"/>
      <c r="H701" s="14"/>
    </row>
    <row r="702">
      <c r="A702" s="31"/>
      <c r="B702" s="18"/>
      <c r="E702" s="32"/>
      <c r="F702" s="32"/>
      <c r="G702" s="32"/>
      <c r="H702" s="14"/>
    </row>
    <row r="703">
      <c r="A703" s="31"/>
      <c r="B703" s="18"/>
      <c r="E703" s="32"/>
      <c r="F703" s="32"/>
      <c r="G703" s="32"/>
      <c r="H703" s="14"/>
    </row>
    <row r="704">
      <c r="A704" s="31"/>
      <c r="B704" s="18"/>
      <c r="E704" s="32"/>
      <c r="F704" s="32"/>
      <c r="G704" s="32"/>
      <c r="H704" s="14"/>
    </row>
    <row r="705">
      <c r="A705" s="31"/>
      <c r="B705" s="18"/>
      <c r="E705" s="32"/>
      <c r="F705" s="32"/>
      <c r="G705" s="32"/>
      <c r="H705" s="14"/>
    </row>
    <row r="706">
      <c r="A706" s="31"/>
      <c r="B706" s="18"/>
      <c r="E706" s="32"/>
      <c r="F706" s="32"/>
      <c r="G706" s="32"/>
      <c r="H706" s="14"/>
    </row>
    <row r="707">
      <c r="A707" s="31"/>
      <c r="B707" s="18"/>
      <c r="E707" s="32"/>
      <c r="F707" s="32"/>
      <c r="G707" s="32"/>
      <c r="H707" s="14"/>
    </row>
    <row r="708">
      <c r="A708" s="31"/>
      <c r="B708" s="18"/>
      <c r="E708" s="32"/>
      <c r="F708" s="32"/>
      <c r="G708" s="32"/>
      <c r="H708" s="14"/>
    </row>
    <row r="709">
      <c r="A709" s="31"/>
      <c r="B709" s="18"/>
      <c r="E709" s="32"/>
      <c r="F709" s="32"/>
      <c r="G709" s="32"/>
      <c r="H709" s="14"/>
    </row>
    <row r="710">
      <c r="A710" s="31"/>
      <c r="B710" s="18"/>
      <c r="E710" s="32"/>
      <c r="F710" s="32"/>
      <c r="G710" s="32"/>
      <c r="H710" s="14"/>
    </row>
    <row r="711">
      <c r="A711" s="31"/>
      <c r="B711" s="18"/>
      <c r="E711" s="32"/>
      <c r="F711" s="32"/>
      <c r="G711" s="32"/>
      <c r="H711" s="14"/>
    </row>
    <row r="712">
      <c r="A712" s="31"/>
      <c r="B712" s="18"/>
      <c r="E712" s="32"/>
      <c r="F712" s="32"/>
      <c r="G712" s="32"/>
      <c r="H712" s="14"/>
    </row>
    <row r="713">
      <c r="A713" s="31"/>
      <c r="B713" s="18"/>
      <c r="E713" s="32"/>
      <c r="F713" s="32"/>
      <c r="G713" s="32"/>
      <c r="H713" s="14"/>
    </row>
    <row r="714">
      <c r="A714" s="31"/>
      <c r="B714" s="18"/>
      <c r="E714" s="32"/>
      <c r="F714" s="32"/>
      <c r="G714" s="32"/>
      <c r="H714" s="14"/>
    </row>
    <row r="715">
      <c r="A715" s="31"/>
      <c r="B715" s="18"/>
      <c r="E715" s="32"/>
      <c r="F715" s="32"/>
      <c r="G715" s="32"/>
      <c r="H715" s="14"/>
    </row>
    <row r="716">
      <c r="A716" s="31"/>
      <c r="B716" s="18"/>
      <c r="E716" s="32"/>
      <c r="F716" s="32"/>
      <c r="G716" s="32"/>
      <c r="H716" s="14"/>
    </row>
    <row r="717">
      <c r="A717" s="31"/>
      <c r="B717" s="18"/>
      <c r="E717" s="32"/>
      <c r="F717" s="32"/>
      <c r="G717" s="32"/>
      <c r="H717" s="14"/>
    </row>
    <row r="718">
      <c r="A718" s="31"/>
      <c r="B718" s="18"/>
      <c r="E718" s="32"/>
      <c r="F718" s="32"/>
      <c r="G718" s="32"/>
      <c r="H718" s="14"/>
    </row>
    <row r="719">
      <c r="A719" s="31"/>
      <c r="B719" s="18"/>
      <c r="E719" s="32"/>
      <c r="F719" s="32"/>
      <c r="G719" s="32"/>
      <c r="H719" s="14"/>
    </row>
    <row r="720">
      <c r="A720" s="31"/>
      <c r="B720" s="18"/>
      <c r="E720" s="32"/>
      <c r="F720" s="32"/>
      <c r="G720" s="32"/>
      <c r="H720" s="14"/>
    </row>
    <row r="721">
      <c r="A721" s="31"/>
      <c r="B721" s="18"/>
      <c r="E721" s="32"/>
      <c r="F721" s="32"/>
      <c r="G721" s="32"/>
      <c r="H721" s="14"/>
    </row>
    <row r="722">
      <c r="A722" s="31"/>
      <c r="B722" s="18"/>
      <c r="E722" s="32"/>
      <c r="F722" s="32"/>
      <c r="G722" s="32"/>
      <c r="H722" s="14"/>
    </row>
    <row r="723">
      <c r="A723" s="31"/>
      <c r="B723" s="18"/>
      <c r="E723" s="32"/>
      <c r="F723" s="32"/>
      <c r="G723" s="32"/>
      <c r="H723" s="14"/>
    </row>
    <row r="724">
      <c r="A724" s="31"/>
      <c r="B724" s="18"/>
      <c r="E724" s="32"/>
      <c r="F724" s="32"/>
      <c r="G724" s="32"/>
      <c r="H724" s="14"/>
    </row>
    <row r="725">
      <c r="A725" s="31"/>
      <c r="B725" s="18"/>
      <c r="E725" s="32"/>
      <c r="F725" s="32"/>
      <c r="G725" s="32"/>
      <c r="H725" s="14"/>
    </row>
    <row r="726">
      <c r="A726" s="31"/>
      <c r="B726" s="18"/>
      <c r="E726" s="32"/>
      <c r="F726" s="32"/>
      <c r="G726" s="32"/>
      <c r="H726" s="14"/>
    </row>
    <row r="727">
      <c r="A727" s="31"/>
      <c r="B727" s="18"/>
      <c r="E727" s="32"/>
      <c r="F727" s="32"/>
      <c r="G727" s="32"/>
      <c r="H727" s="14"/>
    </row>
    <row r="728">
      <c r="A728" s="31"/>
      <c r="B728" s="18"/>
      <c r="E728" s="32"/>
      <c r="F728" s="32"/>
      <c r="G728" s="32"/>
      <c r="H728" s="14"/>
    </row>
    <row r="729">
      <c r="A729" s="31"/>
      <c r="B729" s="18"/>
      <c r="E729" s="32"/>
      <c r="F729" s="32"/>
      <c r="G729" s="32"/>
      <c r="H729" s="14"/>
    </row>
    <row r="730">
      <c r="A730" s="31"/>
      <c r="B730" s="18"/>
      <c r="E730" s="32"/>
      <c r="F730" s="32"/>
      <c r="G730" s="32"/>
      <c r="H730" s="14"/>
    </row>
    <row r="731">
      <c r="A731" s="31"/>
      <c r="B731" s="18"/>
      <c r="E731" s="32"/>
      <c r="F731" s="32"/>
      <c r="G731" s="32"/>
      <c r="H731" s="14"/>
    </row>
    <row r="732">
      <c r="A732" s="31"/>
      <c r="B732" s="18"/>
      <c r="E732" s="32"/>
      <c r="F732" s="32"/>
      <c r="G732" s="32"/>
      <c r="H732" s="14"/>
    </row>
    <row r="733">
      <c r="A733" s="31"/>
      <c r="B733" s="18"/>
      <c r="E733" s="32"/>
      <c r="F733" s="32"/>
      <c r="G733" s="32"/>
      <c r="H733" s="14"/>
    </row>
    <row r="734">
      <c r="A734" s="31"/>
      <c r="B734" s="18"/>
      <c r="E734" s="32"/>
      <c r="F734" s="32"/>
      <c r="G734" s="32"/>
      <c r="H734" s="14"/>
    </row>
    <row r="735">
      <c r="A735" s="31"/>
      <c r="B735" s="18"/>
      <c r="E735" s="32"/>
      <c r="F735" s="32"/>
      <c r="G735" s="32"/>
      <c r="H735" s="14"/>
    </row>
    <row r="736">
      <c r="A736" s="31"/>
      <c r="B736" s="18"/>
      <c r="E736" s="32"/>
      <c r="F736" s="32"/>
      <c r="G736" s="32"/>
      <c r="H736" s="14"/>
    </row>
    <row r="737">
      <c r="A737" s="31"/>
      <c r="B737" s="18"/>
      <c r="E737" s="32"/>
      <c r="F737" s="32"/>
      <c r="G737" s="32"/>
      <c r="H737" s="14"/>
    </row>
    <row r="738">
      <c r="A738" s="31"/>
      <c r="B738" s="18"/>
      <c r="E738" s="32"/>
      <c r="F738" s="32"/>
      <c r="G738" s="32"/>
      <c r="H738" s="14"/>
    </row>
    <row r="739">
      <c r="A739" s="31"/>
      <c r="B739" s="18"/>
      <c r="E739" s="32"/>
      <c r="F739" s="32"/>
      <c r="G739" s="32"/>
      <c r="H739" s="14"/>
    </row>
    <row r="740">
      <c r="A740" s="31"/>
      <c r="B740" s="18"/>
      <c r="E740" s="32"/>
      <c r="F740" s="32"/>
      <c r="G740" s="32"/>
      <c r="H740" s="14"/>
    </row>
    <row r="741">
      <c r="A741" s="31"/>
      <c r="B741" s="18"/>
      <c r="E741" s="32"/>
      <c r="F741" s="32"/>
      <c r="G741" s="32"/>
      <c r="H741" s="14"/>
    </row>
    <row r="742">
      <c r="A742" s="31"/>
      <c r="B742" s="18"/>
      <c r="E742" s="32"/>
      <c r="F742" s="32"/>
      <c r="G742" s="32"/>
      <c r="H742" s="14"/>
    </row>
    <row r="743">
      <c r="A743" s="31"/>
      <c r="B743" s="18"/>
      <c r="E743" s="32"/>
      <c r="F743" s="32"/>
      <c r="G743" s="32"/>
      <c r="H743" s="14"/>
    </row>
    <row r="744">
      <c r="A744" s="31"/>
      <c r="B744" s="18"/>
      <c r="E744" s="32"/>
      <c r="F744" s="32"/>
      <c r="G744" s="32"/>
      <c r="H744" s="14"/>
    </row>
    <row r="745">
      <c r="A745" s="31"/>
      <c r="B745" s="18"/>
      <c r="E745" s="32"/>
      <c r="F745" s="32"/>
      <c r="G745" s="32"/>
      <c r="H745" s="14"/>
    </row>
    <row r="746">
      <c r="A746" s="31"/>
      <c r="B746" s="18"/>
      <c r="E746" s="32"/>
      <c r="F746" s="32"/>
      <c r="G746" s="32"/>
      <c r="H746" s="14"/>
    </row>
    <row r="747">
      <c r="A747" s="31"/>
      <c r="B747" s="18"/>
      <c r="E747" s="32"/>
      <c r="F747" s="32"/>
      <c r="G747" s="32"/>
      <c r="H747" s="14"/>
    </row>
    <row r="748">
      <c r="A748" s="31"/>
      <c r="B748" s="18"/>
      <c r="E748" s="32"/>
      <c r="F748" s="32"/>
      <c r="G748" s="32"/>
      <c r="H748" s="14"/>
    </row>
    <row r="749">
      <c r="A749" s="31"/>
      <c r="B749" s="18"/>
      <c r="E749" s="32"/>
      <c r="F749" s="32"/>
      <c r="G749" s="32"/>
      <c r="H749" s="14"/>
    </row>
    <row r="750">
      <c r="A750" s="31"/>
      <c r="B750" s="18"/>
      <c r="E750" s="32"/>
      <c r="F750" s="32"/>
      <c r="G750" s="32"/>
      <c r="H750" s="14"/>
    </row>
    <row r="751">
      <c r="A751" s="31"/>
      <c r="B751" s="18"/>
      <c r="E751" s="32"/>
      <c r="F751" s="32"/>
      <c r="G751" s="32"/>
      <c r="H751" s="14"/>
    </row>
    <row r="752">
      <c r="A752" s="31"/>
      <c r="B752" s="18"/>
      <c r="E752" s="32"/>
      <c r="F752" s="32"/>
      <c r="G752" s="32"/>
      <c r="H752" s="14"/>
    </row>
    <row r="753">
      <c r="A753" s="31"/>
      <c r="B753" s="18"/>
      <c r="E753" s="32"/>
      <c r="F753" s="32"/>
      <c r="G753" s="32"/>
      <c r="H753" s="14"/>
    </row>
    <row r="754">
      <c r="A754" s="31"/>
      <c r="B754" s="18"/>
      <c r="E754" s="32"/>
      <c r="F754" s="32"/>
      <c r="G754" s="32"/>
      <c r="H754" s="14"/>
    </row>
    <row r="755">
      <c r="A755" s="31"/>
      <c r="B755" s="18"/>
      <c r="E755" s="32"/>
      <c r="F755" s="32"/>
      <c r="G755" s="32"/>
      <c r="H755" s="14"/>
    </row>
    <row r="756">
      <c r="A756" s="31"/>
      <c r="B756" s="18"/>
      <c r="E756" s="32"/>
      <c r="F756" s="32"/>
      <c r="G756" s="32"/>
      <c r="H756" s="14"/>
    </row>
    <row r="757">
      <c r="A757" s="31"/>
      <c r="B757" s="18"/>
      <c r="E757" s="32"/>
      <c r="F757" s="32"/>
      <c r="G757" s="32"/>
      <c r="H757" s="14"/>
    </row>
    <row r="758">
      <c r="A758" s="31"/>
      <c r="B758" s="18"/>
      <c r="E758" s="32"/>
      <c r="F758" s="32"/>
      <c r="G758" s="32"/>
      <c r="H758" s="14"/>
    </row>
    <row r="759">
      <c r="A759" s="31"/>
      <c r="B759" s="18"/>
      <c r="E759" s="32"/>
      <c r="F759" s="32"/>
      <c r="G759" s="32"/>
      <c r="H759" s="14"/>
    </row>
    <row r="760">
      <c r="A760" s="31"/>
      <c r="B760" s="18"/>
      <c r="E760" s="32"/>
      <c r="F760" s="32"/>
      <c r="G760" s="32"/>
      <c r="H760" s="14"/>
    </row>
    <row r="761">
      <c r="A761" s="31"/>
      <c r="B761" s="18"/>
      <c r="E761" s="32"/>
      <c r="F761" s="32"/>
      <c r="G761" s="32"/>
      <c r="H761" s="14"/>
    </row>
    <row r="762">
      <c r="A762" s="31"/>
      <c r="B762" s="18"/>
      <c r="E762" s="32"/>
      <c r="F762" s="32"/>
      <c r="G762" s="32"/>
      <c r="H762" s="14"/>
    </row>
    <row r="763">
      <c r="A763" s="31"/>
      <c r="B763" s="18"/>
      <c r="E763" s="32"/>
      <c r="F763" s="32"/>
      <c r="G763" s="32"/>
      <c r="H763" s="14"/>
    </row>
    <row r="764">
      <c r="A764" s="31"/>
      <c r="B764" s="18"/>
      <c r="E764" s="32"/>
      <c r="F764" s="32"/>
      <c r="G764" s="32"/>
      <c r="H764" s="14"/>
    </row>
    <row r="765">
      <c r="A765" s="31"/>
      <c r="B765" s="18"/>
      <c r="E765" s="32"/>
      <c r="F765" s="32"/>
      <c r="G765" s="32"/>
      <c r="H765" s="14"/>
    </row>
    <row r="766">
      <c r="A766" s="31"/>
      <c r="B766" s="18"/>
      <c r="E766" s="32"/>
      <c r="F766" s="32"/>
      <c r="G766" s="32"/>
      <c r="H766" s="14"/>
    </row>
    <row r="767">
      <c r="A767" s="31"/>
      <c r="B767" s="18"/>
      <c r="E767" s="32"/>
      <c r="F767" s="32"/>
      <c r="G767" s="32"/>
      <c r="H767" s="14"/>
    </row>
    <row r="768">
      <c r="A768" s="31"/>
      <c r="B768" s="18"/>
      <c r="E768" s="32"/>
      <c r="F768" s="32"/>
      <c r="G768" s="32"/>
      <c r="H768" s="14"/>
    </row>
    <row r="769">
      <c r="A769" s="31"/>
      <c r="B769" s="18"/>
      <c r="E769" s="32"/>
      <c r="F769" s="32"/>
      <c r="G769" s="32"/>
      <c r="H769" s="14"/>
    </row>
    <row r="770">
      <c r="A770" s="31"/>
      <c r="B770" s="18"/>
      <c r="E770" s="32"/>
      <c r="F770" s="32"/>
      <c r="G770" s="32"/>
      <c r="H770" s="14"/>
    </row>
    <row r="771">
      <c r="A771" s="31"/>
      <c r="B771" s="18"/>
      <c r="E771" s="32"/>
      <c r="F771" s="32"/>
      <c r="G771" s="32"/>
      <c r="H771" s="14"/>
    </row>
    <row r="772">
      <c r="A772" s="31"/>
      <c r="B772" s="18"/>
      <c r="E772" s="32"/>
      <c r="F772" s="32"/>
      <c r="G772" s="32"/>
      <c r="H772" s="14"/>
    </row>
    <row r="773">
      <c r="A773" s="31"/>
      <c r="B773" s="18"/>
      <c r="E773" s="32"/>
      <c r="F773" s="32"/>
      <c r="G773" s="32"/>
      <c r="H773" s="14"/>
    </row>
    <row r="774">
      <c r="A774" s="31"/>
      <c r="B774" s="18"/>
      <c r="E774" s="32"/>
      <c r="F774" s="32"/>
      <c r="G774" s="32"/>
      <c r="H774" s="14"/>
    </row>
    <row r="775">
      <c r="A775" s="31"/>
      <c r="B775" s="18"/>
      <c r="E775" s="32"/>
      <c r="F775" s="32"/>
      <c r="G775" s="32"/>
      <c r="H775" s="14"/>
    </row>
    <row r="776">
      <c r="A776" s="31"/>
      <c r="B776" s="18"/>
      <c r="E776" s="32"/>
      <c r="F776" s="32"/>
      <c r="G776" s="32"/>
      <c r="H776" s="14"/>
    </row>
    <row r="777">
      <c r="A777" s="31"/>
      <c r="B777" s="18"/>
      <c r="E777" s="32"/>
      <c r="F777" s="32"/>
      <c r="G777" s="32"/>
      <c r="H777" s="14"/>
    </row>
    <row r="778">
      <c r="A778" s="31"/>
      <c r="B778" s="18"/>
      <c r="E778" s="32"/>
      <c r="F778" s="32"/>
      <c r="G778" s="32"/>
      <c r="H778" s="14"/>
    </row>
    <row r="779">
      <c r="A779" s="31"/>
      <c r="B779" s="18"/>
      <c r="E779" s="32"/>
      <c r="F779" s="32"/>
      <c r="G779" s="32"/>
      <c r="H779" s="14"/>
    </row>
    <row r="780">
      <c r="A780" s="31"/>
      <c r="B780" s="18"/>
      <c r="E780" s="32"/>
      <c r="F780" s="32"/>
      <c r="G780" s="32"/>
      <c r="H780" s="14"/>
    </row>
    <row r="781">
      <c r="A781" s="31"/>
      <c r="B781" s="18"/>
      <c r="E781" s="32"/>
      <c r="F781" s="32"/>
      <c r="G781" s="32"/>
      <c r="H781" s="14"/>
    </row>
    <row r="782">
      <c r="A782" s="31"/>
      <c r="B782" s="18"/>
      <c r="E782" s="32"/>
      <c r="F782" s="32"/>
      <c r="G782" s="32"/>
      <c r="H782" s="14"/>
    </row>
    <row r="783">
      <c r="A783" s="31"/>
      <c r="B783" s="18"/>
      <c r="E783" s="32"/>
      <c r="F783" s="32"/>
      <c r="G783" s="32"/>
      <c r="H783" s="14"/>
    </row>
    <row r="784">
      <c r="A784" s="31"/>
      <c r="B784" s="18"/>
      <c r="E784" s="32"/>
      <c r="F784" s="32"/>
      <c r="G784" s="32"/>
      <c r="H784" s="14"/>
    </row>
    <row r="785">
      <c r="A785" s="31"/>
      <c r="B785" s="18"/>
      <c r="E785" s="32"/>
      <c r="F785" s="32"/>
      <c r="G785" s="32"/>
      <c r="H785" s="14"/>
    </row>
    <row r="786">
      <c r="A786" s="31"/>
      <c r="B786" s="18"/>
      <c r="E786" s="32"/>
      <c r="F786" s="32"/>
      <c r="G786" s="32"/>
      <c r="H786" s="14"/>
    </row>
    <row r="787">
      <c r="A787" s="31"/>
      <c r="B787" s="18"/>
      <c r="E787" s="32"/>
      <c r="F787" s="32"/>
      <c r="G787" s="32"/>
      <c r="H787" s="14"/>
    </row>
    <row r="788">
      <c r="A788" s="31"/>
      <c r="B788" s="18"/>
      <c r="E788" s="32"/>
      <c r="F788" s="32"/>
      <c r="G788" s="32"/>
      <c r="H788" s="14"/>
    </row>
    <row r="789">
      <c r="A789" s="31"/>
      <c r="B789" s="18"/>
      <c r="E789" s="32"/>
      <c r="F789" s="32"/>
      <c r="G789" s="32"/>
      <c r="H789" s="14"/>
    </row>
    <row r="790">
      <c r="A790" s="31"/>
      <c r="B790" s="18"/>
      <c r="E790" s="32"/>
      <c r="F790" s="32"/>
      <c r="G790" s="32"/>
      <c r="H790" s="14"/>
    </row>
    <row r="791">
      <c r="A791" s="31"/>
      <c r="B791" s="18"/>
      <c r="E791" s="32"/>
      <c r="F791" s="32"/>
      <c r="G791" s="32"/>
      <c r="H791" s="14"/>
    </row>
    <row r="792">
      <c r="A792" s="31"/>
      <c r="B792" s="18"/>
      <c r="E792" s="32"/>
      <c r="F792" s="32"/>
      <c r="G792" s="32"/>
      <c r="H792" s="14"/>
    </row>
    <row r="793">
      <c r="A793" s="31"/>
      <c r="B793" s="18"/>
      <c r="E793" s="32"/>
      <c r="F793" s="32"/>
      <c r="G793" s="32"/>
      <c r="H793" s="14"/>
    </row>
    <row r="794">
      <c r="A794" s="31"/>
      <c r="B794" s="18"/>
      <c r="E794" s="32"/>
      <c r="F794" s="32"/>
      <c r="G794" s="32"/>
      <c r="H794" s="14"/>
    </row>
    <row r="795">
      <c r="A795" s="31"/>
      <c r="B795" s="18"/>
      <c r="E795" s="32"/>
      <c r="F795" s="32"/>
      <c r="G795" s="32"/>
      <c r="H795" s="14"/>
    </row>
    <row r="796">
      <c r="A796" s="31"/>
      <c r="B796" s="18"/>
      <c r="E796" s="32"/>
      <c r="F796" s="32"/>
      <c r="G796" s="32"/>
      <c r="H796" s="14"/>
    </row>
    <row r="797">
      <c r="A797" s="31"/>
      <c r="B797" s="18"/>
      <c r="E797" s="32"/>
      <c r="F797" s="32"/>
      <c r="G797" s="32"/>
      <c r="H797" s="14"/>
    </row>
    <row r="798">
      <c r="A798" s="31"/>
      <c r="B798" s="18"/>
      <c r="E798" s="32"/>
      <c r="F798" s="32"/>
      <c r="G798" s="32"/>
      <c r="H798" s="14"/>
    </row>
    <row r="799">
      <c r="A799" s="31"/>
      <c r="B799" s="18"/>
      <c r="E799" s="32"/>
      <c r="F799" s="32"/>
      <c r="G799" s="32"/>
      <c r="H799" s="14"/>
    </row>
    <row r="800">
      <c r="A800" s="31"/>
      <c r="B800" s="18"/>
      <c r="E800" s="32"/>
      <c r="F800" s="32"/>
      <c r="G800" s="32"/>
      <c r="H800" s="14"/>
    </row>
    <row r="801">
      <c r="A801" s="31"/>
      <c r="B801" s="18"/>
      <c r="E801" s="32"/>
      <c r="F801" s="32"/>
      <c r="G801" s="32"/>
      <c r="H801" s="14"/>
    </row>
    <row r="802">
      <c r="A802" s="31"/>
      <c r="B802" s="18"/>
      <c r="E802" s="32"/>
      <c r="F802" s="32"/>
      <c r="G802" s="32"/>
      <c r="H802" s="14"/>
    </row>
    <row r="803">
      <c r="A803" s="31"/>
      <c r="B803" s="18"/>
      <c r="E803" s="32"/>
      <c r="F803" s="32"/>
      <c r="G803" s="32"/>
      <c r="H803" s="14"/>
    </row>
    <row r="804">
      <c r="A804" s="31"/>
      <c r="B804" s="18"/>
      <c r="E804" s="32"/>
      <c r="F804" s="32"/>
      <c r="G804" s="32"/>
      <c r="H804" s="14"/>
    </row>
    <row r="805">
      <c r="A805" s="31"/>
      <c r="B805" s="18"/>
      <c r="E805" s="32"/>
      <c r="F805" s="32"/>
      <c r="G805" s="32"/>
      <c r="H805" s="14"/>
    </row>
    <row r="806">
      <c r="A806" s="31"/>
      <c r="B806" s="18"/>
      <c r="E806" s="32"/>
      <c r="F806" s="32"/>
      <c r="G806" s="32"/>
      <c r="H806" s="14"/>
    </row>
    <row r="807">
      <c r="A807" s="31"/>
      <c r="B807" s="18"/>
      <c r="E807" s="32"/>
      <c r="F807" s="32"/>
      <c r="G807" s="32"/>
      <c r="H807" s="14"/>
    </row>
    <row r="808">
      <c r="A808" s="31"/>
      <c r="B808" s="18"/>
      <c r="E808" s="32"/>
      <c r="F808" s="32"/>
      <c r="G808" s="32"/>
      <c r="H808" s="14"/>
    </row>
    <row r="809">
      <c r="A809" s="31"/>
      <c r="B809" s="18"/>
      <c r="E809" s="32"/>
      <c r="F809" s="32"/>
      <c r="G809" s="32"/>
      <c r="H809" s="14"/>
    </row>
    <row r="810">
      <c r="A810" s="31"/>
      <c r="B810" s="18"/>
      <c r="E810" s="32"/>
      <c r="F810" s="32"/>
      <c r="G810" s="32"/>
      <c r="H810" s="14"/>
    </row>
    <row r="811">
      <c r="A811" s="31"/>
      <c r="B811" s="18"/>
      <c r="E811" s="32"/>
      <c r="F811" s="32"/>
      <c r="G811" s="32"/>
      <c r="H811" s="14"/>
    </row>
    <row r="812">
      <c r="A812" s="31"/>
      <c r="B812" s="18"/>
      <c r="E812" s="32"/>
      <c r="F812" s="32"/>
      <c r="G812" s="32"/>
      <c r="H812" s="14"/>
    </row>
    <row r="813">
      <c r="A813" s="31"/>
      <c r="B813" s="18"/>
      <c r="E813" s="32"/>
      <c r="F813" s="32"/>
      <c r="G813" s="32"/>
      <c r="H813" s="14"/>
    </row>
    <row r="814">
      <c r="A814" s="31"/>
      <c r="B814" s="18"/>
      <c r="E814" s="32"/>
      <c r="F814" s="32"/>
      <c r="G814" s="32"/>
      <c r="H814" s="14"/>
    </row>
    <row r="815">
      <c r="A815" s="31"/>
      <c r="B815" s="18"/>
      <c r="E815" s="32"/>
      <c r="F815" s="32"/>
      <c r="G815" s="32"/>
      <c r="H815" s="14"/>
    </row>
    <row r="816">
      <c r="A816" s="31"/>
      <c r="B816" s="18"/>
      <c r="E816" s="32"/>
      <c r="F816" s="32"/>
      <c r="G816" s="32"/>
      <c r="H816" s="14"/>
    </row>
    <row r="817">
      <c r="A817" s="31"/>
      <c r="B817" s="18"/>
      <c r="E817" s="32"/>
      <c r="F817" s="32"/>
      <c r="G817" s="32"/>
      <c r="H817" s="14"/>
    </row>
    <row r="818">
      <c r="A818" s="31"/>
      <c r="B818" s="18"/>
      <c r="E818" s="32"/>
      <c r="F818" s="32"/>
      <c r="G818" s="32"/>
      <c r="H818" s="14"/>
    </row>
    <row r="819">
      <c r="A819" s="31"/>
      <c r="B819" s="18"/>
      <c r="E819" s="32"/>
      <c r="F819" s="32"/>
      <c r="G819" s="32"/>
      <c r="H819" s="14"/>
    </row>
    <row r="820">
      <c r="A820" s="31"/>
      <c r="B820" s="18"/>
      <c r="E820" s="32"/>
      <c r="F820" s="32"/>
      <c r="G820" s="32"/>
      <c r="H820" s="14"/>
    </row>
    <row r="821">
      <c r="A821" s="31"/>
      <c r="B821" s="18"/>
      <c r="E821" s="32"/>
      <c r="F821" s="32"/>
      <c r="G821" s="32"/>
      <c r="H821" s="14"/>
    </row>
    <row r="822">
      <c r="A822" s="31"/>
      <c r="B822" s="18"/>
      <c r="E822" s="32"/>
      <c r="F822" s="32"/>
      <c r="G822" s="32"/>
      <c r="H822" s="14"/>
    </row>
    <row r="823">
      <c r="A823" s="31"/>
      <c r="B823" s="18"/>
      <c r="E823" s="32"/>
      <c r="F823" s="32"/>
      <c r="G823" s="32"/>
      <c r="H823" s="14"/>
    </row>
    <row r="824">
      <c r="A824" s="31"/>
      <c r="B824" s="18"/>
      <c r="E824" s="32"/>
      <c r="F824" s="32"/>
      <c r="G824" s="32"/>
      <c r="H824" s="14"/>
    </row>
    <row r="825">
      <c r="A825" s="31"/>
      <c r="B825" s="18"/>
      <c r="E825" s="32"/>
      <c r="F825" s="32"/>
      <c r="G825" s="32"/>
      <c r="H825" s="14"/>
    </row>
    <row r="826">
      <c r="A826" s="31"/>
      <c r="B826" s="18"/>
      <c r="E826" s="32"/>
      <c r="F826" s="32"/>
      <c r="G826" s="32"/>
      <c r="H826" s="14"/>
    </row>
    <row r="827">
      <c r="A827" s="31"/>
      <c r="B827" s="18"/>
      <c r="E827" s="32"/>
      <c r="F827" s="32"/>
      <c r="G827" s="32"/>
      <c r="H827" s="14"/>
    </row>
    <row r="828">
      <c r="A828" s="31"/>
      <c r="B828" s="18"/>
      <c r="E828" s="32"/>
      <c r="F828" s="32"/>
      <c r="G828" s="32"/>
      <c r="H828" s="14"/>
    </row>
    <row r="829">
      <c r="A829" s="31"/>
      <c r="B829" s="18"/>
      <c r="E829" s="32"/>
      <c r="F829" s="32"/>
      <c r="G829" s="32"/>
      <c r="H829" s="14"/>
    </row>
    <row r="830">
      <c r="A830" s="31"/>
      <c r="B830" s="18"/>
      <c r="E830" s="32"/>
      <c r="F830" s="32"/>
      <c r="G830" s="32"/>
      <c r="H830" s="14"/>
    </row>
    <row r="831">
      <c r="A831" s="31"/>
      <c r="B831" s="18"/>
      <c r="E831" s="32"/>
      <c r="F831" s="32"/>
      <c r="G831" s="32"/>
      <c r="H831" s="14"/>
    </row>
    <row r="832">
      <c r="A832" s="31"/>
      <c r="B832" s="18"/>
      <c r="E832" s="32"/>
      <c r="F832" s="32"/>
      <c r="G832" s="32"/>
      <c r="H832" s="14"/>
    </row>
    <row r="833">
      <c r="A833" s="31"/>
      <c r="B833" s="18"/>
      <c r="E833" s="32"/>
      <c r="F833" s="32"/>
      <c r="G833" s="32"/>
      <c r="H833" s="14"/>
    </row>
    <row r="834">
      <c r="A834" s="31"/>
      <c r="B834" s="18"/>
      <c r="E834" s="32"/>
      <c r="F834" s="32"/>
      <c r="G834" s="32"/>
      <c r="H834" s="14"/>
    </row>
    <row r="835">
      <c r="A835" s="31"/>
      <c r="B835" s="18"/>
      <c r="E835" s="32"/>
      <c r="F835" s="32"/>
      <c r="G835" s="32"/>
      <c r="H835" s="14"/>
    </row>
    <row r="836">
      <c r="A836" s="31"/>
      <c r="B836" s="18"/>
      <c r="E836" s="32"/>
      <c r="F836" s="32"/>
      <c r="G836" s="32"/>
      <c r="H836" s="14"/>
    </row>
    <row r="837">
      <c r="A837" s="31"/>
      <c r="B837" s="18"/>
      <c r="E837" s="32"/>
      <c r="F837" s="32"/>
      <c r="G837" s="32"/>
      <c r="H837" s="14"/>
    </row>
    <row r="838">
      <c r="A838" s="31"/>
      <c r="B838" s="18"/>
      <c r="E838" s="32"/>
      <c r="F838" s="32"/>
      <c r="G838" s="32"/>
      <c r="H838" s="14"/>
    </row>
    <row r="839">
      <c r="A839" s="31"/>
      <c r="B839" s="18"/>
      <c r="E839" s="32"/>
      <c r="F839" s="32"/>
      <c r="G839" s="32"/>
      <c r="H839" s="14"/>
    </row>
    <row r="840">
      <c r="A840" s="31"/>
      <c r="B840" s="18"/>
      <c r="E840" s="32"/>
      <c r="F840" s="32"/>
      <c r="G840" s="32"/>
      <c r="H840" s="14"/>
    </row>
    <row r="841">
      <c r="A841" s="31"/>
      <c r="B841" s="18"/>
      <c r="E841" s="32"/>
      <c r="F841" s="32"/>
      <c r="G841" s="32"/>
      <c r="H841" s="14"/>
    </row>
    <row r="842">
      <c r="A842" s="31"/>
      <c r="B842" s="18"/>
      <c r="E842" s="32"/>
      <c r="F842" s="32"/>
      <c r="G842" s="32"/>
      <c r="H842" s="14"/>
    </row>
    <row r="843">
      <c r="A843" s="31"/>
      <c r="B843" s="18"/>
      <c r="E843" s="32"/>
      <c r="F843" s="32"/>
      <c r="G843" s="32"/>
      <c r="H843" s="14"/>
    </row>
    <row r="844">
      <c r="A844" s="31"/>
      <c r="B844" s="18"/>
      <c r="E844" s="32"/>
      <c r="F844" s="32"/>
      <c r="G844" s="32"/>
      <c r="H844" s="14"/>
    </row>
    <row r="845">
      <c r="A845" s="31"/>
      <c r="B845" s="18"/>
      <c r="E845" s="32"/>
      <c r="F845" s="32"/>
      <c r="G845" s="32"/>
      <c r="H845" s="14"/>
    </row>
    <row r="846">
      <c r="A846" s="31"/>
      <c r="B846" s="18"/>
      <c r="E846" s="32"/>
      <c r="F846" s="32"/>
      <c r="G846" s="32"/>
      <c r="H846" s="14"/>
    </row>
    <row r="847">
      <c r="A847" s="31"/>
      <c r="B847" s="18"/>
      <c r="E847" s="32"/>
      <c r="F847" s="32"/>
      <c r="G847" s="32"/>
      <c r="H847" s="14"/>
    </row>
    <row r="848">
      <c r="A848" s="31"/>
      <c r="B848" s="18"/>
      <c r="E848" s="32"/>
      <c r="F848" s="32"/>
      <c r="G848" s="32"/>
      <c r="H848" s="14"/>
    </row>
    <row r="849">
      <c r="A849" s="31"/>
      <c r="B849" s="18"/>
      <c r="E849" s="32"/>
      <c r="F849" s="32"/>
      <c r="G849" s="32"/>
      <c r="H849" s="14"/>
    </row>
    <row r="850">
      <c r="A850" s="31"/>
      <c r="B850" s="18"/>
      <c r="E850" s="32"/>
      <c r="F850" s="32"/>
      <c r="G850" s="32"/>
      <c r="H850" s="14"/>
    </row>
    <row r="851">
      <c r="A851" s="31"/>
      <c r="B851" s="18"/>
      <c r="E851" s="32"/>
      <c r="F851" s="32"/>
      <c r="G851" s="32"/>
      <c r="H851" s="14"/>
    </row>
    <row r="852">
      <c r="A852" s="31"/>
      <c r="B852" s="18"/>
      <c r="E852" s="32"/>
      <c r="F852" s="32"/>
      <c r="G852" s="32"/>
      <c r="H852" s="14"/>
    </row>
    <row r="853">
      <c r="A853" s="31"/>
      <c r="B853" s="18"/>
      <c r="E853" s="32"/>
      <c r="F853" s="32"/>
      <c r="G853" s="32"/>
      <c r="H853" s="14"/>
    </row>
    <row r="854">
      <c r="A854" s="31"/>
      <c r="B854" s="18"/>
      <c r="E854" s="32"/>
      <c r="F854" s="32"/>
      <c r="G854" s="32"/>
      <c r="H854" s="14"/>
    </row>
    <row r="855">
      <c r="A855" s="31"/>
      <c r="B855" s="18"/>
      <c r="E855" s="32"/>
      <c r="F855" s="32"/>
      <c r="G855" s="32"/>
      <c r="H855" s="14"/>
    </row>
    <row r="856">
      <c r="A856" s="31"/>
      <c r="B856" s="18"/>
      <c r="E856" s="32"/>
      <c r="F856" s="32"/>
      <c r="G856" s="32"/>
      <c r="H856" s="14"/>
    </row>
    <row r="857">
      <c r="A857" s="31"/>
      <c r="B857" s="18"/>
      <c r="E857" s="32"/>
      <c r="F857" s="32"/>
      <c r="G857" s="32"/>
      <c r="H857" s="14"/>
    </row>
    <row r="858">
      <c r="A858" s="31"/>
      <c r="B858" s="18"/>
      <c r="E858" s="32"/>
      <c r="F858" s="32"/>
      <c r="G858" s="32"/>
      <c r="H858" s="14"/>
    </row>
    <row r="859">
      <c r="A859" s="31"/>
      <c r="B859" s="18"/>
      <c r="E859" s="32"/>
      <c r="F859" s="32"/>
      <c r="G859" s="32"/>
      <c r="H859" s="14"/>
    </row>
    <row r="860">
      <c r="A860" s="31"/>
      <c r="B860" s="18"/>
      <c r="E860" s="32"/>
      <c r="F860" s="32"/>
      <c r="G860" s="32"/>
      <c r="H860" s="14"/>
    </row>
    <row r="861">
      <c r="A861" s="31"/>
      <c r="B861" s="18"/>
      <c r="E861" s="32"/>
      <c r="F861" s="32"/>
      <c r="G861" s="32"/>
      <c r="H861" s="14"/>
    </row>
    <row r="862">
      <c r="A862" s="31"/>
      <c r="B862" s="18"/>
      <c r="E862" s="32"/>
      <c r="F862" s="32"/>
      <c r="G862" s="32"/>
      <c r="H862" s="14"/>
    </row>
    <row r="863">
      <c r="A863" s="31"/>
      <c r="B863" s="18"/>
      <c r="E863" s="32"/>
      <c r="F863" s="32"/>
      <c r="G863" s="32"/>
      <c r="H863" s="14"/>
    </row>
    <row r="864">
      <c r="A864" s="31"/>
      <c r="B864" s="18"/>
      <c r="E864" s="32"/>
      <c r="F864" s="32"/>
      <c r="G864" s="32"/>
      <c r="H864" s="14"/>
    </row>
    <row r="865">
      <c r="A865" s="31"/>
      <c r="B865" s="18"/>
      <c r="E865" s="32"/>
      <c r="F865" s="32"/>
      <c r="G865" s="32"/>
      <c r="H865" s="14"/>
    </row>
    <row r="866">
      <c r="A866" s="31"/>
      <c r="B866" s="18"/>
      <c r="E866" s="32"/>
      <c r="F866" s="32"/>
      <c r="G866" s="32"/>
      <c r="H866" s="14"/>
    </row>
    <row r="867">
      <c r="A867" s="31"/>
      <c r="B867" s="18"/>
      <c r="E867" s="32"/>
      <c r="F867" s="32"/>
      <c r="G867" s="32"/>
      <c r="H867" s="14"/>
    </row>
    <row r="868">
      <c r="A868" s="31"/>
      <c r="B868" s="18"/>
      <c r="E868" s="32"/>
      <c r="F868" s="32"/>
      <c r="G868" s="32"/>
      <c r="H868" s="14"/>
    </row>
    <row r="869">
      <c r="A869" s="31"/>
      <c r="B869" s="18"/>
      <c r="E869" s="32"/>
      <c r="F869" s="32"/>
      <c r="G869" s="32"/>
      <c r="H869" s="14"/>
    </row>
    <row r="870">
      <c r="A870" s="31"/>
      <c r="B870" s="18"/>
      <c r="E870" s="32"/>
      <c r="F870" s="32"/>
      <c r="G870" s="32"/>
      <c r="H870" s="14"/>
    </row>
    <row r="871">
      <c r="A871" s="31"/>
      <c r="B871" s="18"/>
      <c r="E871" s="32"/>
      <c r="F871" s="32"/>
      <c r="G871" s="32"/>
      <c r="H871" s="14"/>
    </row>
    <row r="872">
      <c r="A872" s="31"/>
      <c r="B872" s="18"/>
      <c r="E872" s="32"/>
      <c r="F872" s="32"/>
      <c r="G872" s="32"/>
      <c r="H872" s="14"/>
    </row>
    <row r="873">
      <c r="A873" s="31"/>
      <c r="B873" s="18"/>
      <c r="E873" s="32"/>
      <c r="F873" s="32"/>
      <c r="G873" s="32"/>
      <c r="H873" s="14"/>
    </row>
    <row r="874">
      <c r="A874" s="31"/>
      <c r="B874" s="18"/>
      <c r="E874" s="32"/>
      <c r="F874" s="32"/>
      <c r="G874" s="32"/>
      <c r="H874" s="14"/>
    </row>
    <row r="875">
      <c r="A875" s="31"/>
      <c r="B875" s="18"/>
      <c r="E875" s="32"/>
      <c r="F875" s="32"/>
      <c r="G875" s="32"/>
      <c r="H875" s="14"/>
    </row>
    <row r="876">
      <c r="A876" s="31"/>
      <c r="B876" s="18"/>
      <c r="E876" s="32"/>
      <c r="F876" s="32"/>
      <c r="G876" s="32"/>
      <c r="H876" s="14"/>
    </row>
    <row r="877">
      <c r="A877" s="31"/>
      <c r="B877" s="18"/>
      <c r="E877" s="32"/>
      <c r="F877" s="32"/>
      <c r="G877" s="32"/>
      <c r="H877" s="14"/>
    </row>
    <row r="878">
      <c r="A878" s="31"/>
      <c r="B878" s="18"/>
      <c r="E878" s="32"/>
      <c r="F878" s="32"/>
      <c r="G878" s="32"/>
      <c r="H878" s="14"/>
    </row>
    <row r="879">
      <c r="A879" s="31"/>
      <c r="B879" s="18"/>
      <c r="E879" s="32"/>
      <c r="F879" s="32"/>
      <c r="G879" s="32"/>
      <c r="H879" s="14"/>
    </row>
    <row r="880">
      <c r="A880" s="31"/>
      <c r="B880" s="18"/>
      <c r="E880" s="32"/>
      <c r="F880" s="32"/>
      <c r="G880" s="32"/>
      <c r="H880" s="14"/>
    </row>
    <row r="881">
      <c r="A881" s="31"/>
      <c r="B881" s="18"/>
      <c r="E881" s="32"/>
      <c r="F881" s="32"/>
      <c r="G881" s="32"/>
      <c r="H881" s="14"/>
    </row>
    <row r="882">
      <c r="A882" s="31"/>
      <c r="B882" s="18"/>
      <c r="E882" s="32"/>
      <c r="F882" s="32"/>
      <c r="G882" s="32"/>
      <c r="H882" s="14"/>
    </row>
    <row r="883">
      <c r="A883" s="31"/>
      <c r="B883" s="18"/>
      <c r="E883" s="32"/>
      <c r="F883" s="32"/>
      <c r="G883" s="32"/>
      <c r="H883" s="14"/>
    </row>
    <row r="884">
      <c r="A884" s="31"/>
      <c r="B884" s="18"/>
      <c r="E884" s="32"/>
      <c r="F884" s="32"/>
      <c r="G884" s="32"/>
      <c r="H884" s="14"/>
    </row>
    <row r="885">
      <c r="A885" s="31"/>
      <c r="B885" s="18"/>
      <c r="E885" s="32"/>
      <c r="F885" s="32"/>
      <c r="G885" s="32"/>
      <c r="H885" s="14"/>
    </row>
    <row r="886">
      <c r="A886" s="31"/>
      <c r="B886" s="18"/>
      <c r="E886" s="32"/>
      <c r="F886" s="32"/>
      <c r="G886" s="32"/>
      <c r="H886" s="14"/>
    </row>
    <row r="887">
      <c r="A887" s="31"/>
      <c r="B887" s="18"/>
      <c r="E887" s="32"/>
      <c r="F887" s="32"/>
      <c r="G887" s="32"/>
      <c r="H887" s="14"/>
    </row>
    <row r="888">
      <c r="A888" s="31"/>
      <c r="B888" s="18"/>
      <c r="E888" s="32"/>
      <c r="F888" s="32"/>
      <c r="G888" s="32"/>
      <c r="H888" s="14"/>
    </row>
    <row r="889">
      <c r="A889" s="31"/>
      <c r="B889" s="18"/>
      <c r="E889" s="32"/>
      <c r="F889" s="32"/>
      <c r="G889" s="32"/>
      <c r="H889" s="14"/>
    </row>
    <row r="890">
      <c r="A890" s="31"/>
      <c r="B890" s="18"/>
      <c r="E890" s="32"/>
      <c r="F890" s="32"/>
      <c r="G890" s="32"/>
      <c r="H890" s="14"/>
    </row>
    <row r="891">
      <c r="A891" s="31"/>
      <c r="B891" s="18"/>
      <c r="E891" s="32"/>
      <c r="F891" s="32"/>
      <c r="G891" s="32"/>
      <c r="H891" s="14"/>
    </row>
    <row r="892">
      <c r="A892" s="31"/>
      <c r="B892" s="18"/>
      <c r="E892" s="32"/>
      <c r="F892" s="32"/>
      <c r="G892" s="32"/>
      <c r="H892" s="14"/>
    </row>
    <row r="893">
      <c r="A893" s="31"/>
      <c r="B893" s="18"/>
      <c r="E893" s="32"/>
      <c r="F893" s="32"/>
      <c r="G893" s="32"/>
      <c r="H893" s="14"/>
    </row>
    <row r="894">
      <c r="A894" s="31"/>
      <c r="B894" s="18"/>
      <c r="E894" s="32"/>
      <c r="F894" s="32"/>
      <c r="G894" s="32"/>
      <c r="H894" s="14"/>
    </row>
    <row r="895">
      <c r="A895" s="31"/>
      <c r="B895" s="18"/>
      <c r="E895" s="32"/>
      <c r="F895" s="32"/>
      <c r="G895" s="32"/>
      <c r="H895" s="14"/>
    </row>
    <row r="896">
      <c r="A896" s="31"/>
      <c r="B896" s="18"/>
      <c r="E896" s="32"/>
      <c r="F896" s="32"/>
      <c r="G896" s="32"/>
      <c r="H896" s="14"/>
    </row>
    <row r="897">
      <c r="A897" s="31"/>
      <c r="B897" s="18"/>
      <c r="E897" s="32"/>
      <c r="F897" s="32"/>
      <c r="G897" s="32"/>
      <c r="H897" s="14"/>
    </row>
    <row r="898">
      <c r="A898" s="31"/>
      <c r="B898" s="18"/>
      <c r="E898" s="32"/>
      <c r="F898" s="32"/>
      <c r="G898" s="32"/>
      <c r="H898" s="14"/>
    </row>
    <row r="899">
      <c r="A899" s="31"/>
      <c r="B899" s="18"/>
      <c r="E899" s="32"/>
      <c r="F899" s="32"/>
      <c r="G899" s="32"/>
      <c r="H899" s="14"/>
    </row>
    <row r="900">
      <c r="A900" s="31"/>
      <c r="B900" s="18"/>
      <c r="E900" s="32"/>
      <c r="F900" s="32"/>
      <c r="G900" s="32"/>
      <c r="H900" s="14"/>
    </row>
    <row r="901">
      <c r="A901" s="31"/>
      <c r="B901" s="18"/>
      <c r="E901" s="32"/>
      <c r="F901" s="32"/>
      <c r="G901" s="32"/>
      <c r="H901" s="14"/>
    </row>
    <row r="902">
      <c r="A902" s="31"/>
      <c r="B902" s="18"/>
      <c r="E902" s="32"/>
      <c r="F902" s="32"/>
      <c r="G902" s="32"/>
      <c r="H902" s="14"/>
    </row>
    <row r="903">
      <c r="A903" s="31"/>
      <c r="B903" s="18"/>
      <c r="E903" s="32"/>
      <c r="F903" s="32"/>
      <c r="G903" s="32"/>
      <c r="H903" s="14"/>
    </row>
    <row r="904">
      <c r="A904" s="31"/>
      <c r="B904" s="18"/>
      <c r="E904" s="32"/>
      <c r="F904" s="32"/>
      <c r="G904" s="32"/>
      <c r="H904" s="14"/>
    </row>
    <row r="905">
      <c r="A905" s="31"/>
      <c r="B905" s="18"/>
      <c r="E905" s="32"/>
      <c r="F905" s="32"/>
      <c r="G905" s="32"/>
      <c r="H905" s="14"/>
    </row>
    <row r="906">
      <c r="A906" s="31"/>
      <c r="B906" s="18"/>
      <c r="E906" s="32"/>
      <c r="F906" s="32"/>
      <c r="G906" s="32"/>
      <c r="H906" s="14"/>
    </row>
    <row r="907">
      <c r="A907" s="31"/>
      <c r="B907" s="18"/>
      <c r="E907" s="32"/>
      <c r="F907" s="32"/>
      <c r="G907" s="32"/>
      <c r="H907" s="14"/>
    </row>
    <row r="908">
      <c r="A908" s="31"/>
      <c r="B908" s="18"/>
      <c r="E908" s="32"/>
      <c r="F908" s="32"/>
      <c r="G908" s="32"/>
      <c r="H908" s="14"/>
    </row>
    <row r="909">
      <c r="A909" s="31"/>
      <c r="B909" s="18"/>
      <c r="E909" s="32"/>
      <c r="F909" s="32"/>
      <c r="G909" s="32"/>
      <c r="H909" s="14"/>
    </row>
    <row r="910">
      <c r="A910" s="31"/>
      <c r="B910" s="18"/>
      <c r="E910" s="32"/>
      <c r="F910" s="32"/>
      <c r="G910" s="32"/>
      <c r="H910" s="14"/>
    </row>
    <row r="911">
      <c r="A911" s="31"/>
      <c r="B911" s="18"/>
      <c r="E911" s="32"/>
      <c r="F911" s="32"/>
      <c r="G911" s="32"/>
      <c r="H911" s="14"/>
    </row>
    <row r="912">
      <c r="A912" s="31"/>
      <c r="B912" s="18"/>
      <c r="E912" s="32"/>
      <c r="F912" s="32"/>
      <c r="G912" s="32"/>
      <c r="H912" s="14"/>
    </row>
    <row r="913">
      <c r="A913" s="31"/>
      <c r="B913" s="18"/>
      <c r="E913" s="32"/>
      <c r="F913" s="32"/>
      <c r="G913" s="32"/>
      <c r="H913" s="14"/>
    </row>
    <row r="914">
      <c r="A914" s="31"/>
      <c r="B914" s="18"/>
      <c r="E914" s="32"/>
      <c r="F914" s="32"/>
      <c r="G914" s="32"/>
      <c r="H914" s="14"/>
    </row>
    <row r="915">
      <c r="A915" s="31"/>
      <c r="B915" s="18"/>
      <c r="E915" s="32"/>
      <c r="F915" s="32"/>
      <c r="G915" s="32"/>
      <c r="H915" s="14"/>
    </row>
    <row r="916">
      <c r="A916" s="31"/>
      <c r="B916" s="18"/>
      <c r="E916" s="32"/>
      <c r="F916" s="32"/>
      <c r="G916" s="32"/>
      <c r="H916" s="14"/>
    </row>
    <row r="917">
      <c r="A917" s="31"/>
      <c r="B917" s="18"/>
      <c r="E917" s="32"/>
      <c r="F917" s="32"/>
      <c r="G917" s="32"/>
      <c r="H917" s="14"/>
    </row>
    <row r="918">
      <c r="A918" s="31"/>
      <c r="B918" s="18"/>
      <c r="E918" s="32"/>
      <c r="F918" s="32"/>
      <c r="G918" s="32"/>
      <c r="H918" s="14"/>
    </row>
    <row r="919">
      <c r="A919" s="31"/>
      <c r="B919" s="18"/>
      <c r="E919" s="32"/>
      <c r="F919" s="32"/>
      <c r="G919" s="32"/>
      <c r="H919" s="14"/>
    </row>
    <row r="920">
      <c r="A920" s="31"/>
      <c r="B920" s="18"/>
      <c r="E920" s="32"/>
      <c r="F920" s="32"/>
      <c r="G920" s="32"/>
      <c r="H920" s="14"/>
    </row>
    <row r="921">
      <c r="A921" s="31"/>
      <c r="B921" s="18"/>
      <c r="E921" s="32"/>
      <c r="F921" s="32"/>
      <c r="G921" s="32"/>
      <c r="H921" s="14"/>
    </row>
    <row r="922">
      <c r="A922" s="31"/>
      <c r="B922" s="18"/>
      <c r="E922" s="32"/>
      <c r="F922" s="32"/>
      <c r="G922" s="32"/>
      <c r="H922" s="14"/>
    </row>
    <row r="923">
      <c r="A923" s="31"/>
      <c r="B923" s="18"/>
      <c r="E923" s="32"/>
      <c r="F923" s="32"/>
      <c r="G923" s="32"/>
      <c r="H923" s="14"/>
    </row>
    <row r="924">
      <c r="A924" s="31"/>
      <c r="B924" s="18"/>
      <c r="E924" s="32"/>
      <c r="F924" s="32"/>
      <c r="G924" s="32"/>
      <c r="H924" s="14"/>
    </row>
    <row r="925">
      <c r="A925" s="31"/>
      <c r="B925" s="18"/>
      <c r="E925" s="32"/>
      <c r="F925" s="32"/>
      <c r="G925" s="32"/>
      <c r="H925" s="14"/>
    </row>
    <row r="926">
      <c r="A926" s="31"/>
      <c r="B926" s="18"/>
      <c r="E926" s="32"/>
      <c r="F926" s="32"/>
      <c r="G926" s="32"/>
      <c r="H926" s="14"/>
    </row>
    <row r="927">
      <c r="A927" s="31"/>
      <c r="B927" s="18"/>
      <c r="E927" s="32"/>
      <c r="F927" s="32"/>
      <c r="G927" s="32"/>
      <c r="H927" s="14"/>
    </row>
    <row r="928">
      <c r="A928" s="31"/>
      <c r="B928" s="18"/>
      <c r="E928" s="32"/>
      <c r="F928" s="32"/>
      <c r="G928" s="32"/>
      <c r="H928" s="14"/>
    </row>
    <row r="929">
      <c r="A929" s="31"/>
      <c r="B929" s="18"/>
      <c r="E929" s="32"/>
      <c r="F929" s="32"/>
      <c r="G929" s="32"/>
      <c r="H929" s="14"/>
    </row>
    <row r="930">
      <c r="A930" s="31"/>
      <c r="B930" s="18"/>
      <c r="E930" s="32"/>
      <c r="F930" s="32"/>
      <c r="G930" s="32"/>
      <c r="H930" s="14"/>
    </row>
    <row r="931">
      <c r="A931" s="31"/>
      <c r="B931" s="18"/>
      <c r="E931" s="32"/>
      <c r="F931" s="32"/>
      <c r="G931" s="32"/>
      <c r="H931" s="14"/>
    </row>
    <row r="932">
      <c r="A932" s="31"/>
      <c r="B932" s="18"/>
      <c r="E932" s="32"/>
      <c r="F932" s="32"/>
      <c r="G932" s="32"/>
      <c r="H932" s="14"/>
    </row>
    <row r="933">
      <c r="A933" s="31"/>
      <c r="B933" s="18"/>
      <c r="E933" s="32"/>
      <c r="F933" s="32"/>
      <c r="G933" s="32"/>
      <c r="H933" s="14"/>
    </row>
    <row r="934">
      <c r="A934" s="31"/>
      <c r="B934" s="18"/>
      <c r="E934" s="32"/>
      <c r="F934" s="32"/>
      <c r="G934" s="32"/>
      <c r="H934" s="14"/>
    </row>
    <row r="935">
      <c r="A935" s="31"/>
      <c r="B935" s="18"/>
      <c r="E935" s="32"/>
      <c r="F935" s="32"/>
      <c r="G935" s="32"/>
      <c r="H935" s="14"/>
    </row>
    <row r="936">
      <c r="A936" s="31"/>
      <c r="B936" s="18"/>
      <c r="E936" s="32"/>
      <c r="F936" s="32"/>
      <c r="G936" s="32"/>
      <c r="H936" s="14"/>
    </row>
    <row r="937">
      <c r="A937" s="31"/>
      <c r="B937" s="18"/>
      <c r="E937" s="32"/>
      <c r="F937" s="32"/>
      <c r="G937" s="32"/>
      <c r="H937" s="14"/>
    </row>
    <row r="938">
      <c r="A938" s="31"/>
      <c r="B938" s="18"/>
      <c r="E938" s="32"/>
      <c r="F938" s="32"/>
      <c r="G938" s="32"/>
      <c r="H938" s="14"/>
    </row>
    <row r="939">
      <c r="A939" s="31"/>
      <c r="B939" s="18"/>
      <c r="E939" s="32"/>
      <c r="F939" s="32"/>
      <c r="G939" s="32"/>
      <c r="H939" s="14"/>
    </row>
    <row r="940">
      <c r="A940" s="31"/>
      <c r="B940" s="18"/>
      <c r="E940" s="32"/>
      <c r="F940" s="32"/>
      <c r="G940" s="32"/>
      <c r="H940" s="14"/>
    </row>
    <row r="941">
      <c r="A941" s="31"/>
      <c r="B941" s="18"/>
      <c r="E941" s="32"/>
      <c r="F941" s="32"/>
      <c r="G941" s="32"/>
      <c r="H941" s="14"/>
    </row>
    <row r="942">
      <c r="A942" s="31"/>
      <c r="B942" s="18"/>
      <c r="E942" s="32"/>
      <c r="F942" s="32"/>
      <c r="G942" s="32"/>
      <c r="H942" s="14"/>
    </row>
    <row r="943">
      <c r="A943" s="31"/>
      <c r="B943" s="18"/>
      <c r="E943" s="32"/>
      <c r="F943" s="32"/>
      <c r="G943" s="32"/>
      <c r="H943" s="14"/>
    </row>
    <row r="944">
      <c r="A944" s="31"/>
      <c r="B944" s="18"/>
      <c r="E944" s="32"/>
      <c r="F944" s="32"/>
      <c r="G944" s="32"/>
      <c r="H944" s="14"/>
    </row>
    <row r="945">
      <c r="A945" s="31"/>
      <c r="B945" s="18"/>
      <c r="E945" s="32"/>
      <c r="F945" s="32"/>
      <c r="G945" s="32"/>
      <c r="H945" s="14"/>
    </row>
    <row r="946">
      <c r="A946" s="31"/>
      <c r="B946" s="18"/>
      <c r="E946" s="32"/>
      <c r="F946" s="32"/>
      <c r="G946" s="32"/>
      <c r="H946" s="14"/>
    </row>
    <row r="947">
      <c r="A947" s="31"/>
      <c r="B947" s="18"/>
      <c r="E947" s="32"/>
      <c r="F947" s="32"/>
      <c r="G947" s="32"/>
      <c r="H947" s="14"/>
    </row>
    <row r="948">
      <c r="A948" s="31"/>
      <c r="B948" s="18"/>
      <c r="E948" s="32"/>
      <c r="F948" s="32"/>
      <c r="G948" s="32"/>
      <c r="H948" s="14"/>
    </row>
    <row r="949">
      <c r="A949" s="31"/>
      <c r="B949" s="18"/>
      <c r="E949" s="32"/>
      <c r="F949" s="32"/>
      <c r="G949" s="32"/>
      <c r="H949" s="14"/>
    </row>
    <row r="950">
      <c r="A950" s="31"/>
      <c r="B950" s="18"/>
      <c r="E950" s="32"/>
      <c r="F950" s="32"/>
      <c r="G950" s="32"/>
      <c r="H950" s="14"/>
    </row>
    <row r="951">
      <c r="A951" s="31"/>
      <c r="B951" s="18"/>
      <c r="E951" s="32"/>
      <c r="F951" s="32"/>
      <c r="G951" s="32"/>
      <c r="H951" s="14"/>
    </row>
    <row r="952">
      <c r="A952" s="31"/>
      <c r="B952" s="18"/>
      <c r="E952" s="32"/>
      <c r="F952" s="32"/>
      <c r="G952" s="32"/>
      <c r="H952" s="14"/>
    </row>
    <row r="953">
      <c r="A953" s="31"/>
      <c r="B953" s="18"/>
      <c r="E953" s="32"/>
      <c r="F953" s="32"/>
      <c r="G953" s="32"/>
      <c r="H953" s="14"/>
    </row>
    <row r="954">
      <c r="A954" s="31"/>
      <c r="B954" s="18"/>
      <c r="E954" s="32"/>
      <c r="F954" s="32"/>
      <c r="G954" s="32"/>
      <c r="H954" s="14"/>
    </row>
    <row r="955">
      <c r="A955" s="31"/>
      <c r="B955" s="18"/>
      <c r="E955" s="32"/>
      <c r="F955" s="32"/>
      <c r="G955" s="32"/>
      <c r="H955" s="14"/>
    </row>
    <row r="956">
      <c r="A956" s="31"/>
      <c r="B956" s="18"/>
      <c r="E956" s="32"/>
      <c r="F956" s="32"/>
      <c r="G956" s="32"/>
      <c r="H956" s="14"/>
    </row>
    <row r="957">
      <c r="A957" s="31"/>
      <c r="B957" s="18"/>
      <c r="E957" s="32"/>
      <c r="F957" s="32"/>
      <c r="G957" s="32"/>
      <c r="H957" s="14"/>
    </row>
    <row r="958">
      <c r="A958" s="31"/>
      <c r="B958" s="18"/>
      <c r="E958" s="32"/>
      <c r="F958" s="32"/>
      <c r="G958" s="32"/>
      <c r="H958" s="14"/>
    </row>
    <row r="959">
      <c r="A959" s="31"/>
      <c r="B959" s="18"/>
      <c r="E959" s="32"/>
      <c r="F959" s="32"/>
      <c r="G959" s="32"/>
      <c r="H959" s="14"/>
    </row>
    <row r="960">
      <c r="A960" s="31"/>
      <c r="B960" s="18"/>
      <c r="E960" s="32"/>
      <c r="F960" s="32"/>
      <c r="G960" s="32"/>
      <c r="H960" s="14"/>
    </row>
    <row r="961">
      <c r="A961" s="31"/>
      <c r="B961" s="18"/>
      <c r="E961" s="32"/>
      <c r="F961" s="32"/>
      <c r="G961" s="32"/>
      <c r="H961" s="14"/>
    </row>
    <row r="962">
      <c r="A962" s="31"/>
      <c r="B962" s="18"/>
      <c r="E962" s="32"/>
      <c r="F962" s="32"/>
      <c r="G962" s="32"/>
      <c r="H962" s="14"/>
    </row>
    <row r="963">
      <c r="A963" s="31"/>
      <c r="B963" s="18"/>
      <c r="E963" s="32"/>
      <c r="F963" s="32"/>
      <c r="G963" s="32"/>
      <c r="H963" s="14"/>
    </row>
    <row r="964">
      <c r="A964" s="31"/>
      <c r="B964" s="18"/>
      <c r="E964" s="32"/>
      <c r="F964" s="32"/>
      <c r="G964" s="32"/>
      <c r="H964" s="14"/>
    </row>
    <row r="965">
      <c r="A965" s="31"/>
      <c r="B965" s="18"/>
      <c r="E965" s="32"/>
      <c r="F965" s="32"/>
      <c r="G965" s="32"/>
      <c r="H965" s="14"/>
    </row>
    <row r="966">
      <c r="A966" s="31"/>
      <c r="B966" s="18"/>
      <c r="E966" s="32"/>
      <c r="F966" s="32"/>
      <c r="G966" s="32"/>
      <c r="H966" s="14"/>
    </row>
    <row r="967">
      <c r="A967" s="31"/>
      <c r="B967" s="18"/>
      <c r="E967" s="32"/>
      <c r="F967" s="32"/>
      <c r="G967" s="32"/>
      <c r="H967" s="14"/>
    </row>
    <row r="968">
      <c r="A968" s="31"/>
      <c r="B968" s="18"/>
      <c r="E968" s="32"/>
      <c r="F968" s="32"/>
      <c r="G968" s="32"/>
      <c r="H968" s="14"/>
    </row>
    <row r="969">
      <c r="A969" s="31"/>
      <c r="B969" s="18"/>
      <c r="E969" s="32"/>
      <c r="F969" s="32"/>
      <c r="G969" s="32"/>
      <c r="H969" s="14"/>
    </row>
    <row r="970">
      <c r="A970" s="31"/>
      <c r="B970" s="18"/>
      <c r="E970" s="32"/>
      <c r="F970" s="32"/>
      <c r="G970" s="32"/>
      <c r="H970" s="14"/>
    </row>
    <row r="971">
      <c r="A971" s="31"/>
      <c r="B971" s="18"/>
      <c r="E971" s="32"/>
      <c r="F971" s="32"/>
      <c r="G971" s="32"/>
      <c r="H971" s="14"/>
    </row>
    <row r="972">
      <c r="A972" s="31"/>
      <c r="B972" s="18"/>
      <c r="E972" s="32"/>
      <c r="F972" s="32"/>
      <c r="G972" s="32"/>
      <c r="H972" s="14"/>
    </row>
    <row r="973">
      <c r="A973" s="31"/>
      <c r="B973" s="18"/>
      <c r="E973" s="32"/>
      <c r="F973" s="32"/>
      <c r="G973" s="32"/>
      <c r="H973" s="14"/>
    </row>
    <row r="974">
      <c r="A974" s="31"/>
      <c r="B974" s="18"/>
      <c r="E974" s="32"/>
      <c r="F974" s="32"/>
      <c r="G974" s="32"/>
      <c r="H974" s="14"/>
    </row>
    <row r="975">
      <c r="A975" s="31"/>
      <c r="B975" s="18"/>
      <c r="E975" s="32"/>
      <c r="F975" s="32"/>
      <c r="G975" s="32"/>
      <c r="H975" s="14"/>
    </row>
    <row r="976">
      <c r="A976" s="31"/>
      <c r="B976" s="18"/>
      <c r="E976" s="32"/>
      <c r="F976" s="32"/>
      <c r="G976" s="32"/>
      <c r="H976" s="14"/>
    </row>
    <row r="977">
      <c r="A977" s="31"/>
      <c r="B977" s="18"/>
      <c r="E977" s="32"/>
      <c r="F977" s="32"/>
      <c r="G977" s="32"/>
      <c r="H977" s="14"/>
    </row>
    <row r="978">
      <c r="A978" s="31"/>
      <c r="B978" s="18"/>
      <c r="E978" s="32"/>
      <c r="F978" s="32"/>
      <c r="G978" s="32"/>
      <c r="H978" s="14"/>
    </row>
    <row r="979">
      <c r="A979" s="31"/>
      <c r="B979" s="18"/>
      <c r="E979" s="32"/>
      <c r="F979" s="32"/>
      <c r="G979" s="32"/>
      <c r="H979" s="14"/>
    </row>
    <row r="980">
      <c r="A980" s="31"/>
      <c r="B980" s="18"/>
      <c r="E980" s="32"/>
      <c r="F980" s="32"/>
      <c r="G980" s="32"/>
      <c r="H980" s="14"/>
    </row>
    <row r="981">
      <c r="A981" s="31"/>
      <c r="B981" s="18"/>
      <c r="E981" s="32"/>
      <c r="F981" s="32"/>
      <c r="G981" s="32"/>
      <c r="H981" s="14"/>
    </row>
    <row r="982">
      <c r="A982" s="31"/>
      <c r="B982" s="18"/>
      <c r="E982" s="32"/>
      <c r="F982" s="32"/>
      <c r="G982" s="32"/>
      <c r="H982" s="14"/>
    </row>
    <row r="983">
      <c r="A983" s="31"/>
      <c r="B983" s="18"/>
      <c r="E983" s="32"/>
      <c r="F983" s="32"/>
      <c r="G983" s="32"/>
      <c r="H983" s="14"/>
    </row>
    <row r="984">
      <c r="A984" s="31"/>
      <c r="B984" s="18"/>
      <c r="E984" s="32"/>
      <c r="F984" s="32"/>
      <c r="G984" s="32"/>
      <c r="H984" s="14"/>
    </row>
    <row r="985">
      <c r="A985" s="31"/>
      <c r="B985" s="18"/>
      <c r="E985" s="32"/>
      <c r="F985" s="32"/>
      <c r="G985" s="32"/>
      <c r="H985" s="14"/>
    </row>
    <row r="986">
      <c r="A986" s="31"/>
      <c r="B986" s="18"/>
      <c r="E986" s="32"/>
      <c r="F986" s="32"/>
      <c r="G986" s="32"/>
      <c r="H986" s="14"/>
    </row>
    <row r="987">
      <c r="A987" s="31"/>
      <c r="B987" s="18"/>
      <c r="E987" s="32"/>
      <c r="F987" s="32"/>
      <c r="G987" s="32"/>
      <c r="H987" s="14"/>
    </row>
    <row r="988">
      <c r="A988" s="31"/>
      <c r="B988" s="18"/>
      <c r="E988" s="32"/>
      <c r="F988" s="32"/>
      <c r="G988" s="32"/>
      <c r="H988" s="14"/>
    </row>
    <row r="989">
      <c r="A989" s="31"/>
      <c r="B989" s="18"/>
      <c r="E989" s="32"/>
      <c r="F989" s="32"/>
      <c r="G989" s="32"/>
      <c r="H989" s="14"/>
    </row>
    <row r="990">
      <c r="A990" s="31"/>
      <c r="B990" s="18"/>
      <c r="E990" s="32"/>
      <c r="F990" s="32"/>
      <c r="G990" s="32"/>
      <c r="H990" s="14"/>
    </row>
    <row r="991">
      <c r="A991" s="31"/>
      <c r="B991" s="18"/>
      <c r="E991" s="32"/>
      <c r="F991" s="32"/>
      <c r="G991" s="32"/>
      <c r="H991" s="14"/>
    </row>
    <row r="992">
      <c r="A992" s="31"/>
      <c r="B992" s="18"/>
      <c r="E992" s="32"/>
      <c r="F992" s="32"/>
      <c r="G992" s="32"/>
      <c r="H992" s="14"/>
    </row>
    <row r="993">
      <c r="A993" s="31"/>
      <c r="B993" s="18"/>
      <c r="E993" s="32"/>
      <c r="F993" s="32"/>
      <c r="G993" s="32"/>
      <c r="H993" s="14"/>
    </row>
    <row r="994">
      <c r="A994" s="31"/>
      <c r="B994" s="18"/>
      <c r="E994" s="32"/>
      <c r="F994" s="32"/>
      <c r="G994" s="32"/>
      <c r="H994" s="14"/>
    </row>
    <row r="995">
      <c r="A995" s="31"/>
      <c r="B995" s="18"/>
      <c r="E995" s="32"/>
      <c r="F995" s="32"/>
      <c r="G995" s="32"/>
      <c r="H995" s="14"/>
    </row>
    <row r="996">
      <c r="A996" s="31"/>
      <c r="B996" s="18"/>
      <c r="E996" s="32"/>
      <c r="F996" s="32"/>
      <c r="G996" s="32"/>
      <c r="H996" s="14"/>
    </row>
    <row r="997">
      <c r="A997" s="31"/>
      <c r="B997" s="18"/>
      <c r="E997" s="32"/>
      <c r="F997" s="32"/>
      <c r="G997" s="32"/>
      <c r="H997" s="14"/>
    </row>
    <row r="998">
      <c r="A998" s="31"/>
      <c r="B998" s="18"/>
      <c r="E998" s="32"/>
      <c r="F998" s="32"/>
      <c r="G998" s="32"/>
      <c r="H998" s="14"/>
    </row>
    <row r="999">
      <c r="A999" s="31"/>
      <c r="B999" s="18"/>
      <c r="E999" s="32"/>
      <c r="F999" s="32"/>
      <c r="G999" s="32"/>
      <c r="H999" s="14"/>
    </row>
  </sheetData>
  <mergeCells count="1">
    <mergeCell ref="A8:G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7" max="7" width="49.5"/>
    <col customWidth="1" min="9" max="9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7</v>
      </c>
      <c r="J1" s="2" t="s">
        <v>8</v>
      </c>
      <c r="K1" s="4">
        <v>45748.0</v>
      </c>
      <c r="L1" s="5">
        <v>45778.0</v>
      </c>
      <c r="M1" s="5">
        <v>45809.0</v>
      </c>
      <c r="N1" s="5">
        <v>45839.0</v>
      </c>
      <c r="O1" s="4">
        <v>45849.0</v>
      </c>
    </row>
    <row r="2">
      <c r="A2" s="6">
        <v>45748.0</v>
      </c>
      <c r="B2" s="7">
        <v>11.4434</v>
      </c>
      <c r="C2" s="8">
        <v>1.0</v>
      </c>
      <c r="D2" s="9"/>
      <c r="E2" s="9"/>
      <c r="F2" s="9"/>
      <c r="G2" s="10" t="s">
        <v>9</v>
      </c>
      <c r="I2" s="11" t="s">
        <v>10</v>
      </c>
      <c r="J2" s="12">
        <v>0.0</v>
      </c>
      <c r="K2" s="13">
        <v>0.0</v>
      </c>
      <c r="L2" s="13">
        <f>K2*$C$3*1+K2+(K3*$C$3*$J$3)+(K4*$C$3*$J$4)+(K5*$C$3*$J$5)+(K6*$C$3*$J$6)</f>
        <v>0</v>
      </c>
      <c r="M2" s="13">
        <f>L2*$C$4*1+L2+(L3*$C$4*$J$3)+(L4*$C$4*$J$4)+(L5*$C$4*$J$5)+(L6*$C$4*$J$6)</f>
        <v>0</v>
      </c>
      <c r="N2" s="13">
        <f t="shared" ref="N2:O2" si="1">M2*$C$5*1+M2+(M3*$C$5*$J$3)+(M4*$C$5*$J$4)+(M5*$C$5*$J$5)+(M6*$C$5*$J$6)</f>
        <v>0</v>
      </c>
      <c r="O2" s="13">
        <f t="shared" si="1"/>
        <v>0</v>
      </c>
    </row>
    <row r="3">
      <c r="A3" s="6">
        <v>45778.0</v>
      </c>
      <c r="B3" s="7">
        <v>11.394</v>
      </c>
      <c r="C3" s="14">
        <f t="shared" ref="C3:C6" si="2">(B3*$C$2/B2)-100%</f>
        <v>-0.004316898824</v>
      </c>
      <c r="D3" s="15">
        <f t="shared" ref="D3:D6" si="3">B3-B2</f>
        <v>-0.0494</v>
      </c>
      <c r="E3" s="14">
        <f t="shared" ref="E3:E6" si="4">C3*0.8</f>
        <v>-0.003453519059</v>
      </c>
      <c r="F3" s="16">
        <f t="shared" ref="F3:F6" si="5">C3*12</f>
        <v>-0.05180278589</v>
      </c>
      <c r="G3" s="17"/>
      <c r="I3" s="11" t="s">
        <v>20</v>
      </c>
      <c r="J3" s="12">
        <v>0.0</v>
      </c>
      <c r="K3" s="13">
        <v>0.1492</v>
      </c>
      <c r="L3" s="13">
        <f t="shared" ref="L3:L6" si="6">K3*$C$3*(1-$J3)+K3</f>
        <v>0.1485559187</v>
      </c>
      <c r="M3" s="13">
        <f t="shared" ref="M3:M6" si="7">L3*$C$4*(1-$J3)+L3</f>
        <v>0.1485598301</v>
      </c>
      <c r="N3" s="13">
        <f t="shared" ref="N3:N6" si="8">M3*$C$5*(1-$J3)+M3</f>
        <v>0.1485598301</v>
      </c>
      <c r="O3" s="13">
        <f t="shared" ref="O3:O6" si="9">N3*$C$6*(1-$J3)+N3</f>
        <v>0.1484255379</v>
      </c>
    </row>
    <row r="4">
      <c r="A4" s="6">
        <v>45807.0</v>
      </c>
      <c r="B4" s="7">
        <v>11.3943</v>
      </c>
      <c r="C4" s="14">
        <f t="shared" si="2"/>
        <v>0.00002632964718</v>
      </c>
      <c r="D4" s="15">
        <f t="shared" si="3"/>
        <v>0.0003</v>
      </c>
      <c r="E4" s="14">
        <f t="shared" si="4"/>
        <v>0.00002106371775</v>
      </c>
      <c r="F4" s="16">
        <f t="shared" si="5"/>
        <v>0.0003159557662</v>
      </c>
      <c r="G4" s="17"/>
      <c r="I4" s="11" t="s">
        <v>21</v>
      </c>
      <c r="J4" s="12">
        <v>0.0</v>
      </c>
      <c r="K4" s="13">
        <v>0.4483</v>
      </c>
      <c r="L4" s="13">
        <f t="shared" si="6"/>
        <v>0.4463647343</v>
      </c>
      <c r="M4" s="13">
        <f t="shared" si="7"/>
        <v>0.4463764869</v>
      </c>
      <c r="N4" s="13">
        <f t="shared" si="8"/>
        <v>0.4463764869</v>
      </c>
      <c r="O4" s="13">
        <f t="shared" si="9"/>
        <v>0.4459729801</v>
      </c>
    </row>
    <row r="5">
      <c r="A5" s="6">
        <v>45838.0</v>
      </c>
      <c r="B5" s="7">
        <v>11.3943</v>
      </c>
      <c r="C5" s="14">
        <f t="shared" si="2"/>
        <v>0</v>
      </c>
      <c r="D5" s="15">
        <f t="shared" si="3"/>
        <v>0</v>
      </c>
      <c r="E5" s="14">
        <f t="shared" si="4"/>
        <v>0</v>
      </c>
      <c r="F5" s="16">
        <f t="shared" si="5"/>
        <v>0</v>
      </c>
      <c r="G5" s="17"/>
      <c r="I5" s="11" t="s">
        <v>22</v>
      </c>
      <c r="J5" s="12">
        <v>0.0</v>
      </c>
      <c r="K5" s="13">
        <v>6.7249</v>
      </c>
      <c r="L5" s="13">
        <f t="shared" si="6"/>
        <v>6.695869287</v>
      </c>
      <c r="M5" s="13">
        <f t="shared" si="7"/>
        <v>6.696045587</v>
      </c>
      <c r="N5" s="13">
        <f t="shared" si="8"/>
        <v>6.696045587</v>
      </c>
      <c r="O5" s="13">
        <f t="shared" si="9"/>
        <v>6.689992625</v>
      </c>
    </row>
    <row r="6">
      <c r="A6" s="6">
        <v>45849.0</v>
      </c>
      <c r="B6" s="7">
        <v>11.384</v>
      </c>
      <c r="C6" s="14">
        <f t="shared" si="2"/>
        <v>-0.0009039607523</v>
      </c>
      <c r="D6" s="15">
        <f t="shared" si="3"/>
        <v>-0.0103</v>
      </c>
      <c r="E6" s="14">
        <f t="shared" si="4"/>
        <v>-0.0007231686018</v>
      </c>
      <c r="F6" s="16">
        <f t="shared" si="5"/>
        <v>-0.01084752903</v>
      </c>
      <c r="G6" s="10" t="s">
        <v>23</v>
      </c>
      <c r="I6" s="11" t="s">
        <v>24</v>
      </c>
      <c r="J6" s="12">
        <v>0.0</v>
      </c>
      <c r="K6" s="13">
        <v>4.121</v>
      </c>
      <c r="L6" s="13">
        <f t="shared" si="6"/>
        <v>4.10321006</v>
      </c>
      <c r="M6" s="13">
        <f t="shared" si="7"/>
        <v>4.103318096</v>
      </c>
      <c r="N6" s="13">
        <f t="shared" si="8"/>
        <v>4.103318096</v>
      </c>
      <c r="O6" s="13">
        <f t="shared" si="9"/>
        <v>4.099608858</v>
      </c>
    </row>
    <row r="7">
      <c r="A7" s="20" t="s">
        <v>15</v>
      </c>
      <c r="I7" s="11" t="s">
        <v>17</v>
      </c>
      <c r="J7" s="18"/>
      <c r="K7" s="19">
        <f t="shared" ref="K7:O7" si="10">SUM(K2:K6)</f>
        <v>11.4434</v>
      </c>
      <c r="L7" s="19">
        <f t="shared" si="10"/>
        <v>11.394</v>
      </c>
      <c r="M7" s="19">
        <f t="shared" si="10"/>
        <v>11.3943</v>
      </c>
      <c r="N7" s="19">
        <f t="shared" si="10"/>
        <v>11.3943</v>
      </c>
      <c r="O7" s="19">
        <f t="shared" si="10"/>
        <v>11.384</v>
      </c>
    </row>
    <row r="8">
      <c r="A8" s="6"/>
      <c r="B8" s="18"/>
      <c r="C8" s="27"/>
      <c r="E8" s="17"/>
      <c r="F8" s="17"/>
      <c r="G8" s="17"/>
    </row>
    <row r="9">
      <c r="A9" s="22" t="s">
        <v>17</v>
      </c>
      <c r="B9" s="23" t="s">
        <v>25</v>
      </c>
      <c r="C9" s="24">
        <f>(B6-B2)/B2</f>
        <v>-0.005190764982</v>
      </c>
      <c r="D9" s="25">
        <f>B6-B2</f>
        <v>-0.0594</v>
      </c>
      <c r="E9" s="24">
        <f>C9*0.8</f>
        <v>-0.004152611986</v>
      </c>
      <c r="F9" s="26">
        <f>E9/3.5*12</f>
        <v>-0.01423752681</v>
      </c>
      <c r="G9" s="17"/>
      <c r="I9" s="11" t="s">
        <v>10</v>
      </c>
      <c r="K9" s="21">
        <f t="shared" ref="K9:O9" si="11">IFERROR(K2/K$7,"")</f>
        <v>0</v>
      </c>
      <c r="L9" s="21">
        <f t="shared" si="11"/>
        <v>0</v>
      </c>
      <c r="M9" s="21">
        <f t="shared" si="11"/>
        <v>0</v>
      </c>
      <c r="N9" s="21">
        <f t="shared" si="11"/>
        <v>0</v>
      </c>
      <c r="O9" s="21">
        <f t="shared" si="11"/>
        <v>0</v>
      </c>
    </row>
    <row r="10">
      <c r="A10" s="6"/>
      <c r="B10" s="7"/>
      <c r="C10" s="14"/>
      <c r="I10" s="11" t="s">
        <v>26</v>
      </c>
      <c r="K10" s="21">
        <f t="shared" ref="K10:O10" si="12">IFERROR(K3/K$7,"")</f>
        <v>0.01303808309</v>
      </c>
      <c r="L10" s="21">
        <f t="shared" si="12"/>
        <v>0.01303808309</v>
      </c>
      <c r="M10" s="21">
        <f t="shared" si="12"/>
        <v>0.01303808309</v>
      </c>
      <c r="N10" s="21">
        <f t="shared" si="12"/>
        <v>0.01303808309</v>
      </c>
      <c r="O10" s="21">
        <f t="shared" si="12"/>
        <v>0.01303808309</v>
      </c>
    </row>
    <row r="11">
      <c r="A11" s="6"/>
      <c r="B11" s="18"/>
      <c r="C11" s="27"/>
      <c r="E11" s="17"/>
      <c r="F11" s="17"/>
      <c r="G11" s="17"/>
      <c r="I11" s="11" t="s">
        <v>27</v>
      </c>
      <c r="K11" s="21">
        <f t="shared" ref="K11:O11" si="13">IFERROR(K4/K$7,"")</f>
        <v>0.03917541989</v>
      </c>
      <c r="L11" s="21">
        <f t="shared" si="13"/>
        <v>0.03917541989</v>
      </c>
      <c r="M11" s="21">
        <f t="shared" si="13"/>
        <v>0.03917541989</v>
      </c>
      <c r="N11" s="21">
        <f t="shared" si="13"/>
        <v>0.03917541989</v>
      </c>
      <c r="O11" s="21">
        <f t="shared" si="13"/>
        <v>0.03917541989</v>
      </c>
    </row>
    <row r="12">
      <c r="A12" s="6"/>
      <c r="B12" s="7"/>
      <c r="C12" s="14"/>
      <c r="I12" s="11" t="s">
        <v>28</v>
      </c>
      <c r="K12" s="21">
        <f t="shared" ref="K12:O12" si="14">IFERROR(K5/K$7,"")</f>
        <v>0.587666253</v>
      </c>
      <c r="L12" s="21">
        <f t="shared" si="14"/>
        <v>0.587666253</v>
      </c>
      <c r="M12" s="21">
        <f t="shared" si="14"/>
        <v>0.587666253</v>
      </c>
      <c r="N12" s="21">
        <f t="shared" si="14"/>
        <v>0.587666253</v>
      </c>
      <c r="O12" s="21">
        <f t="shared" si="14"/>
        <v>0.587666253</v>
      </c>
    </row>
    <row r="13">
      <c r="I13" s="11" t="s">
        <v>29</v>
      </c>
      <c r="K13" s="21">
        <f t="shared" ref="K13:O13" si="15">IFERROR(K6/K$7,"")</f>
        <v>0.360120244</v>
      </c>
      <c r="L13" s="21">
        <f t="shared" si="15"/>
        <v>0.360120244</v>
      </c>
      <c r="M13" s="21">
        <f t="shared" si="15"/>
        <v>0.360120244</v>
      </c>
      <c r="N13" s="21">
        <f t="shared" si="15"/>
        <v>0.360120244</v>
      </c>
      <c r="O13" s="21">
        <f t="shared" si="15"/>
        <v>0.360120244</v>
      </c>
    </row>
    <row r="14">
      <c r="I14" s="11" t="s">
        <v>14</v>
      </c>
      <c r="J14" s="18"/>
      <c r="K14" s="28">
        <f t="shared" ref="K14:O14" si="16">SUM(K9:K13)</f>
        <v>1</v>
      </c>
      <c r="L14" s="28">
        <f t="shared" si="16"/>
        <v>1</v>
      </c>
      <c r="M14" s="28">
        <f t="shared" si="16"/>
        <v>1</v>
      </c>
      <c r="N14" s="28">
        <f t="shared" si="16"/>
        <v>1</v>
      </c>
      <c r="O14" s="28">
        <f t="shared" si="16"/>
        <v>1</v>
      </c>
    </row>
  </sheetData>
  <mergeCells count="1">
    <mergeCell ref="A7:G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21.5"/>
    <col customWidth="1" min="5" max="5" width="14.38"/>
    <col customWidth="1" min="6" max="6" width="13.0"/>
    <col customWidth="1" min="7" max="7" width="28.88"/>
    <col customWidth="1" min="8" max="8" width="11.63"/>
    <col customWidth="1" min="9" max="9" width="16.0"/>
    <col customWidth="1" min="10" max="10" width="7.38"/>
    <col customWidth="1" min="11" max="15" width="10.25"/>
    <col customWidth="1" min="19" max="19" width="10.5"/>
    <col customWidth="1" min="21" max="21" width="10.38"/>
  </cols>
  <sheetData>
    <row r="1">
      <c r="A1" s="1" t="s">
        <v>0</v>
      </c>
      <c r="B1" s="33" t="s">
        <v>1</v>
      </c>
      <c r="C1" s="2" t="s">
        <v>2</v>
      </c>
      <c r="D1" s="2" t="s">
        <v>30</v>
      </c>
      <c r="E1" s="2" t="s">
        <v>4</v>
      </c>
      <c r="F1" s="2" t="s">
        <v>5</v>
      </c>
      <c r="G1" s="2" t="s">
        <v>6</v>
      </c>
      <c r="H1" s="34"/>
      <c r="I1" s="3" t="s">
        <v>7</v>
      </c>
      <c r="J1" s="2" t="s">
        <v>8</v>
      </c>
      <c r="K1" s="35">
        <v>45505.0</v>
      </c>
      <c r="L1" s="35">
        <v>45536.0</v>
      </c>
      <c r="M1" s="35">
        <v>45566.0</v>
      </c>
      <c r="N1" s="36">
        <v>45589.0</v>
      </c>
      <c r="O1" s="37">
        <v>45597.0</v>
      </c>
      <c r="P1" s="37">
        <v>45627.0</v>
      </c>
      <c r="Q1" s="37">
        <v>45658.0</v>
      </c>
      <c r="R1" s="37">
        <v>45689.0</v>
      </c>
      <c r="S1" s="37">
        <v>45717.0</v>
      </c>
      <c r="T1" s="37">
        <v>45748.0</v>
      </c>
      <c r="U1" s="37">
        <v>45778.0</v>
      </c>
      <c r="V1" s="37">
        <v>45809.0</v>
      </c>
      <c r="W1" s="37">
        <v>45839.0</v>
      </c>
      <c r="X1" s="36">
        <v>45849.0</v>
      </c>
    </row>
    <row r="2">
      <c r="A2" s="6">
        <v>45474.0</v>
      </c>
      <c r="B2" s="11">
        <v>61.5</v>
      </c>
      <c r="C2" s="8">
        <v>1.0</v>
      </c>
      <c r="D2" s="9"/>
      <c r="E2" s="9"/>
      <c r="F2" s="9"/>
      <c r="G2" s="10" t="s">
        <v>31</v>
      </c>
      <c r="H2" s="17"/>
      <c r="I2" s="11" t="s">
        <v>10</v>
      </c>
      <c r="J2" s="12">
        <v>0.0</v>
      </c>
      <c r="K2" s="13">
        <f>B2*C3*0.2</f>
        <v>0.154</v>
      </c>
      <c r="L2" s="13">
        <f>K2*$C$4*1+K2+(K3*$C$4*0.2)</f>
        <v>0.2650881644</v>
      </c>
      <c r="M2" s="13">
        <f>L2*$C$5*1+L2+(L3*$C$5*0.2)</f>
        <v>0.368809845</v>
      </c>
      <c r="N2" s="13">
        <f>M2*$C$7*1+M2+(M3*$C$7*0.2)</f>
        <v>0.4317353855</v>
      </c>
      <c r="O2" s="13">
        <f>N2*$C$9*1+N2+(N3*$C$9*0.2)</f>
        <v>0.4317353855</v>
      </c>
      <c r="P2" s="13">
        <f>O2*$C$10*1+O2+(O3*$C$10*0.2)</f>
        <v>0.4317353855</v>
      </c>
      <c r="Q2" s="13">
        <f>P2*$C$11*1+P2+(P3*$C$11*0.2)</f>
        <v>0.4317353855</v>
      </c>
      <c r="R2" s="13">
        <f>Q2*$C$12*1+Q2+(Q3*$C$12*0.2)</f>
        <v>0.505136827</v>
      </c>
      <c r="S2" s="13">
        <f>R2*$C$13*1+R2+(R3*$C$13*0.2)</f>
        <v>0.6688611874</v>
      </c>
      <c r="T2" s="13">
        <f>S2*$C$15*1+S2+(S3*$C$15*0.2)</f>
        <v>0.7072813037</v>
      </c>
      <c r="U2" s="13">
        <f>T2*$C$17*1+T2+(T3*$C$17*0.2)</f>
        <v>0.8694473518</v>
      </c>
      <c r="V2" s="13">
        <f>U2*$C$18*1+U2+(U3*$C$18*0.2)</f>
        <v>0.9022476344</v>
      </c>
      <c r="W2" s="13">
        <f>V2*$C$19*1+V2+(V3*$C$19*0.2)</f>
        <v>0.9337403956</v>
      </c>
      <c r="X2" s="13">
        <f>W2*$C$20*1+W2</f>
        <v>0.8979658698</v>
      </c>
    </row>
    <row r="3">
      <c r="A3" s="6">
        <v>45505.0</v>
      </c>
      <c r="B3" s="11">
        <v>62.27</v>
      </c>
      <c r="C3" s="14">
        <f t="shared" ref="C3:C4" si="1">(B3*$C$2/B2)-100%</f>
        <v>0.0125203252</v>
      </c>
      <c r="D3" s="15">
        <f t="shared" ref="D3:D5" si="2">B3-B2</f>
        <v>0.77</v>
      </c>
      <c r="E3" s="14">
        <f t="shared" ref="E3:E5" si="3">C3*0.8</f>
        <v>0.01001626016</v>
      </c>
      <c r="F3" s="14">
        <f t="shared" ref="F3:F5" si="4">C3*12</f>
        <v>0.1502439024</v>
      </c>
      <c r="G3" s="17"/>
      <c r="H3" s="17"/>
      <c r="I3" s="11" t="s">
        <v>32</v>
      </c>
      <c r="J3" s="12">
        <v>0.2</v>
      </c>
      <c r="K3" s="13">
        <f>B2*C3*0.8+B2</f>
        <v>62.116</v>
      </c>
      <c r="L3" s="13">
        <f>K3*$C$4*0.8+K3</f>
        <v>62.55491184</v>
      </c>
      <c r="M3" s="13">
        <f>L3*$C$5*0.8+L3</f>
        <v>62.96119016</v>
      </c>
      <c r="N3" s="13">
        <f>M3*$C$7*0.8+M3</f>
        <v>63.20573007</v>
      </c>
      <c r="O3" s="13">
        <f>N3*$C$9*0.8+N3</f>
        <v>63.20573007</v>
      </c>
      <c r="P3" s="13">
        <f>O3*$C$10*0.8+O3</f>
        <v>63.20573007</v>
      </c>
      <c r="Q3" s="13">
        <f>P3*$C$11*0.8+P3</f>
        <v>63.20573007</v>
      </c>
      <c r="R3" s="13">
        <f>Q3*$C$12*0.8+Q3</f>
        <v>63.48963943</v>
      </c>
      <c r="S3" s="13">
        <f>R3*$C$13*0.8+R3</f>
        <v>64.11948111</v>
      </c>
      <c r="T3" s="13">
        <f>S3*$C$15*0.8+S3</f>
        <v>64.26554335</v>
      </c>
      <c r="U3" s="13">
        <f>T3*$C$17*0.8+T3</f>
        <v>64.88037458</v>
      </c>
      <c r="V3" s="13">
        <f>U3*$C$18*0.8+U3</f>
        <v>65.00333677</v>
      </c>
      <c r="W3" s="13">
        <f>V3*$C$19*0.8+V3</f>
        <v>65.12113276</v>
      </c>
      <c r="X3" s="13">
        <f t="shared" ref="X3:X5" si="5">W3*$C$20+W3</f>
        <v>62.62613774</v>
      </c>
    </row>
    <row r="4">
      <c r="A4" s="6">
        <v>45537.0</v>
      </c>
      <c r="B4" s="11">
        <v>62.82</v>
      </c>
      <c r="C4" s="14">
        <f t="shared" si="1"/>
        <v>0.008832503613</v>
      </c>
      <c r="D4" s="15">
        <f t="shared" si="2"/>
        <v>0.55</v>
      </c>
      <c r="E4" s="14">
        <f t="shared" si="3"/>
        <v>0.007066002891</v>
      </c>
      <c r="F4" s="14">
        <f t="shared" si="4"/>
        <v>0.1059900434</v>
      </c>
      <c r="G4" s="17"/>
      <c r="H4" s="17"/>
      <c r="I4" s="11" t="s">
        <v>21</v>
      </c>
      <c r="J4" s="12">
        <v>0.0</v>
      </c>
      <c r="K4" s="38">
        <v>0.0</v>
      </c>
      <c r="L4" s="38">
        <v>0.0</v>
      </c>
      <c r="M4" s="13">
        <v>17.0</v>
      </c>
      <c r="N4" s="13">
        <f>M4*$C$7+M4</f>
        <v>17.08253455</v>
      </c>
      <c r="O4" s="13">
        <f t="shared" ref="O4:O5" si="6">N4*$C$9+N4</f>
        <v>17.08253455</v>
      </c>
      <c r="P4" s="13">
        <f t="shared" ref="P4:P5" si="7">O4*$C$10+O4</f>
        <v>17.08253455</v>
      </c>
      <c r="Q4" s="13">
        <f t="shared" ref="Q4:Q5" si="8">P4*$C$11+P4</f>
        <v>17.08253455</v>
      </c>
      <c r="R4" s="13">
        <f t="shared" ref="R4:R5" si="9">Q4*$C$12+Q4</f>
        <v>17.17844933</v>
      </c>
      <c r="S4" s="13">
        <f>R4*$C$13+R4+4.608</f>
        <v>21.99947038</v>
      </c>
      <c r="T4" s="13">
        <f>S4*$C$15+S4+5.226</f>
        <v>27.28811304</v>
      </c>
      <c r="U4" s="13">
        <f t="shared" ref="U4:U5" si="10">T4*$C$17+T4</f>
        <v>27.61444624</v>
      </c>
      <c r="V4" s="13">
        <f t="shared" ref="V4:V5" si="11">U4*$C$18+U4</f>
        <v>27.67986534</v>
      </c>
      <c r="W4" s="13">
        <f t="shared" ref="W4:W5" si="12">V4*$C$19+V4</f>
        <v>27.74256553</v>
      </c>
      <c r="X4" s="13">
        <f t="shared" si="5"/>
        <v>26.67966075</v>
      </c>
    </row>
    <row r="5">
      <c r="A5" s="6">
        <v>45566.0</v>
      </c>
      <c r="B5" s="11">
        <v>63.33</v>
      </c>
      <c r="C5" s="14">
        <f>(B5/B4)-100%</f>
        <v>0.00811843362</v>
      </c>
      <c r="D5" s="15">
        <f t="shared" si="2"/>
        <v>0.51</v>
      </c>
      <c r="E5" s="14">
        <f t="shared" si="3"/>
        <v>0.006494746896</v>
      </c>
      <c r="F5" s="14">
        <f t="shared" si="4"/>
        <v>0.09742120344</v>
      </c>
      <c r="G5" s="17"/>
      <c r="H5" s="17"/>
      <c r="I5" s="11" t="s">
        <v>24</v>
      </c>
      <c r="J5" s="12">
        <v>0.0</v>
      </c>
      <c r="K5" s="38">
        <v>0.0</v>
      </c>
      <c r="L5" s="38">
        <v>0.0</v>
      </c>
      <c r="M5" s="38">
        <v>0.0</v>
      </c>
      <c r="N5" s="13">
        <v>120.0</v>
      </c>
      <c r="O5" s="13">
        <f t="shared" si="6"/>
        <v>120</v>
      </c>
      <c r="P5" s="13">
        <f t="shared" si="7"/>
        <v>120</v>
      </c>
      <c r="Q5" s="13">
        <f t="shared" si="8"/>
        <v>120</v>
      </c>
      <c r="R5" s="13">
        <f t="shared" si="9"/>
        <v>120.6737744</v>
      </c>
      <c r="S5" s="13">
        <f>R5*$C$13+R5</f>
        <v>122.1701873</v>
      </c>
      <c r="T5" s="13">
        <f>S5*$C$15+S5</f>
        <v>122.5180623</v>
      </c>
      <c r="U5" s="13">
        <f t="shared" si="10"/>
        <v>123.9832318</v>
      </c>
      <c r="V5" s="13">
        <f t="shared" si="11"/>
        <v>124.2769503</v>
      </c>
      <c r="W5" s="13">
        <f t="shared" si="12"/>
        <v>124.5584613</v>
      </c>
      <c r="X5" s="13">
        <f t="shared" si="5"/>
        <v>119.7862356</v>
      </c>
    </row>
    <row r="6">
      <c r="A6" s="6">
        <v>45565.0</v>
      </c>
      <c r="B6" s="11">
        <f>17+B5</f>
        <v>80.33</v>
      </c>
      <c r="C6" s="8">
        <v>1.0</v>
      </c>
      <c r="D6" s="9"/>
      <c r="E6" s="9"/>
      <c r="F6" s="9"/>
      <c r="G6" s="10" t="s">
        <v>33</v>
      </c>
      <c r="H6" s="17"/>
      <c r="I6" s="11" t="s">
        <v>14</v>
      </c>
      <c r="J6" s="18"/>
      <c r="K6" s="19">
        <f t="shared" ref="K6:X6" si="13">SUM(K2:K5)</f>
        <v>62.27</v>
      </c>
      <c r="L6" s="19">
        <f t="shared" si="13"/>
        <v>62.82</v>
      </c>
      <c r="M6" s="19">
        <f t="shared" si="13"/>
        <v>80.33</v>
      </c>
      <c r="N6" s="19">
        <f t="shared" si="13"/>
        <v>200.72</v>
      </c>
      <c r="O6" s="19">
        <f t="shared" si="13"/>
        <v>200.72</v>
      </c>
      <c r="P6" s="19">
        <f t="shared" si="13"/>
        <v>200.72</v>
      </c>
      <c r="Q6" s="19">
        <f t="shared" si="13"/>
        <v>200.72</v>
      </c>
      <c r="R6" s="19">
        <f t="shared" si="13"/>
        <v>201.847</v>
      </c>
      <c r="S6" s="19">
        <f t="shared" si="13"/>
        <v>208.958</v>
      </c>
      <c r="T6" s="19">
        <f t="shared" si="13"/>
        <v>214.779</v>
      </c>
      <c r="U6" s="19">
        <f t="shared" si="13"/>
        <v>217.3475</v>
      </c>
      <c r="V6" s="19">
        <f t="shared" si="13"/>
        <v>217.8624</v>
      </c>
      <c r="W6" s="19">
        <f t="shared" si="13"/>
        <v>218.3559</v>
      </c>
      <c r="X6" s="19">
        <f t="shared" si="13"/>
        <v>209.99</v>
      </c>
    </row>
    <row r="7">
      <c r="A7" s="6">
        <v>45589.0</v>
      </c>
      <c r="B7" s="11">
        <v>80.72</v>
      </c>
      <c r="C7" s="14">
        <f>(B7/B6)-100%</f>
        <v>0.004854973235</v>
      </c>
      <c r="D7" s="15">
        <f>B7-B6</f>
        <v>0.39</v>
      </c>
      <c r="E7" s="14">
        <f>C7*0.8</f>
        <v>0.003883978588</v>
      </c>
      <c r="F7" s="14">
        <f>C7*12</f>
        <v>0.05825967882</v>
      </c>
      <c r="G7" s="17"/>
      <c r="H7" s="17"/>
    </row>
    <row r="8">
      <c r="A8" s="6">
        <v>45590.0</v>
      </c>
      <c r="B8" s="11">
        <f>B7+120</f>
        <v>200.72</v>
      </c>
      <c r="C8" s="8">
        <v>1.0</v>
      </c>
      <c r="D8" s="9"/>
      <c r="E8" s="9"/>
      <c r="F8" s="9"/>
      <c r="G8" s="10" t="s">
        <v>34</v>
      </c>
      <c r="H8" s="17"/>
      <c r="I8" s="11" t="s">
        <v>10</v>
      </c>
      <c r="K8" s="21">
        <f t="shared" ref="K8:X8" si="14">IFERROR(K2/K$6,"")</f>
        <v>0.002473101012</v>
      </c>
      <c r="L8" s="21">
        <f t="shared" si="14"/>
        <v>0.004219805228</v>
      </c>
      <c r="M8" s="21">
        <f t="shared" si="14"/>
        <v>0.004591184426</v>
      </c>
      <c r="N8" s="21">
        <f t="shared" si="14"/>
        <v>0.002150933567</v>
      </c>
      <c r="O8" s="21">
        <f t="shared" si="14"/>
        <v>0.002150933567</v>
      </c>
      <c r="P8" s="21">
        <f t="shared" si="14"/>
        <v>0.002150933567</v>
      </c>
      <c r="Q8" s="21">
        <f t="shared" si="14"/>
        <v>0.002150933567</v>
      </c>
      <c r="R8" s="21">
        <f t="shared" si="14"/>
        <v>0.002502572875</v>
      </c>
      <c r="S8" s="21">
        <f t="shared" si="14"/>
        <v>0.003200936013</v>
      </c>
      <c r="T8" s="21">
        <f t="shared" si="14"/>
        <v>0.003293065447</v>
      </c>
      <c r="U8" s="21">
        <f t="shared" si="14"/>
        <v>0.004000263871</v>
      </c>
      <c r="V8" s="21">
        <f t="shared" si="14"/>
        <v>0.004141364615</v>
      </c>
      <c r="W8" s="21">
        <f t="shared" si="14"/>
        <v>0.004276231582</v>
      </c>
      <c r="X8" s="21">
        <f t="shared" si="14"/>
        <v>0.004276231582</v>
      </c>
    </row>
    <row r="9">
      <c r="A9" s="6">
        <v>45597.0</v>
      </c>
      <c r="B9" s="11">
        <v>200.72</v>
      </c>
      <c r="C9" s="14">
        <f t="shared" ref="C9:C13" si="16">(B9/B8)-100%</f>
        <v>0</v>
      </c>
      <c r="D9" s="15">
        <f t="shared" ref="D9:D13" si="17">B9-B8</f>
        <v>0</v>
      </c>
      <c r="E9" s="14">
        <f t="shared" ref="E9:E13" si="18">C9*0.8</f>
        <v>0</v>
      </c>
      <c r="F9" s="14">
        <f t="shared" ref="F9:F13" si="19">C9*12</f>
        <v>0</v>
      </c>
      <c r="G9" s="17"/>
      <c r="H9" s="17"/>
      <c r="I9" s="11" t="s">
        <v>35</v>
      </c>
      <c r="K9" s="21">
        <f t="shared" ref="K9:X9" si="15">IFERROR(K3/K$6,"")</f>
        <v>0.997526899</v>
      </c>
      <c r="L9" s="21">
        <f t="shared" si="15"/>
        <v>0.9957801948</v>
      </c>
      <c r="M9" s="21">
        <f t="shared" si="15"/>
        <v>0.7837817771</v>
      </c>
      <c r="N9" s="21">
        <f t="shared" si="15"/>
        <v>0.3148950282</v>
      </c>
      <c r="O9" s="21">
        <f t="shared" si="15"/>
        <v>0.3148950282</v>
      </c>
      <c r="P9" s="21">
        <f t="shared" si="15"/>
        <v>0.3148950282</v>
      </c>
      <c r="Q9" s="21">
        <f t="shared" si="15"/>
        <v>0.3148950282</v>
      </c>
      <c r="R9" s="21">
        <f t="shared" si="15"/>
        <v>0.3145433889</v>
      </c>
      <c r="S9" s="21">
        <f t="shared" si="15"/>
        <v>0.30685344</v>
      </c>
      <c r="T9" s="21">
        <f t="shared" si="15"/>
        <v>0.2992170713</v>
      </c>
      <c r="U9" s="21">
        <f t="shared" si="15"/>
        <v>0.2985098728</v>
      </c>
      <c r="V9" s="21">
        <f t="shared" si="15"/>
        <v>0.2983687721</v>
      </c>
      <c r="W9" s="21">
        <f t="shared" si="15"/>
        <v>0.2982339051</v>
      </c>
      <c r="X9" s="21">
        <f t="shared" si="15"/>
        <v>0.2982339051</v>
      </c>
    </row>
    <row r="10">
      <c r="A10" s="6">
        <v>45627.0</v>
      </c>
      <c r="B10" s="11">
        <v>200.72</v>
      </c>
      <c r="C10" s="14">
        <f t="shared" si="16"/>
        <v>0</v>
      </c>
      <c r="D10" s="15">
        <f t="shared" si="17"/>
        <v>0</v>
      </c>
      <c r="E10" s="14">
        <f t="shared" si="18"/>
        <v>0</v>
      </c>
      <c r="F10" s="14">
        <f t="shared" si="19"/>
        <v>0</v>
      </c>
      <c r="I10" s="11" t="s">
        <v>27</v>
      </c>
      <c r="K10" s="21">
        <f t="shared" ref="K10:X10" si="20">IFERROR(K4/K$6,"")</f>
        <v>0</v>
      </c>
      <c r="L10" s="21">
        <f t="shared" si="20"/>
        <v>0</v>
      </c>
      <c r="M10" s="21">
        <f t="shared" si="20"/>
        <v>0.2116270385</v>
      </c>
      <c r="N10" s="21">
        <f t="shared" si="20"/>
        <v>0.08510629008</v>
      </c>
      <c r="O10" s="21">
        <f t="shared" si="20"/>
        <v>0.08510629008</v>
      </c>
      <c r="P10" s="21">
        <f t="shared" si="20"/>
        <v>0.08510629008</v>
      </c>
      <c r="Q10" s="21">
        <f t="shared" si="20"/>
        <v>0.08510629008</v>
      </c>
      <c r="R10" s="21">
        <f t="shared" si="20"/>
        <v>0.08510629008</v>
      </c>
      <c r="S10" s="21">
        <f t="shared" si="20"/>
        <v>0.1052817809</v>
      </c>
      <c r="T10" s="21">
        <f t="shared" si="20"/>
        <v>0.1270520537</v>
      </c>
      <c r="U10" s="21">
        <f t="shared" si="20"/>
        <v>0.1270520537</v>
      </c>
      <c r="V10" s="21">
        <f t="shared" si="20"/>
        <v>0.1270520537</v>
      </c>
      <c r="W10" s="21">
        <f t="shared" si="20"/>
        <v>0.1270520537</v>
      </c>
      <c r="X10" s="21">
        <f t="shared" si="20"/>
        <v>0.1270520537</v>
      </c>
    </row>
    <row r="11">
      <c r="A11" s="6">
        <v>45658.0</v>
      </c>
      <c r="B11" s="11">
        <v>200.72</v>
      </c>
      <c r="C11" s="14">
        <f t="shared" si="16"/>
        <v>0</v>
      </c>
      <c r="D11" s="15">
        <f t="shared" si="17"/>
        <v>0</v>
      </c>
      <c r="E11" s="14">
        <f t="shared" si="18"/>
        <v>0</v>
      </c>
      <c r="F11" s="14">
        <f t="shared" si="19"/>
        <v>0</v>
      </c>
      <c r="I11" s="11" t="s">
        <v>24</v>
      </c>
      <c r="K11" s="21">
        <f t="shared" ref="K11:X11" si="21">IFERROR(K5/K$6,"")</f>
        <v>0</v>
      </c>
      <c r="L11" s="21">
        <f t="shared" si="21"/>
        <v>0</v>
      </c>
      <c r="M11" s="21">
        <f t="shared" si="21"/>
        <v>0</v>
      </c>
      <c r="N11" s="21">
        <f t="shared" si="21"/>
        <v>0.5978477481</v>
      </c>
      <c r="O11" s="21">
        <f t="shared" si="21"/>
        <v>0.5978477481</v>
      </c>
      <c r="P11" s="21">
        <f t="shared" si="21"/>
        <v>0.5978477481</v>
      </c>
      <c r="Q11" s="21">
        <f t="shared" si="21"/>
        <v>0.5978477481</v>
      </c>
      <c r="R11" s="21">
        <f t="shared" si="21"/>
        <v>0.5978477481</v>
      </c>
      <c r="S11" s="21">
        <f t="shared" si="21"/>
        <v>0.5846638431</v>
      </c>
      <c r="T11" s="21">
        <f t="shared" si="21"/>
        <v>0.5704378096</v>
      </c>
      <c r="U11" s="21">
        <f t="shared" si="21"/>
        <v>0.5704378096</v>
      </c>
      <c r="V11" s="21">
        <f t="shared" si="21"/>
        <v>0.5704378096</v>
      </c>
      <c r="W11" s="21">
        <f t="shared" si="21"/>
        <v>0.5704378096</v>
      </c>
      <c r="X11" s="21">
        <f t="shared" si="21"/>
        <v>0.5704378096</v>
      </c>
    </row>
    <row r="12">
      <c r="A12" s="6">
        <v>45689.0</v>
      </c>
      <c r="B12" s="11">
        <v>201.847</v>
      </c>
      <c r="C12" s="14">
        <f t="shared" si="16"/>
        <v>0.005614786768</v>
      </c>
      <c r="D12" s="15">
        <f t="shared" si="17"/>
        <v>1.127</v>
      </c>
      <c r="E12" s="14">
        <f t="shared" si="18"/>
        <v>0.004491829414</v>
      </c>
      <c r="F12" s="14">
        <f t="shared" si="19"/>
        <v>0.06737744121</v>
      </c>
      <c r="I12" s="11" t="s">
        <v>14</v>
      </c>
      <c r="J12" s="18"/>
      <c r="K12" s="28">
        <f t="shared" ref="K12:X12" si="22">SUM(K8:K11)</f>
        <v>1</v>
      </c>
      <c r="L12" s="28">
        <f t="shared" si="22"/>
        <v>1</v>
      </c>
      <c r="M12" s="28">
        <f t="shared" si="22"/>
        <v>1</v>
      </c>
      <c r="N12" s="28">
        <f t="shared" si="22"/>
        <v>1</v>
      </c>
      <c r="O12" s="28">
        <f t="shared" si="22"/>
        <v>1</v>
      </c>
      <c r="P12" s="28">
        <f t="shared" si="22"/>
        <v>1</v>
      </c>
      <c r="Q12" s="28">
        <f t="shared" si="22"/>
        <v>1</v>
      </c>
      <c r="R12" s="28">
        <f t="shared" si="22"/>
        <v>1</v>
      </c>
      <c r="S12" s="28">
        <f t="shared" si="22"/>
        <v>1</v>
      </c>
      <c r="T12" s="28">
        <f t="shared" si="22"/>
        <v>1</v>
      </c>
      <c r="U12" s="28">
        <f t="shared" si="22"/>
        <v>1</v>
      </c>
      <c r="V12" s="28">
        <f t="shared" si="22"/>
        <v>1</v>
      </c>
      <c r="W12" s="28">
        <f t="shared" si="22"/>
        <v>1</v>
      </c>
      <c r="X12" s="28">
        <f t="shared" si="22"/>
        <v>1</v>
      </c>
    </row>
    <row r="13">
      <c r="A13" s="6">
        <v>45717.0</v>
      </c>
      <c r="B13" s="11">
        <v>204.35</v>
      </c>
      <c r="C13" s="14">
        <f t="shared" si="16"/>
        <v>0.01240048155</v>
      </c>
      <c r="D13" s="15">
        <f t="shared" si="17"/>
        <v>2.503</v>
      </c>
      <c r="E13" s="14">
        <f t="shared" si="18"/>
        <v>0.009920385242</v>
      </c>
      <c r="F13" s="14">
        <f t="shared" si="19"/>
        <v>0.1488057786</v>
      </c>
    </row>
    <row r="14">
      <c r="A14" s="6">
        <v>45717.0</v>
      </c>
      <c r="B14" s="11">
        <f>B13+4.608</f>
        <v>208.958</v>
      </c>
      <c r="C14" s="8">
        <v>1.0</v>
      </c>
      <c r="D14" s="9"/>
      <c r="E14" s="9"/>
      <c r="F14" s="9"/>
      <c r="G14" s="10" t="s">
        <v>36</v>
      </c>
      <c r="K14" s="39"/>
    </row>
    <row r="15">
      <c r="A15" s="6">
        <v>45747.0</v>
      </c>
      <c r="B15" s="11">
        <v>209.553</v>
      </c>
      <c r="C15" s="14">
        <f>(B15/B14)-100%</f>
        <v>0.002847462169</v>
      </c>
      <c r="D15" s="15">
        <f>B15-B14</f>
        <v>0.595</v>
      </c>
      <c r="E15" s="14">
        <f>C15*0.8</f>
        <v>0.002277969736</v>
      </c>
      <c r="F15" s="14">
        <f>C15*12</f>
        <v>0.03416954603</v>
      </c>
      <c r="K15" s="39"/>
    </row>
    <row r="16">
      <c r="A16" s="6">
        <v>45748.0</v>
      </c>
      <c r="B16" s="11">
        <f>B15+5.226</f>
        <v>214.779</v>
      </c>
      <c r="C16" s="8">
        <v>1.0</v>
      </c>
      <c r="D16" s="9"/>
      <c r="E16" s="9"/>
      <c r="F16" s="9"/>
      <c r="G16" s="10" t="s">
        <v>37</v>
      </c>
      <c r="K16" s="39"/>
    </row>
    <row r="17">
      <c r="A17" s="6">
        <v>45778.0</v>
      </c>
      <c r="B17" s="11">
        <v>217.3475</v>
      </c>
      <c r="C17" s="14">
        <f t="shared" ref="C17:C20" si="23">(B17/B16)-100%</f>
        <v>0.01195880417</v>
      </c>
      <c r="D17" s="15">
        <f t="shared" ref="D17:D20" si="24">B17-B16</f>
        <v>2.5685</v>
      </c>
      <c r="E17" s="14">
        <f t="shared" ref="E17:E20" si="25">C17*0.8</f>
        <v>0.009567043333</v>
      </c>
      <c r="F17" s="14">
        <f t="shared" ref="F17:F20" si="26">C17*12</f>
        <v>0.14350565</v>
      </c>
    </row>
    <row r="18">
      <c r="A18" s="6">
        <v>45807.0</v>
      </c>
      <c r="B18" s="11">
        <v>217.8624</v>
      </c>
      <c r="C18" s="14">
        <f t="shared" si="23"/>
        <v>0.002369017357</v>
      </c>
      <c r="D18" s="15">
        <f t="shared" si="24"/>
        <v>0.5149</v>
      </c>
      <c r="E18" s="14">
        <f t="shared" si="25"/>
        <v>0.001895213886</v>
      </c>
      <c r="F18" s="14">
        <f t="shared" si="26"/>
        <v>0.02842820828</v>
      </c>
    </row>
    <row r="19">
      <c r="A19" s="6">
        <v>45838.0</v>
      </c>
      <c r="B19" s="11">
        <v>218.3559</v>
      </c>
      <c r="C19" s="14">
        <f t="shared" si="23"/>
        <v>0.00226519124</v>
      </c>
      <c r="D19" s="15">
        <f t="shared" si="24"/>
        <v>0.4935</v>
      </c>
      <c r="E19" s="14">
        <f t="shared" si="25"/>
        <v>0.001812152992</v>
      </c>
      <c r="F19" s="14">
        <f t="shared" si="26"/>
        <v>0.02718229488</v>
      </c>
    </row>
    <row r="20" ht="16.5" customHeight="1">
      <c r="A20" s="6">
        <v>45849.0</v>
      </c>
      <c r="B20" s="11">
        <f>209.85+0.14</f>
        <v>209.99</v>
      </c>
      <c r="C20" s="14">
        <f t="shared" si="23"/>
        <v>-0.03831313924</v>
      </c>
      <c r="D20" s="15">
        <f t="shared" si="24"/>
        <v>-8.3659</v>
      </c>
      <c r="E20" s="14">
        <f t="shared" si="25"/>
        <v>-0.03065051139</v>
      </c>
      <c r="F20" s="14">
        <f t="shared" si="26"/>
        <v>-0.4597576708</v>
      </c>
      <c r="G20" s="10" t="s">
        <v>38</v>
      </c>
    </row>
    <row r="21" ht="16.5" customHeight="1">
      <c r="A21" s="20" t="s">
        <v>39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>
      <c r="A22" s="31"/>
      <c r="B22" s="11"/>
    </row>
    <row r="23">
      <c r="A23" s="22" t="s">
        <v>17</v>
      </c>
      <c r="B23" s="23" t="s">
        <v>40</v>
      </c>
      <c r="C23" s="24">
        <f>(B20-(B2+17+120+4.608+5.226))/(B2+17+120+4.608+5.226)</f>
        <v>0.007948774564</v>
      </c>
      <c r="D23" s="25">
        <f>B20-(B2+17+120+4.608+5.226)</f>
        <v>1.656</v>
      </c>
      <c r="E23" s="24">
        <f>C23*0.8</f>
        <v>0.006359019651</v>
      </c>
      <c r="F23" s="26">
        <f>E23/11.5*12</f>
        <v>0.006635498766</v>
      </c>
    </row>
    <row r="24">
      <c r="A24" s="31"/>
      <c r="B24" s="11"/>
    </row>
    <row r="25">
      <c r="A25" s="31"/>
      <c r="B25" s="11"/>
    </row>
    <row r="26">
      <c r="A26" s="31"/>
      <c r="B26" s="11"/>
    </row>
    <row r="27">
      <c r="A27" s="31"/>
      <c r="B27" s="11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>
      <c r="A28" s="31"/>
      <c r="B28" s="11"/>
      <c r="E28" s="32"/>
      <c r="F28" s="32"/>
      <c r="G28" s="32"/>
      <c r="H28" s="32"/>
      <c r="I28" s="14"/>
      <c r="K28" s="39"/>
    </row>
    <row r="29">
      <c r="A29" s="31"/>
      <c r="B29" s="11"/>
      <c r="E29" s="32"/>
      <c r="F29" s="32"/>
      <c r="G29" s="32"/>
      <c r="H29" s="32"/>
      <c r="I29" s="14"/>
      <c r="K29" s="39"/>
    </row>
    <row r="30">
      <c r="A30" s="31"/>
      <c r="B30" s="11"/>
      <c r="E30" s="32"/>
      <c r="F30" s="32"/>
      <c r="G30" s="32"/>
      <c r="H30" s="32"/>
      <c r="I30" s="14"/>
      <c r="K30" s="39"/>
    </row>
    <row r="31">
      <c r="A31" s="31"/>
      <c r="B31" s="11"/>
      <c r="E31" s="32"/>
      <c r="F31" s="32"/>
      <c r="G31" s="32"/>
      <c r="H31" s="32"/>
      <c r="I31" s="14"/>
      <c r="K31" s="39"/>
    </row>
    <row r="32">
      <c r="A32" s="31"/>
      <c r="B32" s="32"/>
      <c r="E32" s="32"/>
      <c r="F32" s="32"/>
      <c r="G32" s="32"/>
      <c r="H32" s="32"/>
      <c r="I32" s="14"/>
      <c r="K32" s="39"/>
    </row>
    <row r="33">
      <c r="A33" s="31"/>
      <c r="B33" s="32"/>
      <c r="E33" s="32"/>
      <c r="F33" s="32"/>
      <c r="G33" s="32"/>
      <c r="H33" s="32"/>
      <c r="I33" s="14"/>
      <c r="K33" s="39"/>
    </row>
    <row r="34">
      <c r="A34" s="31"/>
      <c r="B34" s="32"/>
      <c r="E34" s="32"/>
      <c r="F34" s="32"/>
      <c r="G34" s="32"/>
      <c r="H34" s="32"/>
      <c r="I34" s="14"/>
      <c r="K34" s="39"/>
    </row>
    <row r="35">
      <c r="A35" s="31"/>
      <c r="B35" s="32"/>
      <c r="E35" s="32"/>
      <c r="F35" s="32"/>
      <c r="G35" s="32"/>
      <c r="H35" s="32"/>
      <c r="I35" s="14"/>
      <c r="K35" s="39"/>
    </row>
    <row r="36">
      <c r="A36" s="31"/>
      <c r="B36" s="32"/>
      <c r="E36" s="32"/>
      <c r="F36" s="32"/>
      <c r="G36" s="32"/>
      <c r="H36" s="32"/>
      <c r="I36" s="14"/>
      <c r="K36" s="39"/>
    </row>
    <row r="37">
      <c r="A37" s="31"/>
      <c r="B37" s="32"/>
      <c r="E37" s="32"/>
      <c r="F37" s="32"/>
      <c r="G37" s="32"/>
      <c r="H37" s="32"/>
      <c r="I37" s="14"/>
      <c r="K37" s="39"/>
    </row>
    <row r="38">
      <c r="A38" s="31"/>
      <c r="B38" s="32"/>
      <c r="E38" s="32"/>
      <c r="F38" s="32"/>
      <c r="G38" s="32"/>
      <c r="H38" s="32"/>
      <c r="I38" s="14"/>
      <c r="K38" s="39"/>
    </row>
    <row r="39">
      <c r="A39" s="31"/>
      <c r="B39" s="32"/>
      <c r="E39" s="32"/>
      <c r="F39" s="32"/>
      <c r="G39" s="32"/>
      <c r="H39" s="32"/>
      <c r="I39" s="14"/>
      <c r="K39" s="39"/>
    </row>
    <row r="40">
      <c r="A40" s="31"/>
      <c r="B40" s="32"/>
      <c r="E40" s="32"/>
      <c r="F40" s="32"/>
      <c r="G40" s="32"/>
      <c r="H40" s="32"/>
      <c r="I40" s="14"/>
      <c r="K40" s="39"/>
    </row>
    <row r="41">
      <c r="A41" s="31"/>
      <c r="B41" s="32"/>
      <c r="E41" s="32"/>
      <c r="F41" s="32"/>
      <c r="G41" s="32"/>
      <c r="H41" s="32"/>
      <c r="I41" s="14"/>
      <c r="K41" s="39"/>
    </row>
    <row r="42">
      <c r="A42" s="31"/>
      <c r="B42" s="32"/>
      <c r="E42" s="32"/>
      <c r="F42" s="32"/>
      <c r="G42" s="32"/>
      <c r="H42" s="32"/>
      <c r="I42" s="14"/>
      <c r="K42" s="39"/>
    </row>
    <row r="43">
      <c r="A43" s="31"/>
      <c r="B43" s="32"/>
      <c r="E43" s="32"/>
      <c r="F43" s="32"/>
      <c r="G43" s="32"/>
      <c r="H43" s="32"/>
      <c r="I43" s="14"/>
      <c r="K43" s="39"/>
    </row>
    <row r="44">
      <c r="A44" s="31"/>
      <c r="B44" s="32"/>
      <c r="E44" s="32"/>
      <c r="F44" s="32"/>
      <c r="G44" s="32"/>
      <c r="H44" s="32"/>
      <c r="I44" s="14"/>
      <c r="K44" s="39"/>
    </row>
    <row r="45">
      <c r="A45" s="31"/>
      <c r="B45" s="32"/>
      <c r="E45" s="32"/>
      <c r="F45" s="32"/>
      <c r="G45" s="32"/>
      <c r="H45" s="32"/>
      <c r="I45" s="14"/>
      <c r="K45" s="39"/>
    </row>
    <row r="46">
      <c r="A46" s="31"/>
      <c r="B46" s="32"/>
      <c r="E46" s="32"/>
      <c r="F46" s="32"/>
      <c r="G46" s="32"/>
      <c r="H46" s="32"/>
      <c r="I46" s="14"/>
      <c r="K46" s="39"/>
    </row>
    <row r="47">
      <c r="A47" s="31"/>
      <c r="B47" s="32"/>
      <c r="E47" s="32"/>
      <c r="F47" s="32"/>
      <c r="G47" s="32"/>
      <c r="H47" s="32"/>
      <c r="I47" s="14"/>
      <c r="K47" s="39"/>
    </row>
    <row r="48">
      <c r="A48" s="31"/>
      <c r="B48" s="32"/>
      <c r="E48" s="32"/>
      <c r="F48" s="32"/>
      <c r="G48" s="32"/>
      <c r="H48" s="32"/>
      <c r="I48" s="14"/>
      <c r="K48" s="39"/>
    </row>
    <row r="49">
      <c r="A49" s="31"/>
      <c r="B49" s="32"/>
      <c r="E49" s="32"/>
      <c r="F49" s="32"/>
      <c r="G49" s="32"/>
      <c r="H49" s="32"/>
      <c r="I49" s="14"/>
      <c r="K49" s="39"/>
    </row>
    <row r="50">
      <c r="A50" s="31"/>
      <c r="B50" s="32"/>
      <c r="E50" s="32"/>
      <c r="F50" s="32"/>
      <c r="G50" s="32"/>
      <c r="H50" s="32"/>
      <c r="I50" s="14"/>
      <c r="K50" s="39"/>
    </row>
    <row r="51">
      <c r="A51" s="31"/>
      <c r="B51" s="32"/>
      <c r="E51" s="32"/>
      <c r="F51" s="32"/>
      <c r="G51" s="32"/>
      <c r="H51" s="32"/>
      <c r="I51" s="14"/>
      <c r="K51" s="39"/>
    </row>
    <row r="52">
      <c r="A52" s="31"/>
      <c r="B52" s="32"/>
      <c r="E52" s="32"/>
      <c r="F52" s="32"/>
      <c r="G52" s="32"/>
      <c r="H52" s="32"/>
      <c r="I52" s="14"/>
      <c r="K52" s="39"/>
    </row>
    <row r="53">
      <c r="A53" s="31"/>
      <c r="B53" s="32"/>
      <c r="E53" s="32"/>
      <c r="F53" s="32"/>
      <c r="G53" s="32"/>
      <c r="H53" s="32"/>
      <c r="I53" s="14"/>
      <c r="K53" s="39"/>
    </row>
    <row r="54">
      <c r="A54" s="31"/>
      <c r="B54" s="32"/>
      <c r="E54" s="32"/>
      <c r="F54" s="32"/>
      <c r="G54" s="32"/>
      <c r="H54" s="32"/>
      <c r="I54" s="14"/>
      <c r="K54" s="39"/>
    </row>
    <row r="55">
      <c r="A55" s="31"/>
      <c r="B55" s="32"/>
      <c r="E55" s="32"/>
      <c r="F55" s="32"/>
      <c r="G55" s="32"/>
      <c r="H55" s="32"/>
      <c r="I55" s="14"/>
      <c r="K55" s="39"/>
    </row>
    <row r="56">
      <c r="A56" s="31"/>
      <c r="B56" s="32"/>
      <c r="E56" s="32"/>
      <c r="F56" s="32"/>
      <c r="G56" s="32"/>
      <c r="H56" s="32"/>
      <c r="I56" s="14"/>
      <c r="K56" s="39"/>
    </row>
    <row r="57">
      <c r="A57" s="31"/>
      <c r="B57" s="32"/>
      <c r="E57" s="32"/>
      <c r="F57" s="32"/>
      <c r="G57" s="32"/>
      <c r="H57" s="32"/>
      <c r="I57" s="14"/>
      <c r="K57" s="39"/>
    </row>
    <row r="58">
      <c r="A58" s="31"/>
      <c r="B58" s="32"/>
      <c r="E58" s="32"/>
      <c r="F58" s="32"/>
      <c r="G58" s="32"/>
      <c r="H58" s="32"/>
      <c r="I58" s="14"/>
      <c r="K58" s="39"/>
    </row>
    <row r="59">
      <c r="A59" s="31"/>
      <c r="B59" s="32"/>
      <c r="E59" s="32"/>
      <c r="F59" s="32"/>
      <c r="G59" s="32"/>
      <c r="H59" s="32"/>
      <c r="I59" s="14"/>
      <c r="K59" s="39"/>
    </row>
    <row r="60">
      <c r="A60" s="31"/>
      <c r="B60" s="32"/>
      <c r="E60" s="32"/>
      <c r="F60" s="32"/>
      <c r="G60" s="32"/>
      <c r="H60" s="32"/>
      <c r="I60" s="14"/>
      <c r="K60" s="39"/>
    </row>
    <row r="61">
      <c r="A61" s="31"/>
      <c r="B61" s="32"/>
      <c r="E61" s="32"/>
      <c r="F61" s="32"/>
      <c r="G61" s="32"/>
      <c r="H61" s="32"/>
      <c r="I61" s="14"/>
      <c r="K61" s="39"/>
    </row>
    <row r="62">
      <c r="A62" s="31"/>
      <c r="B62" s="32"/>
      <c r="E62" s="32"/>
      <c r="F62" s="32"/>
      <c r="G62" s="32"/>
      <c r="H62" s="32"/>
      <c r="I62" s="14"/>
      <c r="K62" s="39"/>
    </row>
    <row r="63">
      <c r="A63" s="31"/>
      <c r="B63" s="32"/>
      <c r="E63" s="32"/>
      <c r="F63" s="32"/>
      <c r="G63" s="32"/>
      <c r="H63" s="32"/>
      <c r="I63" s="14"/>
      <c r="K63" s="39"/>
    </row>
    <row r="64">
      <c r="A64" s="31"/>
      <c r="B64" s="32"/>
      <c r="E64" s="32"/>
      <c r="F64" s="32"/>
      <c r="G64" s="32"/>
      <c r="H64" s="32"/>
      <c r="I64" s="14"/>
      <c r="K64" s="39"/>
    </row>
    <row r="65">
      <c r="A65" s="31"/>
      <c r="B65" s="32"/>
      <c r="E65" s="32"/>
      <c r="F65" s="32"/>
      <c r="G65" s="32"/>
      <c r="H65" s="32"/>
      <c r="I65" s="14"/>
      <c r="K65" s="39"/>
    </row>
    <row r="66">
      <c r="A66" s="31"/>
      <c r="B66" s="32"/>
      <c r="E66" s="32"/>
      <c r="F66" s="32"/>
      <c r="G66" s="32"/>
      <c r="H66" s="32"/>
      <c r="I66" s="14"/>
      <c r="K66" s="39"/>
    </row>
    <row r="67">
      <c r="A67" s="31"/>
      <c r="B67" s="32"/>
      <c r="E67" s="32"/>
      <c r="F67" s="32"/>
      <c r="G67" s="32"/>
      <c r="H67" s="32"/>
      <c r="I67" s="14"/>
      <c r="K67" s="39"/>
    </row>
    <row r="68">
      <c r="A68" s="31"/>
      <c r="B68" s="32"/>
      <c r="E68" s="32"/>
      <c r="F68" s="32"/>
      <c r="G68" s="32"/>
      <c r="H68" s="32"/>
      <c r="I68" s="14"/>
      <c r="K68" s="39"/>
    </row>
    <row r="69">
      <c r="A69" s="31"/>
      <c r="B69" s="32"/>
      <c r="E69" s="32"/>
      <c r="F69" s="32"/>
      <c r="G69" s="32"/>
      <c r="H69" s="32"/>
      <c r="I69" s="14"/>
      <c r="K69" s="39"/>
    </row>
    <row r="70">
      <c r="A70" s="31"/>
      <c r="B70" s="32"/>
      <c r="E70" s="32"/>
      <c r="F70" s="32"/>
      <c r="G70" s="32"/>
      <c r="H70" s="32"/>
      <c r="I70" s="14"/>
      <c r="K70" s="39"/>
    </row>
    <row r="71">
      <c r="A71" s="31"/>
      <c r="B71" s="32"/>
      <c r="E71" s="32"/>
      <c r="F71" s="32"/>
      <c r="G71" s="32"/>
      <c r="H71" s="32"/>
      <c r="I71" s="14"/>
      <c r="K71" s="39"/>
    </row>
    <row r="72">
      <c r="A72" s="31"/>
      <c r="B72" s="32"/>
      <c r="E72" s="32"/>
      <c r="F72" s="32"/>
      <c r="G72" s="32"/>
      <c r="H72" s="32"/>
      <c r="I72" s="14"/>
      <c r="K72" s="39"/>
    </row>
    <row r="73">
      <c r="A73" s="31"/>
      <c r="B73" s="32"/>
      <c r="E73" s="32"/>
      <c r="F73" s="32"/>
      <c r="G73" s="32"/>
      <c r="H73" s="32"/>
      <c r="I73" s="14"/>
      <c r="K73" s="39"/>
    </row>
    <row r="74">
      <c r="A74" s="31"/>
      <c r="B74" s="32"/>
      <c r="E74" s="32"/>
      <c r="F74" s="32"/>
      <c r="G74" s="32"/>
      <c r="H74" s="32"/>
      <c r="I74" s="14"/>
      <c r="K74" s="39"/>
    </row>
    <row r="75">
      <c r="A75" s="31"/>
      <c r="B75" s="32"/>
      <c r="E75" s="32"/>
      <c r="F75" s="32"/>
      <c r="G75" s="32"/>
      <c r="H75" s="32"/>
      <c r="I75" s="14"/>
      <c r="K75" s="39"/>
    </row>
    <row r="76">
      <c r="A76" s="31"/>
      <c r="B76" s="32"/>
      <c r="E76" s="32"/>
      <c r="F76" s="32"/>
      <c r="G76" s="32"/>
      <c r="H76" s="32"/>
      <c r="I76" s="14"/>
      <c r="K76" s="39"/>
    </row>
    <row r="77">
      <c r="A77" s="31"/>
      <c r="B77" s="32"/>
      <c r="E77" s="32"/>
      <c r="F77" s="32"/>
      <c r="G77" s="32"/>
      <c r="H77" s="32"/>
      <c r="I77" s="14"/>
      <c r="K77" s="39"/>
    </row>
    <row r="78">
      <c r="A78" s="31"/>
      <c r="B78" s="32"/>
      <c r="E78" s="32"/>
      <c r="F78" s="32"/>
      <c r="G78" s="32"/>
      <c r="H78" s="32"/>
      <c r="I78" s="14"/>
      <c r="K78" s="39"/>
    </row>
    <row r="79">
      <c r="A79" s="31"/>
      <c r="B79" s="32"/>
      <c r="E79" s="32"/>
      <c r="F79" s="32"/>
      <c r="G79" s="32"/>
      <c r="H79" s="32"/>
      <c r="I79" s="14"/>
      <c r="K79" s="39"/>
    </row>
    <row r="80">
      <c r="A80" s="31"/>
      <c r="B80" s="32"/>
      <c r="E80" s="32"/>
      <c r="F80" s="32"/>
      <c r="G80" s="32"/>
      <c r="H80" s="32"/>
      <c r="I80" s="14"/>
      <c r="K80" s="39"/>
    </row>
    <row r="81">
      <c r="A81" s="31"/>
      <c r="B81" s="32"/>
      <c r="E81" s="32"/>
      <c r="F81" s="32"/>
      <c r="G81" s="32"/>
      <c r="H81" s="32"/>
      <c r="I81" s="14"/>
      <c r="K81" s="39"/>
    </row>
    <row r="82">
      <c r="A82" s="31"/>
      <c r="B82" s="32"/>
      <c r="E82" s="32"/>
      <c r="F82" s="32"/>
      <c r="G82" s="32"/>
      <c r="H82" s="32"/>
      <c r="I82" s="14"/>
      <c r="K82" s="39"/>
    </row>
    <row r="83">
      <c r="A83" s="31"/>
      <c r="B83" s="32"/>
      <c r="E83" s="32"/>
      <c r="F83" s="32"/>
      <c r="G83" s="32"/>
      <c r="H83" s="32"/>
      <c r="I83" s="14"/>
      <c r="K83" s="39"/>
    </row>
    <row r="84">
      <c r="A84" s="31"/>
      <c r="B84" s="32"/>
      <c r="E84" s="32"/>
      <c r="F84" s="32"/>
      <c r="G84" s="32"/>
      <c r="H84" s="32"/>
      <c r="I84" s="14"/>
      <c r="K84" s="39"/>
    </row>
    <row r="85">
      <c r="A85" s="31"/>
      <c r="B85" s="32"/>
      <c r="E85" s="32"/>
      <c r="F85" s="32"/>
      <c r="G85" s="32"/>
      <c r="H85" s="32"/>
      <c r="I85" s="14"/>
      <c r="K85" s="39"/>
    </row>
    <row r="86">
      <c r="A86" s="31"/>
      <c r="B86" s="32"/>
      <c r="E86" s="32"/>
      <c r="F86" s="32"/>
      <c r="G86" s="32"/>
      <c r="H86" s="32"/>
      <c r="I86" s="14"/>
      <c r="K86" s="39"/>
    </row>
    <row r="87">
      <c r="A87" s="31"/>
      <c r="B87" s="32"/>
      <c r="E87" s="32"/>
      <c r="F87" s="32"/>
      <c r="G87" s="32"/>
      <c r="H87" s="32"/>
      <c r="I87" s="14"/>
      <c r="K87" s="39"/>
    </row>
    <row r="88">
      <c r="A88" s="31"/>
      <c r="B88" s="32"/>
      <c r="E88" s="32"/>
      <c r="F88" s="32"/>
      <c r="G88" s="32"/>
      <c r="H88" s="32"/>
      <c r="I88" s="14"/>
      <c r="K88" s="39"/>
    </row>
    <row r="89">
      <c r="A89" s="31"/>
      <c r="B89" s="32"/>
      <c r="E89" s="32"/>
      <c r="F89" s="32"/>
      <c r="G89" s="32"/>
      <c r="H89" s="32"/>
      <c r="I89" s="14"/>
      <c r="K89" s="39"/>
    </row>
    <row r="90">
      <c r="A90" s="31"/>
      <c r="B90" s="32"/>
      <c r="E90" s="32"/>
      <c r="F90" s="32"/>
      <c r="G90" s="32"/>
      <c r="H90" s="32"/>
      <c r="I90" s="14"/>
      <c r="K90" s="39"/>
    </row>
    <row r="91">
      <c r="A91" s="31"/>
      <c r="B91" s="32"/>
      <c r="E91" s="32"/>
      <c r="F91" s="32"/>
      <c r="G91" s="32"/>
      <c r="H91" s="32"/>
      <c r="I91" s="14"/>
      <c r="K91" s="39"/>
    </row>
    <row r="92">
      <c r="A92" s="31"/>
      <c r="B92" s="32"/>
      <c r="E92" s="32"/>
      <c r="F92" s="32"/>
      <c r="G92" s="32"/>
      <c r="H92" s="32"/>
      <c r="I92" s="14"/>
      <c r="K92" s="39"/>
    </row>
    <row r="93">
      <c r="A93" s="31"/>
      <c r="B93" s="32"/>
      <c r="E93" s="32"/>
      <c r="F93" s="32"/>
      <c r="G93" s="32"/>
      <c r="H93" s="32"/>
      <c r="I93" s="14"/>
      <c r="K93" s="39"/>
    </row>
    <row r="94">
      <c r="A94" s="31"/>
      <c r="B94" s="32"/>
      <c r="E94" s="32"/>
      <c r="F94" s="32"/>
      <c r="G94" s="32"/>
      <c r="H94" s="32"/>
      <c r="I94" s="14"/>
      <c r="K94" s="39"/>
    </row>
    <row r="95">
      <c r="A95" s="31"/>
      <c r="B95" s="32"/>
      <c r="E95" s="32"/>
      <c r="F95" s="32"/>
      <c r="G95" s="32"/>
      <c r="H95" s="32"/>
      <c r="I95" s="14"/>
      <c r="K95" s="39"/>
    </row>
    <row r="96">
      <c r="A96" s="31"/>
      <c r="B96" s="32"/>
      <c r="E96" s="32"/>
      <c r="F96" s="32"/>
      <c r="G96" s="32"/>
      <c r="H96" s="32"/>
      <c r="I96" s="14"/>
      <c r="K96" s="39"/>
    </row>
    <row r="97">
      <c r="A97" s="31"/>
      <c r="B97" s="32"/>
      <c r="E97" s="32"/>
      <c r="F97" s="32"/>
      <c r="G97" s="32"/>
      <c r="H97" s="32"/>
      <c r="I97" s="14"/>
      <c r="K97" s="39"/>
    </row>
    <row r="98">
      <c r="A98" s="31"/>
      <c r="B98" s="32"/>
      <c r="E98" s="32"/>
      <c r="F98" s="32"/>
      <c r="G98" s="32"/>
      <c r="H98" s="32"/>
      <c r="I98" s="14"/>
      <c r="K98" s="39"/>
    </row>
    <row r="99">
      <c r="A99" s="31"/>
      <c r="B99" s="32"/>
      <c r="E99" s="32"/>
      <c r="F99" s="32"/>
      <c r="G99" s="32"/>
      <c r="H99" s="32"/>
      <c r="I99" s="14"/>
      <c r="K99" s="39"/>
    </row>
    <row r="100">
      <c r="A100" s="31"/>
      <c r="B100" s="32"/>
      <c r="E100" s="32"/>
      <c r="F100" s="32"/>
      <c r="G100" s="32"/>
      <c r="H100" s="32"/>
      <c r="I100" s="14"/>
      <c r="K100" s="39"/>
    </row>
    <row r="101">
      <c r="A101" s="31"/>
      <c r="B101" s="32"/>
      <c r="E101" s="32"/>
      <c r="F101" s="32"/>
      <c r="G101" s="32"/>
      <c r="H101" s="32"/>
      <c r="I101" s="14"/>
      <c r="K101" s="39"/>
    </row>
    <row r="102">
      <c r="A102" s="31"/>
      <c r="B102" s="32"/>
      <c r="E102" s="32"/>
      <c r="F102" s="32"/>
      <c r="G102" s="32"/>
      <c r="H102" s="32"/>
      <c r="I102" s="14"/>
      <c r="K102" s="39"/>
    </row>
    <row r="103">
      <c r="A103" s="31"/>
      <c r="B103" s="32"/>
      <c r="E103" s="32"/>
      <c r="F103" s="32"/>
      <c r="G103" s="32"/>
      <c r="H103" s="32"/>
      <c r="I103" s="14"/>
      <c r="K103" s="39"/>
    </row>
    <row r="104">
      <c r="A104" s="31"/>
      <c r="B104" s="32"/>
      <c r="E104" s="32"/>
      <c r="F104" s="32"/>
      <c r="G104" s="32"/>
      <c r="H104" s="32"/>
      <c r="I104" s="14"/>
      <c r="K104" s="39"/>
    </row>
    <row r="105">
      <c r="A105" s="31"/>
      <c r="B105" s="32"/>
      <c r="E105" s="32"/>
      <c r="F105" s="32"/>
      <c r="G105" s="32"/>
      <c r="H105" s="32"/>
      <c r="I105" s="14"/>
      <c r="K105" s="39"/>
    </row>
    <row r="106">
      <c r="A106" s="31"/>
      <c r="B106" s="32"/>
      <c r="E106" s="32"/>
      <c r="F106" s="32"/>
      <c r="G106" s="32"/>
      <c r="H106" s="32"/>
      <c r="I106" s="14"/>
      <c r="K106" s="39"/>
    </row>
    <row r="107">
      <c r="A107" s="31"/>
      <c r="B107" s="32"/>
      <c r="E107" s="32"/>
      <c r="F107" s="32"/>
      <c r="G107" s="32"/>
      <c r="H107" s="32"/>
      <c r="I107" s="14"/>
      <c r="K107" s="39"/>
    </row>
    <row r="108">
      <c r="A108" s="31"/>
      <c r="B108" s="32"/>
      <c r="E108" s="32"/>
      <c r="F108" s="32"/>
      <c r="G108" s="32"/>
      <c r="H108" s="32"/>
      <c r="I108" s="14"/>
      <c r="K108" s="39"/>
    </row>
    <row r="109">
      <c r="A109" s="31"/>
      <c r="B109" s="32"/>
      <c r="E109" s="32"/>
      <c r="F109" s="32"/>
      <c r="G109" s="32"/>
      <c r="H109" s="32"/>
      <c r="I109" s="14"/>
      <c r="K109" s="39"/>
    </row>
    <row r="110">
      <c r="A110" s="31"/>
      <c r="B110" s="32"/>
      <c r="E110" s="32"/>
      <c r="F110" s="32"/>
      <c r="G110" s="32"/>
      <c r="H110" s="32"/>
      <c r="I110" s="14"/>
      <c r="K110" s="39"/>
    </row>
    <row r="111">
      <c r="A111" s="31"/>
      <c r="B111" s="32"/>
      <c r="E111" s="32"/>
      <c r="F111" s="32"/>
      <c r="G111" s="32"/>
      <c r="H111" s="32"/>
      <c r="I111" s="14"/>
      <c r="K111" s="39"/>
    </row>
    <row r="112">
      <c r="A112" s="31"/>
      <c r="B112" s="32"/>
      <c r="E112" s="32"/>
      <c r="F112" s="32"/>
      <c r="G112" s="32"/>
      <c r="H112" s="32"/>
      <c r="I112" s="14"/>
      <c r="K112" s="39"/>
    </row>
    <row r="113">
      <c r="A113" s="31"/>
      <c r="B113" s="32"/>
      <c r="E113" s="32"/>
      <c r="F113" s="32"/>
      <c r="G113" s="32"/>
      <c r="H113" s="32"/>
      <c r="I113" s="14"/>
      <c r="K113" s="39"/>
    </row>
    <row r="114">
      <c r="A114" s="31"/>
      <c r="B114" s="32"/>
      <c r="E114" s="32"/>
      <c r="F114" s="32"/>
      <c r="G114" s="32"/>
      <c r="H114" s="32"/>
      <c r="I114" s="14"/>
      <c r="K114" s="39"/>
    </row>
    <row r="115">
      <c r="A115" s="31"/>
      <c r="B115" s="32"/>
      <c r="E115" s="32"/>
      <c r="F115" s="32"/>
      <c r="G115" s="32"/>
      <c r="H115" s="32"/>
      <c r="I115" s="14"/>
      <c r="K115" s="39"/>
    </row>
    <row r="116">
      <c r="A116" s="31"/>
      <c r="B116" s="32"/>
      <c r="E116" s="32"/>
      <c r="F116" s="32"/>
      <c r="G116" s="32"/>
      <c r="H116" s="32"/>
      <c r="I116" s="14"/>
      <c r="K116" s="39"/>
    </row>
    <row r="117">
      <c r="A117" s="31"/>
      <c r="B117" s="32"/>
      <c r="E117" s="32"/>
      <c r="F117" s="32"/>
      <c r="G117" s="32"/>
      <c r="H117" s="32"/>
      <c r="I117" s="14"/>
      <c r="K117" s="39"/>
    </row>
    <row r="118">
      <c r="A118" s="31"/>
      <c r="B118" s="32"/>
      <c r="E118" s="32"/>
      <c r="F118" s="32"/>
      <c r="G118" s="32"/>
      <c r="H118" s="32"/>
      <c r="I118" s="14"/>
      <c r="K118" s="39"/>
    </row>
    <row r="119">
      <c r="A119" s="31"/>
      <c r="B119" s="32"/>
      <c r="E119" s="32"/>
      <c r="F119" s="32"/>
      <c r="G119" s="32"/>
      <c r="H119" s="32"/>
      <c r="I119" s="14"/>
      <c r="K119" s="39"/>
    </row>
    <row r="120">
      <c r="A120" s="31"/>
      <c r="B120" s="32"/>
      <c r="E120" s="32"/>
      <c r="F120" s="32"/>
      <c r="G120" s="32"/>
      <c r="H120" s="32"/>
      <c r="I120" s="14"/>
      <c r="K120" s="39"/>
    </row>
    <row r="121">
      <c r="A121" s="31"/>
      <c r="B121" s="32"/>
      <c r="E121" s="32"/>
      <c r="F121" s="32"/>
      <c r="G121" s="32"/>
      <c r="H121" s="32"/>
      <c r="I121" s="14"/>
      <c r="K121" s="39"/>
    </row>
    <row r="122">
      <c r="A122" s="31"/>
      <c r="B122" s="32"/>
      <c r="E122" s="32"/>
      <c r="F122" s="32"/>
      <c r="G122" s="32"/>
      <c r="H122" s="32"/>
      <c r="I122" s="14"/>
      <c r="K122" s="39"/>
    </row>
    <row r="123">
      <c r="A123" s="31"/>
      <c r="B123" s="32"/>
      <c r="E123" s="32"/>
      <c r="F123" s="32"/>
      <c r="G123" s="32"/>
      <c r="H123" s="32"/>
      <c r="I123" s="14"/>
      <c r="K123" s="39"/>
    </row>
    <row r="124">
      <c r="A124" s="31"/>
      <c r="B124" s="32"/>
      <c r="E124" s="32"/>
      <c r="F124" s="32"/>
      <c r="G124" s="32"/>
      <c r="H124" s="32"/>
      <c r="I124" s="14"/>
      <c r="K124" s="39"/>
    </row>
    <row r="125">
      <c r="A125" s="31"/>
      <c r="B125" s="32"/>
      <c r="E125" s="32"/>
      <c r="F125" s="32"/>
      <c r="G125" s="32"/>
      <c r="H125" s="32"/>
      <c r="I125" s="14"/>
      <c r="K125" s="39"/>
    </row>
    <row r="126">
      <c r="A126" s="31"/>
      <c r="B126" s="32"/>
      <c r="E126" s="32"/>
      <c r="F126" s="32"/>
      <c r="G126" s="32"/>
      <c r="H126" s="32"/>
      <c r="I126" s="14"/>
      <c r="K126" s="39"/>
    </row>
    <row r="127">
      <c r="A127" s="31"/>
      <c r="B127" s="32"/>
      <c r="E127" s="32"/>
      <c r="F127" s="32"/>
      <c r="G127" s="32"/>
      <c r="H127" s="32"/>
      <c r="I127" s="14"/>
      <c r="K127" s="39"/>
    </row>
    <row r="128">
      <c r="A128" s="31"/>
      <c r="B128" s="32"/>
      <c r="E128" s="32"/>
      <c r="F128" s="32"/>
      <c r="G128" s="32"/>
      <c r="H128" s="32"/>
      <c r="I128" s="14"/>
      <c r="K128" s="39"/>
    </row>
    <row r="129">
      <c r="A129" s="31"/>
      <c r="B129" s="32"/>
      <c r="E129" s="32"/>
      <c r="F129" s="32"/>
      <c r="G129" s="32"/>
      <c r="H129" s="32"/>
      <c r="I129" s="14"/>
      <c r="K129" s="39"/>
    </row>
    <row r="130">
      <c r="A130" s="31"/>
      <c r="B130" s="32"/>
      <c r="E130" s="32"/>
      <c r="F130" s="32"/>
      <c r="G130" s="32"/>
      <c r="H130" s="32"/>
      <c r="I130" s="14"/>
      <c r="K130" s="39"/>
    </row>
    <row r="131">
      <c r="A131" s="31"/>
      <c r="B131" s="32"/>
      <c r="E131" s="32"/>
      <c r="F131" s="32"/>
      <c r="G131" s="32"/>
      <c r="H131" s="32"/>
      <c r="I131" s="14"/>
      <c r="K131" s="39"/>
    </row>
    <row r="132">
      <c r="A132" s="31"/>
      <c r="B132" s="32"/>
      <c r="E132" s="32"/>
      <c r="F132" s="32"/>
      <c r="G132" s="32"/>
      <c r="H132" s="32"/>
      <c r="I132" s="14"/>
      <c r="K132" s="39"/>
    </row>
    <row r="133">
      <c r="A133" s="31"/>
      <c r="B133" s="32"/>
      <c r="E133" s="32"/>
      <c r="F133" s="32"/>
      <c r="G133" s="32"/>
      <c r="H133" s="32"/>
      <c r="I133" s="14"/>
      <c r="K133" s="39"/>
    </row>
    <row r="134">
      <c r="A134" s="31"/>
      <c r="B134" s="32"/>
      <c r="E134" s="32"/>
      <c r="F134" s="32"/>
      <c r="G134" s="32"/>
      <c r="H134" s="32"/>
      <c r="I134" s="14"/>
      <c r="K134" s="39"/>
    </row>
    <row r="135">
      <c r="A135" s="31"/>
      <c r="B135" s="32"/>
      <c r="E135" s="32"/>
      <c r="F135" s="32"/>
      <c r="G135" s="32"/>
      <c r="H135" s="32"/>
      <c r="I135" s="14"/>
      <c r="K135" s="39"/>
    </row>
    <row r="136">
      <c r="A136" s="31"/>
      <c r="B136" s="32"/>
      <c r="E136" s="32"/>
      <c r="F136" s="32"/>
      <c r="G136" s="32"/>
      <c r="H136" s="32"/>
      <c r="I136" s="14"/>
      <c r="K136" s="39"/>
    </row>
    <row r="137">
      <c r="A137" s="31"/>
      <c r="B137" s="32"/>
      <c r="E137" s="32"/>
      <c r="F137" s="32"/>
      <c r="G137" s="32"/>
      <c r="H137" s="32"/>
      <c r="I137" s="14"/>
      <c r="K137" s="39"/>
    </row>
    <row r="138">
      <c r="A138" s="31"/>
      <c r="B138" s="32"/>
      <c r="E138" s="32"/>
      <c r="F138" s="32"/>
      <c r="G138" s="32"/>
      <c r="H138" s="32"/>
      <c r="I138" s="14"/>
      <c r="K138" s="39"/>
    </row>
    <row r="139">
      <c r="A139" s="31"/>
      <c r="B139" s="32"/>
      <c r="E139" s="32"/>
      <c r="F139" s="32"/>
      <c r="G139" s="32"/>
      <c r="H139" s="32"/>
      <c r="I139" s="14"/>
      <c r="K139" s="39"/>
    </row>
    <row r="140">
      <c r="A140" s="31"/>
      <c r="B140" s="32"/>
      <c r="E140" s="32"/>
      <c r="F140" s="32"/>
      <c r="G140" s="32"/>
      <c r="H140" s="32"/>
      <c r="I140" s="14"/>
      <c r="K140" s="39"/>
    </row>
    <row r="141">
      <c r="A141" s="31"/>
      <c r="B141" s="32"/>
      <c r="E141" s="32"/>
      <c r="F141" s="32"/>
      <c r="G141" s="32"/>
      <c r="H141" s="32"/>
      <c r="I141" s="14"/>
      <c r="K141" s="39"/>
    </row>
    <row r="142">
      <c r="A142" s="31"/>
      <c r="B142" s="32"/>
      <c r="E142" s="32"/>
      <c r="F142" s="32"/>
      <c r="G142" s="32"/>
      <c r="H142" s="32"/>
      <c r="I142" s="14"/>
      <c r="K142" s="39"/>
    </row>
    <row r="143">
      <c r="A143" s="31"/>
      <c r="B143" s="32"/>
      <c r="E143" s="32"/>
      <c r="F143" s="32"/>
      <c r="G143" s="32"/>
      <c r="H143" s="32"/>
      <c r="I143" s="14"/>
      <c r="K143" s="39"/>
    </row>
    <row r="144">
      <c r="A144" s="31"/>
      <c r="B144" s="32"/>
      <c r="E144" s="32"/>
      <c r="F144" s="32"/>
      <c r="G144" s="32"/>
      <c r="H144" s="32"/>
      <c r="I144" s="14"/>
      <c r="K144" s="39"/>
    </row>
    <row r="145">
      <c r="A145" s="31"/>
      <c r="B145" s="32"/>
      <c r="E145" s="32"/>
      <c r="F145" s="32"/>
      <c r="G145" s="32"/>
      <c r="H145" s="32"/>
      <c r="I145" s="14"/>
      <c r="K145" s="39"/>
    </row>
    <row r="146">
      <c r="A146" s="31"/>
      <c r="B146" s="32"/>
      <c r="E146" s="32"/>
      <c r="F146" s="32"/>
      <c r="G146" s="32"/>
      <c r="H146" s="32"/>
      <c r="I146" s="14"/>
      <c r="K146" s="39"/>
    </row>
    <row r="147">
      <c r="A147" s="31"/>
      <c r="B147" s="32"/>
      <c r="E147" s="32"/>
      <c r="F147" s="32"/>
      <c r="G147" s="32"/>
      <c r="H147" s="32"/>
      <c r="I147" s="14"/>
      <c r="K147" s="39"/>
    </row>
    <row r="148">
      <c r="A148" s="31"/>
      <c r="B148" s="32"/>
      <c r="E148" s="32"/>
      <c r="F148" s="32"/>
      <c r="G148" s="32"/>
      <c r="H148" s="32"/>
      <c r="I148" s="14"/>
      <c r="K148" s="39"/>
    </row>
    <row r="149">
      <c r="A149" s="31"/>
      <c r="B149" s="32"/>
      <c r="E149" s="32"/>
      <c r="F149" s="32"/>
      <c r="G149" s="32"/>
      <c r="H149" s="32"/>
      <c r="I149" s="14"/>
      <c r="K149" s="39"/>
    </row>
    <row r="150">
      <c r="A150" s="31"/>
      <c r="B150" s="32"/>
      <c r="E150" s="32"/>
      <c r="F150" s="32"/>
      <c r="G150" s="32"/>
      <c r="H150" s="32"/>
      <c r="I150" s="14"/>
      <c r="K150" s="39"/>
    </row>
    <row r="151">
      <c r="A151" s="31"/>
      <c r="B151" s="32"/>
      <c r="E151" s="32"/>
      <c r="F151" s="32"/>
      <c r="G151" s="32"/>
      <c r="H151" s="32"/>
      <c r="I151" s="14"/>
      <c r="K151" s="39"/>
    </row>
    <row r="152">
      <c r="A152" s="31"/>
      <c r="B152" s="32"/>
      <c r="E152" s="32"/>
      <c r="F152" s="32"/>
      <c r="G152" s="32"/>
      <c r="H152" s="32"/>
      <c r="I152" s="14"/>
      <c r="K152" s="39"/>
    </row>
    <row r="153">
      <c r="A153" s="31"/>
      <c r="B153" s="32"/>
      <c r="E153" s="32"/>
      <c r="F153" s="32"/>
      <c r="G153" s="32"/>
      <c r="H153" s="32"/>
      <c r="I153" s="14"/>
      <c r="K153" s="39"/>
    </row>
    <row r="154">
      <c r="A154" s="31"/>
      <c r="B154" s="32"/>
      <c r="E154" s="32"/>
      <c r="F154" s="32"/>
      <c r="G154" s="32"/>
      <c r="H154" s="32"/>
      <c r="I154" s="14"/>
      <c r="K154" s="39"/>
    </row>
    <row r="155">
      <c r="A155" s="31"/>
      <c r="B155" s="32"/>
      <c r="E155" s="32"/>
      <c r="F155" s="32"/>
      <c r="G155" s="32"/>
      <c r="H155" s="32"/>
      <c r="I155" s="14"/>
      <c r="K155" s="39"/>
    </row>
    <row r="156">
      <c r="A156" s="31"/>
      <c r="B156" s="32"/>
      <c r="E156" s="32"/>
      <c r="F156" s="32"/>
      <c r="G156" s="32"/>
      <c r="H156" s="32"/>
      <c r="I156" s="14"/>
      <c r="K156" s="39"/>
    </row>
    <row r="157">
      <c r="A157" s="31"/>
      <c r="B157" s="32"/>
      <c r="E157" s="32"/>
      <c r="F157" s="32"/>
      <c r="G157" s="32"/>
      <c r="H157" s="32"/>
      <c r="I157" s="14"/>
      <c r="K157" s="39"/>
    </row>
    <row r="158">
      <c r="A158" s="31"/>
      <c r="B158" s="32"/>
      <c r="E158" s="32"/>
      <c r="F158" s="32"/>
      <c r="G158" s="32"/>
      <c r="H158" s="32"/>
      <c r="I158" s="14"/>
      <c r="K158" s="39"/>
    </row>
    <row r="159">
      <c r="A159" s="31"/>
      <c r="B159" s="32"/>
      <c r="E159" s="32"/>
      <c r="F159" s="32"/>
      <c r="G159" s="32"/>
      <c r="H159" s="32"/>
      <c r="I159" s="14"/>
      <c r="K159" s="39"/>
    </row>
    <row r="160">
      <c r="A160" s="31"/>
      <c r="B160" s="32"/>
      <c r="E160" s="32"/>
      <c r="F160" s="32"/>
      <c r="G160" s="32"/>
      <c r="H160" s="32"/>
      <c r="I160" s="14"/>
      <c r="K160" s="39"/>
    </row>
    <row r="161">
      <c r="A161" s="31"/>
      <c r="B161" s="32"/>
      <c r="E161" s="32"/>
      <c r="F161" s="32"/>
      <c r="G161" s="32"/>
      <c r="H161" s="32"/>
      <c r="I161" s="14"/>
      <c r="K161" s="39"/>
    </row>
    <row r="162">
      <c r="A162" s="31"/>
      <c r="B162" s="32"/>
      <c r="E162" s="32"/>
      <c r="F162" s="32"/>
      <c r="G162" s="32"/>
      <c r="H162" s="32"/>
      <c r="I162" s="14"/>
      <c r="K162" s="39"/>
    </row>
    <row r="163">
      <c r="A163" s="31"/>
      <c r="B163" s="32"/>
      <c r="E163" s="32"/>
      <c r="F163" s="32"/>
      <c r="G163" s="32"/>
      <c r="H163" s="32"/>
      <c r="I163" s="14"/>
      <c r="K163" s="39"/>
    </row>
    <row r="164">
      <c r="A164" s="31"/>
      <c r="B164" s="32"/>
      <c r="E164" s="32"/>
      <c r="F164" s="32"/>
      <c r="G164" s="32"/>
      <c r="H164" s="32"/>
      <c r="I164" s="14"/>
      <c r="K164" s="39"/>
    </row>
    <row r="165">
      <c r="A165" s="31"/>
      <c r="B165" s="32"/>
      <c r="E165" s="32"/>
      <c r="F165" s="32"/>
      <c r="G165" s="32"/>
      <c r="H165" s="32"/>
      <c r="I165" s="14"/>
      <c r="K165" s="39"/>
    </row>
    <row r="166">
      <c r="A166" s="31"/>
      <c r="B166" s="32"/>
      <c r="E166" s="32"/>
      <c r="F166" s="32"/>
      <c r="G166" s="32"/>
      <c r="H166" s="32"/>
      <c r="I166" s="14"/>
      <c r="K166" s="39"/>
    </row>
    <row r="167">
      <c r="A167" s="31"/>
      <c r="B167" s="32"/>
      <c r="E167" s="32"/>
      <c r="F167" s="32"/>
      <c r="G167" s="32"/>
      <c r="H167" s="32"/>
      <c r="I167" s="14"/>
      <c r="K167" s="39"/>
    </row>
    <row r="168">
      <c r="A168" s="31"/>
      <c r="B168" s="32"/>
      <c r="E168" s="32"/>
      <c r="F168" s="32"/>
      <c r="G168" s="32"/>
      <c r="H168" s="32"/>
      <c r="I168" s="14"/>
      <c r="K168" s="39"/>
    </row>
    <row r="169">
      <c r="A169" s="31"/>
      <c r="B169" s="32"/>
      <c r="E169" s="32"/>
      <c r="F169" s="32"/>
      <c r="G169" s="32"/>
      <c r="H169" s="32"/>
      <c r="I169" s="14"/>
      <c r="K169" s="39"/>
    </row>
    <row r="170">
      <c r="A170" s="31"/>
      <c r="B170" s="32"/>
      <c r="E170" s="32"/>
      <c r="F170" s="32"/>
      <c r="G170" s="32"/>
      <c r="H170" s="32"/>
      <c r="I170" s="14"/>
      <c r="K170" s="39"/>
    </row>
    <row r="171">
      <c r="A171" s="31"/>
      <c r="B171" s="32"/>
      <c r="E171" s="32"/>
      <c r="F171" s="32"/>
      <c r="G171" s="32"/>
      <c r="H171" s="32"/>
      <c r="I171" s="14"/>
      <c r="K171" s="39"/>
    </row>
    <row r="172">
      <c r="A172" s="31"/>
      <c r="B172" s="32"/>
      <c r="E172" s="32"/>
      <c r="F172" s="32"/>
      <c r="G172" s="32"/>
      <c r="H172" s="32"/>
      <c r="I172" s="14"/>
      <c r="K172" s="39"/>
    </row>
    <row r="173">
      <c r="A173" s="31"/>
      <c r="B173" s="32"/>
      <c r="E173" s="32"/>
      <c r="F173" s="32"/>
      <c r="G173" s="32"/>
      <c r="H173" s="32"/>
      <c r="I173" s="14"/>
      <c r="K173" s="39"/>
    </row>
    <row r="174">
      <c r="A174" s="31"/>
      <c r="B174" s="32"/>
      <c r="E174" s="32"/>
      <c r="F174" s="32"/>
      <c r="G174" s="32"/>
      <c r="H174" s="32"/>
      <c r="I174" s="14"/>
      <c r="K174" s="39"/>
    </row>
    <row r="175">
      <c r="A175" s="31"/>
      <c r="B175" s="32"/>
      <c r="E175" s="32"/>
      <c r="F175" s="32"/>
      <c r="G175" s="32"/>
      <c r="H175" s="32"/>
      <c r="I175" s="14"/>
      <c r="K175" s="39"/>
    </row>
    <row r="176">
      <c r="A176" s="31"/>
      <c r="B176" s="32"/>
      <c r="E176" s="32"/>
      <c r="F176" s="32"/>
      <c r="G176" s="32"/>
      <c r="H176" s="32"/>
      <c r="I176" s="14"/>
      <c r="K176" s="39"/>
    </row>
    <row r="177">
      <c r="A177" s="31"/>
      <c r="B177" s="32"/>
      <c r="E177" s="32"/>
      <c r="F177" s="32"/>
      <c r="G177" s="32"/>
      <c r="H177" s="32"/>
      <c r="I177" s="14"/>
      <c r="K177" s="39"/>
    </row>
    <row r="178">
      <c r="A178" s="31"/>
      <c r="B178" s="32"/>
      <c r="E178" s="32"/>
      <c r="F178" s="32"/>
      <c r="G178" s="32"/>
      <c r="H178" s="32"/>
      <c r="I178" s="14"/>
      <c r="K178" s="39"/>
    </row>
    <row r="179">
      <c r="A179" s="31"/>
      <c r="B179" s="32"/>
      <c r="E179" s="32"/>
      <c r="F179" s="32"/>
      <c r="G179" s="32"/>
      <c r="H179" s="32"/>
      <c r="I179" s="14"/>
      <c r="K179" s="39"/>
    </row>
    <row r="180">
      <c r="A180" s="31"/>
      <c r="B180" s="32"/>
      <c r="E180" s="32"/>
      <c r="F180" s="32"/>
      <c r="G180" s="32"/>
      <c r="H180" s="32"/>
      <c r="I180" s="14"/>
      <c r="K180" s="39"/>
    </row>
    <row r="181">
      <c r="A181" s="31"/>
      <c r="B181" s="32"/>
      <c r="E181" s="32"/>
      <c r="F181" s="32"/>
      <c r="G181" s="32"/>
      <c r="H181" s="32"/>
      <c r="I181" s="14"/>
      <c r="K181" s="39"/>
    </row>
    <row r="182">
      <c r="A182" s="31"/>
      <c r="B182" s="32"/>
      <c r="E182" s="32"/>
      <c r="F182" s="32"/>
      <c r="G182" s="32"/>
      <c r="H182" s="32"/>
      <c r="I182" s="14"/>
      <c r="K182" s="39"/>
    </row>
    <row r="183">
      <c r="A183" s="31"/>
      <c r="B183" s="32"/>
      <c r="E183" s="32"/>
      <c r="F183" s="32"/>
      <c r="G183" s="32"/>
      <c r="H183" s="32"/>
      <c r="I183" s="14"/>
      <c r="K183" s="39"/>
    </row>
    <row r="184">
      <c r="A184" s="31"/>
      <c r="B184" s="32"/>
      <c r="E184" s="32"/>
      <c r="F184" s="32"/>
      <c r="G184" s="32"/>
      <c r="H184" s="32"/>
      <c r="I184" s="14"/>
      <c r="K184" s="39"/>
    </row>
    <row r="185">
      <c r="A185" s="31"/>
      <c r="B185" s="32"/>
      <c r="E185" s="32"/>
      <c r="F185" s="32"/>
      <c r="G185" s="32"/>
      <c r="H185" s="32"/>
      <c r="I185" s="14"/>
      <c r="K185" s="39"/>
    </row>
    <row r="186">
      <c r="A186" s="31"/>
      <c r="B186" s="32"/>
      <c r="E186" s="32"/>
      <c r="F186" s="32"/>
      <c r="G186" s="32"/>
      <c r="H186" s="32"/>
      <c r="I186" s="14"/>
      <c r="K186" s="39"/>
    </row>
    <row r="187">
      <c r="A187" s="31"/>
      <c r="B187" s="32"/>
      <c r="E187" s="32"/>
      <c r="F187" s="32"/>
      <c r="G187" s="32"/>
      <c r="H187" s="32"/>
      <c r="I187" s="14"/>
      <c r="K187" s="39"/>
    </row>
    <row r="188">
      <c r="A188" s="31"/>
      <c r="B188" s="32"/>
      <c r="E188" s="32"/>
      <c r="F188" s="32"/>
      <c r="G188" s="32"/>
      <c r="H188" s="32"/>
      <c r="I188" s="14"/>
      <c r="K188" s="39"/>
    </row>
    <row r="189">
      <c r="A189" s="31"/>
      <c r="B189" s="32"/>
      <c r="E189" s="32"/>
      <c r="F189" s="32"/>
      <c r="G189" s="32"/>
      <c r="H189" s="32"/>
      <c r="I189" s="14"/>
      <c r="K189" s="39"/>
    </row>
    <row r="190">
      <c r="A190" s="31"/>
      <c r="B190" s="32"/>
      <c r="E190" s="32"/>
      <c r="F190" s="32"/>
      <c r="G190" s="32"/>
      <c r="H190" s="32"/>
      <c r="I190" s="14"/>
      <c r="K190" s="39"/>
    </row>
    <row r="191">
      <c r="A191" s="31"/>
      <c r="B191" s="32"/>
      <c r="E191" s="32"/>
      <c r="F191" s="32"/>
      <c r="G191" s="32"/>
      <c r="H191" s="32"/>
      <c r="I191" s="14"/>
      <c r="K191" s="39"/>
    </row>
    <row r="192">
      <c r="A192" s="31"/>
      <c r="B192" s="32"/>
      <c r="E192" s="32"/>
      <c r="F192" s="32"/>
      <c r="G192" s="32"/>
      <c r="H192" s="32"/>
      <c r="I192" s="14"/>
      <c r="K192" s="39"/>
    </row>
    <row r="193">
      <c r="A193" s="31"/>
      <c r="B193" s="32"/>
      <c r="E193" s="32"/>
      <c r="F193" s="32"/>
      <c r="G193" s="32"/>
      <c r="H193" s="32"/>
      <c r="I193" s="14"/>
      <c r="K193" s="39"/>
    </row>
    <row r="194">
      <c r="A194" s="31"/>
      <c r="B194" s="32"/>
      <c r="E194" s="32"/>
      <c r="F194" s="32"/>
      <c r="G194" s="32"/>
      <c r="H194" s="32"/>
      <c r="I194" s="14"/>
      <c r="K194" s="39"/>
    </row>
    <row r="195">
      <c r="A195" s="31"/>
      <c r="B195" s="32"/>
      <c r="E195" s="32"/>
      <c r="F195" s="32"/>
      <c r="G195" s="32"/>
      <c r="H195" s="32"/>
      <c r="I195" s="14"/>
      <c r="K195" s="39"/>
    </row>
    <row r="196">
      <c r="A196" s="31"/>
      <c r="B196" s="32"/>
      <c r="E196" s="32"/>
      <c r="F196" s="32"/>
      <c r="G196" s="32"/>
      <c r="H196" s="32"/>
      <c r="I196" s="14"/>
      <c r="K196" s="39"/>
    </row>
    <row r="197">
      <c r="A197" s="31"/>
      <c r="B197" s="32"/>
      <c r="E197" s="32"/>
      <c r="F197" s="32"/>
      <c r="G197" s="32"/>
      <c r="H197" s="32"/>
      <c r="I197" s="14"/>
      <c r="K197" s="39"/>
    </row>
    <row r="198">
      <c r="A198" s="31"/>
      <c r="B198" s="32"/>
      <c r="E198" s="32"/>
      <c r="F198" s="32"/>
      <c r="G198" s="32"/>
      <c r="H198" s="32"/>
      <c r="I198" s="14"/>
      <c r="K198" s="39"/>
    </row>
    <row r="199">
      <c r="A199" s="31"/>
      <c r="B199" s="32"/>
      <c r="E199" s="32"/>
      <c r="F199" s="32"/>
      <c r="G199" s="32"/>
      <c r="H199" s="32"/>
      <c r="I199" s="14"/>
      <c r="K199" s="39"/>
    </row>
    <row r="200">
      <c r="A200" s="31"/>
      <c r="B200" s="32"/>
      <c r="E200" s="32"/>
      <c r="F200" s="32"/>
      <c r="G200" s="32"/>
      <c r="H200" s="32"/>
      <c r="I200" s="14"/>
      <c r="K200" s="39"/>
    </row>
    <row r="201">
      <c r="A201" s="31"/>
      <c r="B201" s="32"/>
      <c r="E201" s="32"/>
      <c r="F201" s="32"/>
      <c r="G201" s="32"/>
      <c r="H201" s="32"/>
      <c r="I201" s="14"/>
      <c r="K201" s="39"/>
    </row>
    <row r="202">
      <c r="A202" s="31"/>
      <c r="B202" s="32"/>
      <c r="E202" s="32"/>
      <c r="F202" s="32"/>
      <c r="G202" s="32"/>
      <c r="H202" s="32"/>
      <c r="I202" s="14"/>
      <c r="K202" s="39"/>
    </row>
    <row r="203">
      <c r="A203" s="31"/>
      <c r="B203" s="32"/>
      <c r="E203" s="32"/>
      <c r="F203" s="32"/>
      <c r="G203" s="32"/>
      <c r="H203" s="32"/>
      <c r="I203" s="14"/>
      <c r="K203" s="39"/>
    </row>
    <row r="204">
      <c r="A204" s="31"/>
      <c r="B204" s="32"/>
      <c r="E204" s="32"/>
      <c r="F204" s="32"/>
      <c r="G204" s="32"/>
      <c r="H204" s="32"/>
      <c r="I204" s="14"/>
      <c r="K204" s="39"/>
    </row>
    <row r="205">
      <c r="A205" s="31"/>
      <c r="B205" s="32"/>
      <c r="E205" s="32"/>
      <c r="F205" s="32"/>
      <c r="G205" s="32"/>
      <c r="H205" s="32"/>
      <c r="I205" s="14"/>
      <c r="K205" s="39"/>
    </row>
    <row r="206">
      <c r="A206" s="31"/>
      <c r="B206" s="32"/>
      <c r="E206" s="32"/>
      <c r="F206" s="32"/>
      <c r="G206" s="32"/>
      <c r="H206" s="32"/>
      <c r="I206" s="14"/>
      <c r="K206" s="39"/>
    </row>
    <row r="207">
      <c r="A207" s="31"/>
      <c r="B207" s="32"/>
      <c r="E207" s="32"/>
      <c r="F207" s="32"/>
      <c r="G207" s="32"/>
      <c r="H207" s="32"/>
      <c r="I207" s="14"/>
      <c r="K207" s="39"/>
    </row>
    <row r="208">
      <c r="A208" s="31"/>
      <c r="B208" s="32"/>
      <c r="E208" s="32"/>
      <c r="F208" s="32"/>
      <c r="G208" s="32"/>
      <c r="H208" s="32"/>
      <c r="I208" s="14"/>
      <c r="K208" s="39"/>
    </row>
    <row r="209">
      <c r="A209" s="31"/>
      <c r="B209" s="32"/>
      <c r="E209" s="32"/>
      <c r="F209" s="32"/>
      <c r="G209" s="32"/>
      <c r="H209" s="32"/>
      <c r="I209" s="14"/>
      <c r="K209" s="39"/>
    </row>
    <row r="210">
      <c r="A210" s="31"/>
      <c r="B210" s="32"/>
      <c r="E210" s="32"/>
      <c r="F210" s="32"/>
      <c r="G210" s="32"/>
      <c r="H210" s="32"/>
      <c r="I210" s="14"/>
      <c r="K210" s="39"/>
    </row>
    <row r="211">
      <c r="A211" s="31"/>
      <c r="B211" s="32"/>
      <c r="E211" s="32"/>
      <c r="F211" s="32"/>
      <c r="G211" s="32"/>
      <c r="H211" s="32"/>
      <c r="I211" s="14"/>
      <c r="K211" s="39"/>
    </row>
    <row r="212">
      <c r="A212" s="31"/>
      <c r="B212" s="32"/>
      <c r="E212" s="32"/>
      <c r="F212" s="32"/>
      <c r="G212" s="32"/>
      <c r="H212" s="32"/>
      <c r="I212" s="14"/>
      <c r="K212" s="39"/>
    </row>
    <row r="213">
      <c r="A213" s="31"/>
      <c r="B213" s="32"/>
      <c r="E213" s="32"/>
      <c r="F213" s="32"/>
      <c r="G213" s="32"/>
      <c r="H213" s="32"/>
      <c r="I213" s="14"/>
      <c r="K213" s="39"/>
    </row>
    <row r="214">
      <c r="A214" s="31"/>
      <c r="B214" s="32"/>
      <c r="E214" s="32"/>
      <c r="F214" s="32"/>
      <c r="G214" s="32"/>
      <c r="H214" s="32"/>
      <c r="I214" s="14"/>
      <c r="K214" s="39"/>
    </row>
    <row r="215">
      <c r="A215" s="31"/>
      <c r="B215" s="32"/>
      <c r="E215" s="32"/>
      <c r="F215" s="32"/>
      <c r="G215" s="32"/>
      <c r="H215" s="32"/>
      <c r="I215" s="14"/>
      <c r="K215" s="39"/>
    </row>
    <row r="216">
      <c r="A216" s="31"/>
      <c r="B216" s="32"/>
      <c r="E216" s="32"/>
      <c r="F216" s="32"/>
      <c r="G216" s="32"/>
      <c r="H216" s="32"/>
      <c r="I216" s="14"/>
      <c r="K216" s="39"/>
    </row>
    <row r="217">
      <c r="A217" s="31"/>
      <c r="B217" s="32"/>
      <c r="E217" s="32"/>
      <c r="F217" s="32"/>
      <c r="G217" s="32"/>
      <c r="H217" s="32"/>
      <c r="I217" s="14"/>
      <c r="K217" s="39"/>
    </row>
    <row r="218">
      <c r="A218" s="31"/>
      <c r="B218" s="32"/>
      <c r="E218" s="32"/>
      <c r="F218" s="32"/>
      <c r="G218" s="32"/>
      <c r="H218" s="32"/>
      <c r="I218" s="14"/>
      <c r="K218" s="39"/>
    </row>
    <row r="219">
      <c r="A219" s="31"/>
      <c r="B219" s="32"/>
      <c r="E219" s="32"/>
      <c r="F219" s="32"/>
      <c r="G219" s="32"/>
      <c r="H219" s="32"/>
      <c r="I219" s="14"/>
      <c r="K219" s="39"/>
    </row>
    <row r="220">
      <c r="A220" s="31"/>
      <c r="B220" s="32"/>
      <c r="E220" s="32"/>
      <c r="F220" s="32"/>
      <c r="G220" s="32"/>
      <c r="H220" s="32"/>
      <c r="I220" s="14"/>
      <c r="K220" s="39"/>
    </row>
    <row r="221">
      <c r="A221" s="31"/>
      <c r="B221" s="32"/>
      <c r="E221" s="32"/>
      <c r="F221" s="32"/>
      <c r="G221" s="32"/>
      <c r="H221" s="32"/>
      <c r="I221" s="14"/>
      <c r="K221" s="39"/>
    </row>
    <row r="222">
      <c r="A222" s="31"/>
      <c r="B222" s="32"/>
      <c r="E222" s="32"/>
      <c r="F222" s="32"/>
      <c r="G222" s="32"/>
      <c r="H222" s="32"/>
      <c r="I222" s="14"/>
      <c r="K222" s="39"/>
    </row>
    <row r="223">
      <c r="A223" s="31"/>
      <c r="B223" s="32"/>
      <c r="E223" s="32"/>
      <c r="F223" s="32"/>
      <c r="G223" s="32"/>
      <c r="H223" s="32"/>
      <c r="I223" s="14"/>
      <c r="K223" s="39"/>
    </row>
    <row r="224">
      <c r="A224" s="31"/>
      <c r="B224" s="32"/>
      <c r="E224" s="32"/>
      <c r="F224" s="32"/>
      <c r="G224" s="32"/>
      <c r="H224" s="32"/>
      <c r="I224" s="14"/>
      <c r="K224" s="39"/>
    </row>
    <row r="225">
      <c r="A225" s="31"/>
      <c r="B225" s="32"/>
      <c r="E225" s="32"/>
      <c r="F225" s="32"/>
      <c r="G225" s="32"/>
      <c r="H225" s="32"/>
      <c r="I225" s="14"/>
      <c r="K225" s="39"/>
    </row>
    <row r="226">
      <c r="A226" s="31"/>
      <c r="B226" s="32"/>
      <c r="E226" s="32"/>
      <c r="F226" s="32"/>
      <c r="G226" s="32"/>
      <c r="H226" s="32"/>
      <c r="I226" s="14"/>
      <c r="K226" s="39"/>
    </row>
    <row r="227">
      <c r="A227" s="31"/>
      <c r="B227" s="32"/>
      <c r="E227" s="32"/>
      <c r="F227" s="32"/>
      <c r="G227" s="32"/>
      <c r="H227" s="32"/>
      <c r="I227" s="14"/>
      <c r="K227" s="39"/>
    </row>
    <row r="228">
      <c r="A228" s="31"/>
      <c r="B228" s="32"/>
      <c r="E228" s="32"/>
      <c r="F228" s="32"/>
      <c r="G228" s="32"/>
      <c r="H228" s="32"/>
      <c r="I228" s="14"/>
      <c r="K228" s="39"/>
    </row>
    <row r="229">
      <c r="A229" s="31"/>
      <c r="B229" s="32"/>
      <c r="E229" s="32"/>
      <c r="F229" s="32"/>
      <c r="G229" s="32"/>
      <c r="H229" s="32"/>
      <c r="I229" s="14"/>
      <c r="K229" s="39"/>
    </row>
    <row r="230">
      <c r="A230" s="31"/>
      <c r="B230" s="32"/>
      <c r="E230" s="32"/>
      <c r="F230" s="32"/>
      <c r="G230" s="32"/>
      <c r="H230" s="32"/>
      <c r="I230" s="14"/>
      <c r="K230" s="39"/>
    </row>
    <row r="231">
      <c r="A231" s="31"/>
      <c r="B231" s="32"/>
      <c r="E231" s="32"/>
      <c r="F231" s="32"/>
      <c r="G231" s="32"/>
      <c r="H231" s="32"/>
      <c r="I231" s="14"/>
      <c r="K231" s="39"/>
    </row>
    <row r="232">
      <c r="A232" s="31"/>
      <c r="B232" s="32"/>
      <c r="E232" s="32"/>
      <c r="F232" s="32"/>
      <c r="G232" s="32"/>
      <c r="H232" s="32"/>
      <c r="I232" s="14"/>
      <c r="K232" s="39"/>
    </row>
    <row r="233">
      <c r="A233" s="31"/>
      <c r="B233" s="32"/>
      <c r="E233" s="32"/>
      <c r="F233" s="32"/>
      <c r="G233" s="32"/>
      <c r="H233" s="32"/>
      <c r="I233" s="14"/>
      <c r="K233" s="39"/>
    </row>
    <row r="234">
      <c r="A234" s="31"/>
      <c r="B234" s="32"/>
      <c r="E234" s="32"/>
      <c r="F234" s="32"/>
      <c r="G234" s="32"/>
      <c r="H234" s="32"/>
      <c r="I234" s="14"/>
      <c r="K234" s="39"/>
    </row>
    <row r="235">
      <c r="A235" s="31"/>
      <c r="B235" s="32"/>
      <c r="E235" s="32"/>
      <c r="F235" s="32"/>
      <c r="G235" s="32"/>
      <c r="H235" s="32"/>
      <c r="I235" s="14"/>
      <c r="K235" s="39"/>
    </row>
    <row r="236">
      <c r="A236" s="31"/>
      <c r="B236" s="32"/>
      <c r="E236" s="32"/>
      <c r="F236" s="32"/>
      <c r="G236" s="32"/>
      <c r="H236" s="32"/>
      <c r="I236" s="14"/>
      <c r="K236" s="39"/>
    </row>
    <row r="237">
      <c r="A237" s="31"/>
      <c r="B237" s="32"/>
      <c r="E237" s="32"/>
      <c r="F237" s="32"/>
      <c r="G237" s="32"/>
      <c r="H237" s="32"/>
      <c r="I237" s="14"/>
      <c r="K237" s="39"/>
    </row>
    <row r="238">
      <c r="A238" s="31"/>
      <c r="B238" s="32"/>
      <c r="E238" s="32"/>
      <c r="F238" s="32"/>
      <c r="G238" s="32"/>
      <c r="H238" s="32"/>
      <c r="I238" s="14"/>
      <c r="K238" s="39"/>
    </row>
    <row r="239">
      <c r="A239" s="31"/>
      <c r="B239" s="32"/>
      <c r="E239" s="32"/>
      <c r="F239" s="32"/>
      <c r="G239" s="32"/>
      <c r="H239" s="32"/>
      <c r="I239" s="14"/>
      <c r="K239" s="39"/>
    </row>
    <row r="240">
      <c r="A240" s="31"/>
      <c r="B240" s="32"/>
      <c r="E240" s="32"/>
      <c r="F240" s="32"/>
      <c r="G240" s="32"/>
      <c r="H240" s="32"/>
      <c r="I240" s="14"/>
      <c r="K240" s="39"/>
    </row>
    <row r="241">
      <c r="A241" s="31"/>
      <c r="B241" s="32"/>
      <c r="E241" s="32"/>
      <c r="F241" s="32"/>
      <c r="G241" s="32"/>
      <c r="H241" s="32"/>
      <c r="I241" s="14"/>
      <c r="K241" s="39"/>
    </row>
    <row r="242">
      <c r="A242" s="31"/>
      <c r="B242" s="32"/>
      <c r="E242" s="32"/>
      <c r="F242" s="32"/>
      <c r="G242" s="32"/>
      <c r="H242" s="32"/>
      <c r="I242" s="14"/>
      <c r="K242" s="39"/>
    </row>
    <row r="243">
      <c r="A243" s="31"/>
      <c r="B243" s="32"/>
      <c r="E243" s="32"/>
      <c r="F243" s="32"/>
      <c r="G243" s="32"/>
      <c r="H243" s="32"/>
      <c r="I243" s="14"/>
      <c r="K243" s="39"/>
    </row>
    <row r="244">
      <c r="A244" s="31"/>
      <c r="B244" s="32"/>
      <c r="E244" s="32"/>
      <c r="F244" s="32"/>
      <c r="G244" s="32"/>
      <c r="H244" s="32"/>
      <c r="I244" s="14"/>
      <c r="K244" s="39"/>
    </row>
    <row r="245">
      <c r="A245" s="31"/>
      <c r="B245" s="32"/>
      <c r="E245" s="32"/>
      <c r="F245" s="32"/>
      <c r="G245" s="32"/>
      <c r="H245" s="32"/>
      <c r="I245" s="14"/>
      <c r="K245" s="39"/>
    </row>
    <row r="246">
      <c r="A246" s="31"/>
      <c r="B246" s="32"/>
      <c r="E246" s="32"/>
      <c r="F246" s="32"/>
      <c r="G246" s="32"/>
      <c r="H246" s="32"/>
      <c r="I246" s="14"/>
      <c r="K246" s="39"/>
    </row>
    <row r="247">
      <c r="A247" s="31"/>
      <c r="B247" s="32"/>
      <c r="E247" s="32"/>
      <c r="F247" s="32"/>
      <c r="G247" s="32"/>
      <c r="H247" s="32"/>
      <c r="I247" s="14"/>
      <c r="K247" s="39"/>
    </row>
    <row r="248">
      <c r="A248" s="31"/>
      <c r="B248" s="32"/>
      <c r="E248" s="32"/>
      <c r="F248" s="32"/>
      <c r="G248" s="32"/>
      <c r="H248" s="32"/>
      <c r="I248" s="14"/>
      <c r="K248" s="39"/>
    </row>
    <row r="249">
      <c r="A249" s="31"/>
      <c r="B249" s="32"/>
      <c r="E249" s="32"/>
      <c r="F249" s="32"/>
      <c r="G249" s="32"/>
      <c r="H249" s="32"/>
      <c r="I249" s="14"/>
      <c r="K249" s="39"/>
    </row>
    <row r="250">
      <c r="A250" s="31"/>
      <c r="B250" s="32"/>
      <c r="E250" s="32"/>
      <c r="F250" s="32"/>
      <c r="G250" s="32"/>
      <c r="H250" s="32"/>
      <c r="I250" s="14"/>
      <c r="K250" s="39"/>
    </row>
    <row r="251">
      <c r="A251" s="31"/>
      <c r="B251" s="32"/>
      <c r="E251" s="32"/>
      <c r="F251" s="32"/>
      <c r="G251" s="32"/>
      <c r="H251" s="32"/>
      <c r="I251" s="14"/>
      <c r="K251" s="39"/>
    </row>
    <row r="252">
      <c r="A252" s="31"/>
      <c r="B252" s="32"/>
      <c r="E252" s="32"/>
      <c r="F252" s="32"/>
      <c r="G252" s="32"/>
      <c r="H252" s="32"/>
      <c r="I252" s="14"/>
      <c r="K252" s="39"/>
    </row>
    <row r="253">
      <c r="A253" s="31"/>
      <c r="B253" s="32"/>
      <c r="E253" s="32"/>
      <c r="F253" s="32"/>
      <c r="G253" s="32"/>
      <c r="H253" s="32"/>
      <c r="I253" s="14"/>
      <c r="K253" s="39"/>
    </row>
    <row r="254">
      <c r="A254" s="31"/>
      <c r="B254" s="32"/>
      <c r="E254" s="32"/>
      <c r="F254" s="32"/>
      <c r="G254" s="32"/>
      <c r="H254" s="32"/>
      <c r="I254" s="14"/>
      <c r="K254" s="39"/>
    </row>
    <row r="255">
      <c r="A255" s="31"/>
      <c r="B255" s="32"/>
      <c r="E255" s="32"/>
      <c r="F255" s="32"/>
      <c r="G255" s="32"/>
      <c r="H255" s="32"/>
      <c r="I255" s="14"/>
      <c r="K255" s="39"/>
    </row>
    <row r="256">
      <c r="A256" s="31"/>
      <c r="B256" s="32"/>
      <c r="E256" s="32"/>
      <c r="F256" s="32"/>
      <c r="G256" s="32"/>
      <c r="H256" s="32"/>
      <c r="I256" s="14"/>
      <c r="K256" s="39"/>
    </row>
    <row r="257">
      <c r="A257" s="31"/>
      <c r="B257" s="32"/>
      <c r="E257" s="32"/>
      <c r="F257" s="32"/>
      <c r="G257" s="32"/>
      <c r="H257" s="32"/>
      <c r="I257" s="14"/>
      <c r="K257" s="39"/>
    </row>
    <row r="258">
      <c r="A258" s="31"/>
      <c r="B258" s="32"/>
      <c r="E258" s="32"/>
      <c r="F258" s="32"/>
      <c r="G258" s="32"/>
      <c r="H258" s="32"/>
      <c r="I258" s="14"/>
      <c r="K258" s="39"/>
    </row>
    <row r="259">
      <c r="A259" s="31"/>
      <c r="B259" s="32"/>
      <c r="E259" s="32"/>
      <c r="F259" s="32"/>
      <c r="G259" s="32"/>
      <c r="H259" s="32"/>
      <c r="I259" s="14"/>
      <c r="K259" s="39"/>
    </row>
    <row r="260">
      <c r="A260" s="31"/>
      <c r="B260" s="32"/>
      <c r="E260" s="32"/>
      <c r="F260" s="32"/>
      <c r="G260" s="32"/>
      <c r="H260" s="32"/>
      <c r="I260" s="14"/>
      <c r="K260" s="39"/>
    </row>
    <row r="261">
      <c r="A261" s="31"/>
      <c r="B261" s="32"/>
      <c r="E261" s="32"/>
      <c r="F261" s="32"/>
      <c r="G261" s="32"/>
      <c r="H261" s="32"/>
      <c r="I261" s="14"/>
      <c r="K261" s="39"/>
    </row>
    <row r="262">
      <c r="A262" s="31"/>
      <c r="B262" s="32"/>
      <c r="E262" s="32"/>
      <c r="F262" s="32"/>
      <c r="G262" s="32"/>
      <c r="H262" s="32"/>
      <c r="I262" s="14"/>
      <c r="K262" s="39"/>
    </row>
    <row r="263">
      <c r="A263" s="31"/>
      <c r="B263" s="32"/>
      <c r="E263" s="32"/>
      <c r="F263" s="32"/>
      <c r="G263" s="32"/>
      <c r="H263" s="32"/>
      <c r="I263" s="14"/>
      <c r="K263" s="39"/>
    </row>
    <row r="264">
      <c r="A264" s="31"/>
      <c r="B264" s="32"/>
      <c r="E264" s="32"/>
      <c r="F264" s="32"/>
      <c r="G264" s="32"/>
      <c r="H264" s="32"/>
      <c r="I264" s="14"/>
      <c r="K264" s="39"/>
    </row>
    <row r="265">
      <c r="A265" s="31"/>
      <c r="B265" s="32"/>
      <c r="E265" s="32"/>
      <c r="F265" s="32"/>
      <c r="G265" s="32"/>
      <c r="H265" s="32"/>
      <c r="I265" s="14"/>
      <c r="K265" s="39"/>
    </row>
    <row r="266">
      <c r="A266" s="31"/>
      <c r="B266" s="32"/>
      <c r="E266" s="32"/>
      <c r="F266" s="32"/>
      <c r="G266" s="32"/>
      <c r="H266" s="32"/>
      <c r="I266" s="14"/>
      <c r="K266" s="39"/>
    </row>
    <row r="267">
      <c r="A267" s="31"/>
      <c r="B267" s="32"/>
      <c r="E267" s="32"/>
      <c r="F267" s="32"/>
      <c r="G267" s="32"/>
      <c r="H267" s="32"/>
      <c r="I267" s="14"/>
      <c r="K267" s="39"/>
    </row>
    <row r="268">
      <c r="A268" s="31"/>
      <c r="B268" s="32"/>
      <c r="E268" s="32"/>
      <c r="F268" s="32"/>
      <c r="G268" s="32"/>
      <c r="H268" s="32"/>
      <c r="I268" s="14"/>
      <c r="K268" s="39"/>
    </row>
    <row r="269">
      <c r="A269" s="31"/>
      <c r="B269" s="32"/>
      <c r="E269" s="32"/>
      <c r="F269" s="32"/>
      <c r="G269" s="32"/>
      <c r="H269" s="32"/>
      <c r="I269" s="14"/>
      <c r="K269" s="39"/>
    </row>
    <row r="270">
      <c r="A270" s="31"/>
      <c r="B270" s="32"/>
      <c r="E270" s="32"/>
      <c r="F270" s="32"/>
      <c r="G270" s="32"/>
      <c r="H270" s="32"/>
      <c r="I270" s="14"/>
      <c r="K270" s="39"/>
    </row>
    <row r="271">
      <c r="A271" s="31"/>
      <c r="B271" s="32"/>
      <c r="E271" s="32"/>
      <c r="F271" s="32"/>
      <c r="G271" s="32"/>
      <c r="H271" s="32"/>
      <c r="I271" s="14"/>
      <c r="K271" s="39"/>
    </row>
    <row r="272">
      <c r="A272" s="31"/>
      <c r="B272" s="32"/>
      <c r="E272" s="32"/>
      <c r="F272" s="32"/>
      <c r="G272" s="32"/>
      <c r="H272" s="32"/>
      <c r="I272" s="14"/>
      <c r="K272" s="39"/>
    </row>
    <row r="273">
      <c r="A273" s="31"/>
      <c r="B273" s="32"/>
      <c r="E273" s="32"/>
      <c r="F273" s="32"/>
      <c r="G273" s="32"/>
      <c r="H273" s="32"/>
      <c r="I273" s="14"/>
      <c r="K273" s="39"/>
    </row>
    <row r="274">
      <c r="A274" s="31"/>
      <c r="B274" s="32"/>
      <c r="E274" s="32"/>
      <c r="F274" s="32"/>
      <c r="G274" s="32"/>
      <c r="H274" s="32"/>
      <c r="I274" s="14"/>
      <c r="K274" s="39"/>
    </row>
    <row r="275">
      <c r="A275" s="31"/>
      <c r="B275" s="32"/>
      <c r="E275" s="32"/>
      <c r="F275" s="32"/>
      <c r="G275" s="32"/>
      <c r="H275" s="32"/>
      <c r="I275" s="14"/>
      <c r="K275" s="39"/>
    </row>
    <row r="276">
      <c r="A276" s="31"/>
      <c r="B276" s="32"/>
      <c r="E276" s="32"/>
      <c r="F276" s="32"/>
      <c r="G276" s="32"/>
      <c r="H276" s="32"/>
      <c r="I276" s="14"/>
      <c r="K276" s="39"/>
    </row>
    <row r="277">
      <c r="A277" s="31"/>
      <c r="B277" s="32"/>
      <c r="E277" s="32"/>
      <c r="F277" s="32"/>
      <c r="G277" s="32"/>
      <c r="H277" s="32"/>
      <c r="I277" s="14"/>
      <c r="K277" s="39"/>
    </row>
    <row r="278">
      <c r="A278" s="31"/>
      <c r="B278" s="32"/>
      <c r="E278" s="32"/>
      <c r="F278" s="32"/>
      <c r="G278" s="32"/>
      <c r="H278" s="32"/>
      <c r="I278" s="14"/>
      <c r="K278" s="39"/>
    </row>
    <row r="279">
      <c r="A279" s="31"/>
      <c r="B279" s="32"/>
      <c r="E279" s="32"/>
      <c r="F279" s="32"/>
      <c r="G279" s="32"/>
      <c r="H279" s="32"/>
      <c r="I279" s="14"/>
      <c r="K279" s="39"/>
    </row>
    <row r="280">
      <c r="A280" s="31"/>
      <c r="B280" s="32"/>
      <c r="E280" s="32"/>
      <c r="F280" s="32"/>
      <c r="G280" s="32"/>
      <c r="H280" s="32"/>
      <c r="I280" s="14"/>
      <c r="K280" s="39"/>
    </row>
    <row r="281">
      <c r="A281" s="31"/>
      <c r="B281" s="32"/>
      <c r="E281" s="32"/>
      <c r="F281" s="32"/>
      <c r="G281" s="32"/>
      <c r="H281" s="32"/>
      <c r="I281" s="14"/>
      <c r="K281" s="39"/>
    </row>
    <row r="282">
      <c r="A282" s="31"/>
      <c r="B282" s="32"/>
      <c r="E282" s="32"/>
      <c r="F282" s="32"/>
      <c r="G282" s="32"/>
      <c r="H282" s="32"/>
      <c r="I282" s="14"/>
      <c r="K282" s="39"/>
    </row>
    <row r="283">
      <c r="A283" s="31"/>
      <c r="B283" s="32"/>
      <c r="E283" s="32"/>
      <c r="F283" s="32"/>
      <c r="G283" s="32"/>
      <c r="H283" s="32"/>
      <c r="I283" s="14"/>
      <c r="K283" s="39"/>
    </row>
    <row r="284">
      <c r="A284" s="31"/>
      <c r="B284" s="32"/>
      <c r="E284" s="32"/>
      <c r="F284" s="32"/>
      <c r="G284" s="32"/>
      <c r="H284" s="32"/>
      <c r="I284" s="14"/>
      <c r="K284" s="39"/>
    </row>
    <row r="285">
      <c r="A285" s="31"/>
      <c r="B285" s="32"/>
      <c r="E285" s="32"/>
      <c r="F285" s="32"/>
      <c r="G285" s="32"/>
      <c r="H285" s="32"/>
      <c r="I285" s="14"/>
      <c r="K285" s="39"/>
    </row>
    <row r="286">
      <c r="A286" s="31"/>
      <c r="B286" s="32"/>
      <c r="E286" s="32"/>
      <c r="F286" s="32"/>
      <c r="G286" s="32"/>
      <c r="H286" s="32"/>
      <c r="I286" s="14"/>
      <c r="K286" s="39"/>
    </row>
    <row r="287">
      <c r="A287" s="31"/>
      <c r="B287" s="32"/>
      <c r="E287" s="32"/>
      <c r="F287" s="32"/>
      <c r="G287" s="32"/>
      <c r="H287" s="32"/>
      <c r="I287" s="14"/>
      <c r="K287" s="39"/>
    </row>
    <row r="288">
      <c r="A288" s="31"/>
      <c r="B288" s="32"/>
      <c r="E288" s="32"/>
      <c r="F288" s="32"/>
      <c r="G288" s="32"/>
      <c r="H288" s="32"/>
      <c r="I288" s="14"/>
      <c r="K288" s="39"/>
    </row>
    <row r="289">
      <c r="A289" s="31"/>
      <c r="B289" s="32"/>
      <c r="E289" s="32"/>
      <c r="F289" s="32"/>
      <c r="G289" s="32"/>
      <c r="H289" s="32"/>
      <c r="I289" s="14"/>
      <c r="K289" s="39"/>
    </row>
    <row r="290">
      <c r="A290" s="31"/>
      <c r="B290" s="32"/>
      <c r="E290" s="32"/>
      <c r="F290" s="32"/>
      <c r="G290" s="32"/>
      <c r="H290" s="32"/>
      <c r="I290" s="14"/>
      <c r="K290" s="39"/>
    </row>
    <row r="291">
      <c r="A291" s="31"/>
      <c r="B291" s="32"/>
      <c r="E291" s="32"/>
      <c r="F291" s="32"/>
      <c r="G291" s="32"/>
      <c r="H291" s="32"/>
      <c r="I291" s="14"/>
      <c r="K291" s="39"/>
    </row>
    <row r="292">
      <c r="A292" s="31"/>
      <c r="B292" s="32"/>
      <c r="E292" s="32"/>
      <c r="F292" s="32"/>
      <c r="G292" s="32"/>
      <c r="H292" s="32"/>
      <c r="I292" s="14"/>
      <c r="K292" s="39"/>
    </row>
    <row r="293">
      <c r="A293" s="31"/>
      <c r="B293" s="32"/>
      <c r="E293" s="32"/>
      <c r="F293" s="32"/>
      <c r="G293" s="32"/>
      <c r="H293" s="32"/>
      <c r="I293" s="14"/>
      <c r="K293" s="39"/>
    </row>
    <row r="294">
      <c r="A294" s="31"/>
      <c r="B294" s="32"/>
      <c r="E294" s="32"/>
      <c r="F294" s="32"/>
      <c r="G294" s="32"/>
      <c r="H294" s="32"/>
      <c r="I294" s="14"/>
      <c r="K294" s="39"/>
    </row>
    <row r="295">
      <c r="A295" s="31"/>
      <c r="B295" s="32"/>
      <c r="E295" s="32"/>
      <c r="F295" s="32"/>
      <c r="G295" s="32"/>
      <c r="H295" s="32"/>
      <c r="I295" s="14"/>
      <c r="K295" s="39"/>
    </row>
    <row r="296">
      <c r="A296" s="31"/>
      <c r="B296" s="32"/>
      <c r="E296" s="32"/>
      <c r="F296" s="32"/>
      <c r="G296" s="32"/>
      <c r="H296" s="32"/>
      <c r="I296" s="14"/>
      <c r="K296" s="39"/>
    </row>
    <row r="297">
      <c r="A297" s="31"/>
      <c r="B297" s="32"/>
      <c r="E297" s="32"/>
      <c r="F297" s="32"/>
      <c r="G297" s="32"/>
      <c r="H297" s="32"/>
      <c r="I297" s="14"/>
      <c r="K297" s="39"/>
    </row>
    <row r="298">
      <c r="A298" s="31"/>
      <c r="B298" s="32"/>
      <c r="E298" s="32"/>
      <c r="F298" s="32"/>
      <c r="G298" s="32"/>
      <c r="H298" s="32"/>
      <c r="I298" s="14"/>
      <c r="K298" s="39"/>
    </row>
    <row r="299">
      <c r="A299" s="31"/>
      <c r="B299" s="32"/>
      <c r="E299" s="32"/>
      <c r="F299" s="32"/>
      <c r="G299" s="32"/>
      <c r="H299" s="32"/>
      <c r="I299" s="14"/>
      <c r="K299" s="39"/>
    </row>
    <row r="300">
      <c r="A300" s="31"/>
      <c r="B300" s="32"/>
      <c r="E300" s="32"/>
      <c r="F300" s="32"/>
      <c r="G300" s="32"/>
      <c r="H300" s="32"/>
      <c r="I300" s="14"/>
      <c r="K300" s="39"/>
    </row>
    <row r="301">
      <c r="A301" s="31"/>
      <c r="B301" s="32"/>
      <c r="E301" s="32"/>
      <c r="F301" s="32"/>
      <c r="G301" s="32"/>
      <c r="H301" s="32"/>
      <c r="I301" s="14"/>
      <c r="K301" s="39"/>
    </row>
    <row r="302">
      <c r="A302" s="31"/>
      <c r="B302" s="32"/>
      <c r="E302" s="32"/>
      <c r="F302" s="32"/>
      <c r="G302" s="32"/>
      <c r="H302" s="32"/>
      <c r="I302" s="14"/>
      <c r="K302" s="39"/>
    </row>
    <row r="303">
      <c r="A303" s="31"/>
      <c r="B303" s="32"/>
      <c r="E303" s="32"/>
      <c r="F303" s="32"/>
      <c r="G303" s="32"/>
      <c r="H303" s="32"/>
      <c r="I303" s="14"/>
      <c r="K303" s="39"/>
    </row>
    <row r="304">
      <c r="A304" s="31"/>
      <c r="B304" s="32"/>
      <c r="E304" s="32"/>
      <c r="F304" s="32"/>
      <c r="G304" s="32"/>
      <c r="H304" s="32"/>
      <c r="I304" s="14"/>
      <c r="K304" s="39"/>
    </row>
    <row r="305">
      <c r="A305" s="31"/>
      <c r="B305" s="32"/>
      <c r="E305" s="32"/>
      <c r="F305" s="32"/>
      <c r="G305" s="32"/>
      <c r="H305" s="32"/>
      <c r="I305" s="14"/>
      <c r="K305" s="39"/>
    </row>
    <row r="306">
      <c r="A306" s="31"/>
      <c r="B306" s="32"/>
      <c r="E306" s="32"/>
      <c r="F306" s="32"/>
      <c r="G306" s="32"/>
      <c r="H306" s="32"/>
      <c r="I306" s="14"/>
      <c r="K306" s="39"/>
    </row>
    <row r="307">
      <c r="A307" s="31"/>
      <c r="B307" s="32"/>
      <c r="E307" s="32"/>
      <c r="F307" s="32"/>
      <c r="G307" s="32"/>
      <c r="H307" s="32"/>
      <c r="I307" s="14"/>
      <c r="K307" s="39"/>
    </row>
    <row r="308">
      <c r="A308" s="31"/>
      <c r="B308" s="32"/>
      <c r="E308" s="32"/>
      <c r="F308" s="32"/>
      <c r="G308" s="32"/>
      <c r="H308" s="32"/>
      <c r="I308" s="14"/>
      <c r="K308" s="39"/>
    </row>
    <row r="309">
      <c r="A309" s="31"/>
      <c r="B309" s="32"/>
      <c r="E309" s="32"/>
      <c r="F309" s="32"/>
      <c r="G309" s="32"/>
      <c r="H309" s="32"/>
      <c r="I309" s="14"/>
      <c r="K309" s="39"/>
    </row>
    <row r="310">
      <c r="A310" s="31"/>
      <c r="B310" s="32"/>
      <c r="E310" s="32"/>
      <c r="F310" s="32"/>
      <c r="G310" s="32"/>
      <c r="H310" s="32"/>
      <c r="I310" s="14"/>
      <c r="K310" s="39"/>
    </row>
    <row r="311">
      <c r="A311" s="31"/>
      <c r="B311" s="32"/>
      <c r="E311" s="32"/>
      <c r="F311" s="32"/>
      <c r="G311" s="32"/>
      <c r="H311" s="32"/>
      <c r="I311" s="14"/>
      <c r="K311" s="39"/>
    </row>
    <row r="312">
      <c r="A312" s="31"/>
      <c r="B312" s="32"/>
      <c r="E312" s="32"/>
      <c r="F312" s="32"/>
      <c r="G312" s="32"/>
      <c r="H312" s="32"/>
      <c r="I312" s="14"/>
      <c r="K312" s="39"/>
    </row>
    <row r="313">
      <c r="A313" s="31"/>
      <c r="B313" s="32"/>
      <c r="E313" s="32"/>
      <c r="F313" s="32"/>
      <c r="G313" s="32"/>
      <c r="H313" s="32"/>
      <c r="I313" s="14"/>
      <c r="K313" s="39"/>
    </row>
    <row r="314">
      <c r="A314" s="31"/>
      <c r="B314" s="32"/>
      <c r="E314" s="32"/>
      <c r="F314" s="32"/>
      <c r="G314" s="32"/>
      <c r="H314" s="32"/>
      <c r="I314" s="14"/>
      <c r="K314" s="39"/>
    </row>
    <row r="315">
      <c r="A315" s="31"/>
      <c r="B315" s="32"/>
      <c r="E315" s="32"/>
      <c r="F315" s="32"/>
      <c r="G315" s="32"/>
      <c r="H315" s="32"/>
      <c r="I315" s="14"/>
      <c r="K315" s="39"/>
    </row>
    <row r="316">
      <c r="A316" s="31"/>
      <c r="B316" s="32"/>
      <c r="E316" s="32"/>
      <c r="F316" s="32"/>
      <c r="G316" s="32"/>
      <c r="H316" s="32"/>
      <c r="I316" s="14"/>
      <c r="K316" s="39"/>
    </row>
    <row r="317">
      <c r="A317" s="31"/>
      <c r="B317" s="32"/>
      <c r="E317" s="32"/>
      <c r="F317" s="32"/>
      <c r="G317" s="32"/>
      <c r="H317" s="32"/>
      <c r="I317" s="14"/>
      <c r="K317" s="39"/>
    </row>
    <row r="318">
      <c r="A318" s="31"/>
      <c r="B318" s="32"/>
      <c r="E318" s="32"/>
      <c r="F318" s="32"/>
      <c r="G318" s="32"/>
      <c r="H318" s="32"/>
      <c r="I318" s="14"/>
      <c r="K318" s="39"/>
    </row>
    <row r="319">
      <c r="A319" s="31"/>
      <c r="B319" s="32"/>
      <c r="E319" s="32"/>
      <c r="F319" s="32"/>
      <c r="G319" s="32"/>
      <c r="H319" s="32"/>
      <c r="I319" s="14"/>
      <c r="K319" s="39"/>
    </row>
    <row r="320">
      <c r="A320" s="31"/>
      <c r="B320" s="32"/>
      <c r="E320" s="32"/>
      <c r="F320" s="32"/>
      <c r="G320" s="32"/>
      <c r="H320" s="32"/>
      <c r="I320" s="14"/>
      <c r="K320" s="39"/>
    </row>
    <row r="321">
      <c r="A321" s="31"/>
      <c r="B321" s="32"/>
      <c r="E321" s="32"/>
      <c r="F321" s="32"/>
      <c r="G321" s="32"/>
      <c r="H321" s="32"/>
      <c r="I321" s="14"/>
      <c r="K321" s="39"/>
    </row>
    <row r="322">
      <c r="A322" s="31"/>
      <c r="B322" s="32"/>
      <c r="E322" s="32"/>
      <c r="F322" s="32"/>
      <c r="G322" s="32"/>
      <c r="H322" s="32"/>
      <c r="I322" s="14"/>
      <c r="K322" s="39"/>
    </row>
    <row r="323">
      <c r="A323" s="31"/>
      <c r="B323" s="32"/>
      <c r="E323" s="32"/>
      <c r="F323" s="32"/>
      <c r="G323" s="32"/>
      <c r="H323" s="32"/>
      <c r="I323" s="14"/>
      <c r="K323" s="39"/>
    </row>
    <row r="324">
      <c r="A324" s="31"/>
      <c r="B324" s="32"/>
      <c r="E324" s="32"/>
      <c r="F324" s="32"/>
      <c r="G324" s="32"/>
      <c r="H324" s="32"/>
      <c r="I324" s="14"/>
      <c r="K324" s="39"/>
    </row>
    <row r="325">
      <c r="A325" s="31"/>
      <c r="B325" s="32"/>
      <c r="E325" s="32"/>
      <c r="F325" s="32"/>
      <c r="G325" s="32"/>
      <c r="H325" s="32"/>
      <c r="I325" s="14"/>
      <c r="K325" s="39"/>
    </row>
    <row r="326">
      <c r="A326" s="31"/>
      <c r="B326" s="32"/>
      <c r="E326" s="32"/>
      <c r="F326" s="32"/>
      <c r="G326" s="32"/>
      <c r="H326" s="32"/>
      <c r="I326" s="14"/>
      <c r="K326" s="39"/>
    </row>
    <row r="327">
      <c r="A327" s="31"/>
      <c r="B327" s="32"/>
      <c r="E327" s="32"/>
      <c r="F327" s="32"/>
      <c r="G327" s="32"/>
      <c r="H327" s="32"/>
      <c r="I327" s="14"/>
      <c r="K327" s="39"/>
    </row>
    <row r="328">
      <c r="A328" s="31"/>
      <c r="B328" s="32"/>
      <c r="E328" s="32"/>
      <c r="F328" s="32"/>
      <c r="G328" s="32"/>
      <c r="H328" s="32"/>
      <c r="I328" s="14"/>
      <c r="K328" s="39"/>
    </row>
    <row r="329">
      <c r="A329" s="31"/>
      <c r="B329" s="32"/>
      <c r="E329" s="32"/>
      <c r="F329" s="32"/>
      <c r="G329" s="32"/>
      <c r="H329" s="32"/>
      <c r="I329" s="14"/>
      <c r="K329" s="39"/>
    </row>
    <row r="330">
      <c r="A330" s="31"/>
      <c r="B330" s="32"/>
      <c r="E330" s="32"/>
      <c r="F330" s="32"/>
      <c r="G330" s="32"/>
      <c r="H330" s="32"/>
      <c r="I330" s="14"/>
      <c r="K330" s="39"/>
    </row>
    <row r="331">
      <c r="A331" s="31"/>
      <c r="B331" s="32"/>
      <c r="E331" s="32"/>
      <c r="F331" s="32"/>
      <c r="G331" s="32"/>
      <c r="H331" s="32"/>
      <c r="I331" s="14"/>
      <c r="K331" s="39"/>
    </row>
    <row r="332">
      <c r="A332" s="31"/>
      <c r="B332" s="32"/>
      <c r="E332" s="32"/>
      <c r="F332" s="32"/>
      <c r="G332" s="32"/>
      <c r="H332" s="32"/>
      <c r="I332" s="14"/>
      <c r="K332" s="39"/>
    </row>
    <row r="333">
      <c r="A333" s="31"/>
      <c r="B333" s="32"/>
      <c r="E333" s="32"/>
      <c r="F333" s="32"/>
      <c r="G333" s="32"/>
      <c r="H333" s="32"/>
      <c r="I333" s="14"/>
      <c r="K333" s="39"/>
    </row>
    <row r="334">
      <c r="A334" s="31"/>
      <c r="B334" s="32"/>
      <c r="E334" s="32"/>
      <c r="F334" s="32"/>
      <c r="G334" s="32"/>
      <c r="H334" s="32"/>
      <c r="I334" s="14"/>
      <c r="K334" s="39"/>
    </row>
    <row r="335">
      <c r="A335" s="31"/>
      <c r="B335" s="32"/>
      <c r="E335" s="32"/>
      <c r="F335" s="32"/>
      <c r="G335" s="32"/>
      <c r="H335" s="32"/>
      <c r="I335" s="14"/>
      <c r="K335" s="39"/>
    </row>
    <row r="336">
      <c r="A336" s="31"/>
      <c r="B336" s="32"/>
      <c r="E336" s="32"/>
      <c r="F336" s="32"/>
      <c r="G336" s="32"/>
      <c r="H336" s="32"/>
      <c r="I336" s="14"/>
      <c r="K336" s="39"/>
    </row>
    <row r="337">
      <c r="A337" s="31"/>
      <c r="B337" s="32"/>
      <c r="E337" s="32"/>
      <c r="F337" s="32"/>
      <c r="G337" s="32"/>
      <c r="H337" s="32"/>
      <c r="I337" s="14"/>
      <c r="K337" s="39"/>
    </row>
    <row r="338">
      <c r="A338" s="31"/>
      <c r="B338" s="32"/>
      <c r="E338" s="32"/>
      <c r="F338" s="32"/>
      <c r="G338" s="32"/>
      <c r="H338" s="32"/>
      <c r="I338" s="14"/>
      <c r="K338" s="39"/>
    </row>
    <row r="339">
      <c r="A339" s="31"/>
      <c r="B339" s="32"/>
      <c r="E339" s="32"/>
      <c r="F339" s="32"/>
      <c r="G339" s="32"/>
      <c r="H339" s="32"/>
      <c r="I339" s="14"/>
      <c r="K339" s="39"/>
    </row>
    <row r="340">
      <c r="A340" s="31"/>
      <c r="B340" s="32"/>
      <c r="E340" s="32"/>
      <c r="F340" s="32"/>
      <c r="G340" s="32"/>
      <c r="H340" s="32"/>
      <c r="I340" s="14"/>
      <c r="K340" s="39"/>
    </row>
    <row r="341">
      <c r="A341" s="31"/>
      <c r="B341" s="32"/>
      <c r="E341" s="32"/>
      <c r="F341" s="32"/>
      <c r="G341" s="32"/>
      <c r="H341" s="32"/>
      <c r="I341" s="14"/>
      <c r="K341" s="39"/>
    </row>
    <row r="342">
      <c r="A342" s="31"/>
      <c r="B342" s="32"/>
      <c r="E342" s="32"/>
      <c r="F342" s="32"/>
      <c r="G342" s="32"/>
      <c r="H342" s="32"/>
      <c r="I342" s="14"/>
      <c r="K342" s="39"/>
    </row>
    <row r="343">
      <c r="A343" s="31"/>
      <c r="B343" s="32"/>
      <c r="E343" s="32"/>
      <c r="F343" s="32"/>
      <c r="G343" s="32"/>
      <c r="H343" s="32"/>
      <c r="I343" s="14"/>
      <c r="K343" s="39"/>
    </row>
    <row r="344">
      <c r="A344" s="31"/>
      <c r="B344" s="32"/>
      <c r="E344" s="32"/>
      <c r="F344" s="32"/>
      <c r="G344" s="32"/>
      <c r="H344" s="32"/>
      <c r="I344" s="14"/>
      <c r="K344" s="39"/>
    </row>
    <row r="345">
      <c r="A345" s="31"/>
      <c r="B345" s="32"/>
      <c r="E345" s="32"/>
      <c r="F345" s="32"/>
      <c r="G345" s="32"/>
      <c r="H345" s="32"/>
      <c r="I345" s="14"/>
      <c r="K345" s="39"/>
    </row>
    <row r="346">
      <c r="A346" s="31"/>
      <c r="B346" s="32"/>
      <c r="E346" s="32"/>
      <c r="F346" s="32"/>
      <c r="G346" s="32"/>
      <c r="H346" s="32"/>
      <c r="I346" s="14"/>
      <c r="K346" s="39"/>
    </row>
    <row r="347">
      <c r="A347" s="31"/>
      <c r="B347" s="32"/>
      <c r="E347" s="32"/>
      <c r="F347" s="32"/>
      <c r="G347" s="32"/>
      <c r="H347" s="32"/>
      <c r="I347" s="14"/>
      <c r="K347" s="39"/>
    </row>
    <row r="348">
      <c r="A348" s="31"/>
      <c r="B348" s="32"/>
      <c r="E348" s="32"/>
      <c r="F348" s="32"/>
      <c r="G348" s="32"/>
      <c r="H348" s="32"/>
      <c r="I348" s="14"/>
      <c r="K348" s="39"/>
    </row>
    <row r="349">
      <c r="A349" s="31"/>
      <c r="B349" s="32"/>
      <c r="E349" s="32"/>
      <c r="F349" s="32"/>
      <c r="G349" s="32"/>
      <c r="H349" s="32"/>
      <c r="I349" s="14"/>
      <c r="K349" s="39"/>
    </row>
    <row r="350">
      <c r="A350" s="31"/>
      <c r="B350" s="32"/>
      <c r="E350" s="32"/>
      <c r="F350" s="32"/>
      <c r="G350" s="32"/>
      <c r="H350" s="32"/>
      <c r="I350" s="14"/>
      <c r="K350" s="39"/>
    </row>
    <row r="351">
      <c r="A351" s="31"/>
      <c r="B351" s="32"/>
      <c r="E351" s="32"/>
      <c r="F351" s="32"/>
      <c r="G351" s="32"/>
      <c r="H351" s="32"/>
      <c r="I351" s="14"/>
      <c r="K351" s="39"/>
    </row>
    <row r="352">
      <c r="A352" s="31"/>
      <c r="B352" s="32"/>
      <c r="E352" s="32"/>
      <c r="F352" s="32"/>
      <c r="G352" s="32"/>
      <c r="H352" s="32"/>
      <c r="I352" s="14"/>
      <c r="K352" s="39"/>
    </row>
    <row r="353">
      <c r="A353" s="31"/>
      <c r="B353" s="32"/>
      <c r="E353" s="32"/>
      <c r="F353" s="32"/>
      <c r="G353" s="32"/>
      <c r="H353" s="32"/>
      <c r="I353" s="14"/>
      <c r="K353" s="39"/>
    </row>
    <row r="354">
      <c r="A354" s="31"/>
      <c r="B354" s="32"/>
      <c r="E354" s="32"/>
      <c r="F354" s="32"/>
      <c r="G354" s="32"/>
      <c r="H354" s="32"/>
      <c r="I354" s="14"/>
      <c r="K354" s="39"/>
    </row>
    <row r="355">
      <c r="A355" s="31"/>
      <c r="B355" s="32"/>
      <c r="E355" s="32"/>
      <c r="F355" s="32"/>
      <c r="G355" s="32"/>
      <c r="H355" s="32"/>
      <c r="I355" s="14"/>
      <c r="K355" s="39"/>
    </row>
    <row r="356">
      <c r="A356" s="31"/>
      <c r="B356" s="32"/>
      <c r="E356" s="32"/>
      <c r="F356" s="32"/>
      <c r="G356" s="32"/>
      <c r="H356" s="32"/>
      <c r="I356" s="14"/>
      <c r="K356" s="39"/>
    </row>
    <row r="357">
      <c r="A357" s="31"/>
      <c r="B357" s="32"/>
      <c r="E357" s="32"/>
      <c r="F357" s="32"/>
      <c r="G357" s="32"/>
      <c r="H357" s="32"/>
      <c r="I357" s="14"/>
      <c r="K357" s="39"/>
    </row>
    <row r="358">
      <c r="A358" s="31"/>
      <c r="B358" s="32"/>
      <c r="E358" s="32"/>
      <c r="F358" s="32"/>
      <c r="G358" s="32"/>
      <c r="H358" s="32"/>
      <c r="I358" s="14"/>
      <c r="K358" s="39"/>
    </row>
    <row r="359">
      <c r="A359" s="31"/>
      <c r="B359" s="32"/>
      <c r="E359" s="32"/>
      <c r="F359" s="32"/>
      <c r="G359" s="32"/>
      <c r="H359" s="32"/>
      <c r="I359" s="14"/>
      <c r="K359" s="39"/>
    </row>
    <row r="360">
      <c r="A360" s="31"/>
      <c r="B360" s="32"/>
      <c r="E360" s="32"/>
      <c r="F360" s="32"/>
      <c r="G360" s="32"/>
      <c r="H360" s="32"/>
      <c r="I360" s="14"/>
      <c r="K360" s="39"/>
    </row>
    <row r="361">
      <c r="A361" s="31"/>
      <c r="B361" s="32"/>
      <c r="E361" s="32"/>
      <c r="F361" s="32"/>
      <c r="G361" s="32"/>
      <c r="H361" s="32"/>
      <c r="I361" s="14"/>
      <c r="K361" s="39"/>
    </row>
    <row r="362">
      <c r="A362" s="31"/>
      <c r="B362" s="32"/>
      <c r="E362" s="32"/>
      <c r="F362" s="32"/>
      <c r="G362" s="32"/>
      <c r="H362" s="32"/>
      <c r="I362" s="14"/>
      <c r="K362" s="39"/>
    </row>
    <row r="363">
      <c r="A363" s="31"/>
      <c r="B363" s="32"/>
      <c r="E363" s="32"/>
      <c r="F363" s="32"/>
      <c r="G363" s="32"/>
      <c r="H363" s="32"/>
      <c r="I363" s="14"/>
      <c r="K363" s="39"/>
    </row>
    <row r="364">
      <c r="A364" s="31"/>
      <c r="B364" s="32"/>
      <c r="E364" s="32"/>
      <c r="F364" s="32"/>
      <c r="G364" s="32"/>
      <c r="H364" s="32"/>
      <c r="I364" s="14"/>
      <c r="K364" s="39"/>
    </row>
    <row r="365">
      <c r="A365" s="31"/>
      <c r="B365" s="32"/>
      <c r="E365" s="32"/>
      <c r="F365" s="32"/>
      <c r="G365" s="32"/>
      <c r="H365" s="32"/>
      <c r="I365" s="14"/>
      <c r="K365" s="39"/>
    </row>
    <row r="366">
      <c r="A366" s="31"/>
      <c r="B366" s="32"/>
      <c r="E366" s="32"/>
      <c r="F366" s="32"/>
      <c r="G366" s="32"/>
      <c r="H366" s="32"/>
      <c r="I366" s="14"/>
      <c r="K366" s="39"/>
    </row>
    <row r="367">
      <c r="A367" s="31"/>
      <c r="B367" s="32"/>
      <c r="E367" s="32"/>
      <c r="F367" s="32"/>
      <c r="G367" s="32"/>
      <c r="H367" s="32"/>
      <c r="I367" s="14"/>
      <c r="K367" s="39"/>
    </row>
    <row r="368">
      <c r="A368" s="31"/>
      <c r="B368" s="32"/>
      <c r="E368" s="32"/>
      <c r="F368" s="32"/>
      <c r="G368" s="32"/>
      <c r="H368" s="32"/>
      <c r="I368" s="14"/>
      <c r="K368" s="39"/>
    </row>
    <row r="369">
      <c r="A369" s="31"/>
      <c r="B369" s="32"/>
      <c r="E369" s="32"/>
      <c r="F369" s="32"/>
      <c r="G369" s="32"/>
      <c r="H369" s="32"/>
      <c r="I369" s="14"/>
      <c r="K369" s="39"/>
    </row>
    <row r="370">
      <c r="A370" s="31"/>
      <c r="B370" s="32"/>
      <c r="E370" s="32"/>
      <c r="F370" s="32"/>
      <c r="G370" s="32"/>
      <c r="H370" s="32"/>
      <c r="I370" s="14"/>
      <c r="K370" s="39"/>
    </row>
    <row r="371">
      <c r="A371" s="31"/>
      <c r="B371" s="32"/>
      <c r="E371" s="32"/>
      <c r="F371" s="32"/>
      <c r="G371" s="32"/>
      <c r="H371" s="32"/>
      <c r="I371" s="14"/>
      <c r="K371" s="39"/>
    </row>
    <row r="372">
      <c r="A372" s="31"/>
      <c r="B372" s="32"/>
      <c r="E372" s="32"/>
      <c r="F372" s="32"/>
      <c r="G372" s="32"/>
      <c r="H372" s="32"/>
      <c r="I372" s="14"/>
      <c r="K372" s="39"/>
    </row>
    <row r="373">
      <c r="A373" s="31"/>
      <c r="B373" s="32"/>
      <c r="E373" s="32"/>
      <c r="F373" s="32"/>
      <c r="G373" s="32"/>
      <c r="H373" s="32"/>
      <c r="I373" s="14"/>
      <c r="K373" s="39"/>
    </row>
    <row r="374">
      <c r="A374" s="31"/>
      <c r="B374" s="32"/>
      <c r="E374" s="32"/>
      <c r="F374" s="32"/>
      <c r="G374" s="32"/>
      <c r="H374" s="32"/>
      <c r="I374" s="14"/>
      <c r="K374" s="39"/>
    </row>
    <row r="375">
      <c r="A375" s="31"/>
      <c r="B375" s="32"/>
      <c r="E375" s="32"/>
      <c r="F375" s="32"/>
      <c r="G375" s="32"/>
      <c r="H375" s="32"/>
      <c r="I375" s="14"/>
      <c r="K375" s="39"/>
    </row>
    <row r="376">
      <c r="A376" s="31"/>
      <c r="B376" s="32"/>
      <c r="E376" s="32"/>
      <c r="F376" s="32"/>
      <c r="G376" s="32"/>
      <c r="H376" s="32"/>
      <c r="I376" s="14"/>
      <c r="K376" s="39"/>
    </row>
    <row r="377">
      <c r="A377" s="31"/>
      <c r="B377" s="32"/>
      <c r="E377" s="32"/>
      <c r="F377" s="32"/>
      <c r="G377" s="32"/>
      <c r="H377" s="32"/>
      <c r="I377" s="14"/>
      <c r="K377" s="39"/>
    </row>
    <row r="378">
      <c r="A378" s="31"/>
      <c r="B378" s="32"/>
      <c r="E378" s="32"/>
      <c r="F378" s="32"/>
      <c r="G378" s="32"/>
      <c r="H378" s="32"/>
      <c r="I378" s="14"/>
      <c r="K378" s="39"/>
    </row>
    <row r="379">
      <c r="A379" s="31"/>
      <c r="B379" s="32"/>
      <c r="E379" s="32"/>
      <c r="F379" s="32"/>
      <c r="G379" s="32"/>
      <c r="H379" s="32"/>
      <c r="I379" s="14"/>
      <c r="K379" s="39"/>
    </row>
    <row r="380">
      <c r="A380" s="31"/>
      <c r="B380" s="32"/>
      <c r="E380" s="32"/>
      <c r="F380" s="32"/>
      <c r="G380" s="32"/>
      <c r="H380" s="32"/>
      <c r="I380" s="14"/>
      <c r="K380" s="39"/>
    </row>
    <row r="381">
      <c r="A381" s="31"/>
      <c r="B381" s="32"/>
      <c r="E381" s="32"/>
      <c r="F381" s="32"/>
      <c r="G381" s="32"/>
      <c r="H381" s="32"/>
      <c r="I381" s="14"/>
      <c r="K381" s="39"/>
    </row>
    <row r="382">
      <c r="A382" s="31"/>
      <c r="B382" s="32"/>
      <c r="E382" s="32"/>
      <c r="F382" s="32"/>
      <c r="G382" s="32"/>
      <c r="H382" s="32"/>
      <c r="I382" s="14"/>
      <c r="K382" s="39"/>
    </row>
    <row r="383">
      <c r="A383" s="31"/>
      <c r="B383" s="32"/>
      <c r="E383" s="32"/>
      <c r="F383" s="32"/>
      <c r="G383" s="32"/>
      <c r="H383" s="32"/>
      <c r="I383" s="14"/>
      <c r="K383" s="39"/>
    </row>
    <row r="384">
      <c r="A384" s="31"/>
      <c r="B384" s="32"/>
      <c r="E384" s="32"/>
      <c r="F384" s="32"/>
      <c r="G384" s="32"/>
      <c r="H384" s="32"/>
      <c r="I384" s="14"/>
      <c r="K384" s="39"/>
    </row>
    <row r="385">
      <c r="A385" s="31"/>
      <c r="B385" s="32"/>
      <c r="E385" s="32"/>
      <c r="F385" s="32"/>
      <c r="G385" s="32"/>
      <c r="H385" s="32"/>
      <c r="I385" s="14"/>
      <c r="K385" s="39"/>
    </row>
    <row r="386">
      <c r="A386" s="31"/>
      <c r="B386" s="32"/>
      <c r="E386" s="32"/>
      <c r="F386" s="32"/>
      <c r="G386" s="32"/>
      <c r="H386" s="32"/>
      <c r="I386" s="14"/>
      <c r="K386" s="39"/>
    </row>
    <row r="387">
      <c r="A387" s="31"/>
      <c r="B387" s="32"/>
      <c r="E387" s="32"/>
      <c r="F387" s="32"/>
      <c r="G387" s="32"/>
      <c r="H387" s="32"/>
      <c r="I387" s="14"/>
      <c r="K387" s="39"/>
    </row>
    <row r="388">
      <c r="A388" s="31"/>
      <c r="B388" s="32"/>
      <c r="E388" s="32"/>
      <c r="F388" s="32"/>
      <c r="G388" s="32"/>
      <c r="H388" s="32"/>
      <c r="I388" s="14"/>
      <c r="K388" s="39"/>
    </row>
    <row r="389">
      <c r="A389" s="31"/>
      <c r="B389" s="32"/>
      <c r="E389" s="32"/>
      <c r="F389" s="32"/>
      <c r="G389" s="32"/>
      <c r="H389" s="32"/>
      <c r="I389" s="14"/>
      <c r="K389" s="39"/>
    </row>
    <row r="390">
      <c r="A390" s="31"/>
      <c r="B390" s="32"/>
      <c r="E390" s="32"/>
      <c r="F390" s="32"/>
      <c r="G390" s="32"/>
      <c r="H390" s="32"/>
      <c r="I390" s="14"/>
      <c r="K390" s="39"/>
    </row>
    <row r="391">
      <c r="A391" s="31"/>
      <c r="B391" s="32"/>
      <c r="E391" s="32"/>
      <c r="F391" s="32"/>
      <c r="G391" s="32"/>
      <c r="H391" s="32"/>
      <c r="I391" s="14"/>
      <c r="K391" s="39"/>
    </row>
    <row r="392">
      <c r="A392" s="31"/>
      <c r="B392" s="32"/>
      <c r="E392" s="32"/>
      <c r="F392" s="32"/>
      <c r="G392" s="32"/>
      <c r="H392" s="32"/>
      <c r="I392" s="14"/>
      <c r="K392" s="39"/>
    </row>
    <row r="393">
      <c r="A393" s="31"/>
      <c r="B393" s="32"/>
      <c r="E393" s="32"/>
      <c r="F393" s="32"/>
      <c r="G393" s="32"/>
      <c r="H393" s="32"/>
      <c r="I393" s="14"/>
      <c r="K393" s="39"/>
    </row>
    <row r="394">
      <c r="A394" s="31"/>
      <c r="B394" s="32"/>
      <c r="E394" s="32"/>
      <c r="F394" s="32"/>
      <c r="G394" s="32"/>
      <c r="H394" s="32"/>
      <c r="I394" s="14"/>
      <c r="K394" s="39"/>
    </row>
    <row r="395">
      <c r="A395" s="31"/>
      <c r="B395" s="32"/>
      <c r="E395" s="32"/>
      <c r="F395" s="32"/>
      <c r="G395" s="32"/>
      <c r="H395" s="32"/>
      <c r="I395" s="14"/>
      <c r="K395" s="39"/>
    </row>
    <row r="396">
      <c r="A396" s="31"/>
      <c r="B396" s="32"/>
      <c r="E396" s="32"/>
      <c r="F396" s="32"/>
      <c r="G396" s="32"/>
      <c r="H396" s="32"/>
      <c r="I396" s="14"/>
      <c r="K396" s="39"/>
    </row>
    <row r="397">
      <c r="A397" s="31"/>
      <c r="B397" s="32"/>
      <c r="E397" s="32"/>
      <c r="F397" s="32"/>
      <c r="G397" s="32"/>
      <c r="H397" s="32"/>
      <c r="I397" s="14"/>
      <c r="K397" s="39"/>
    </row>
    <row r="398">
      <c r="A398" s="31"/>
      <c r="B398" s="32"/>
      <c r="E398" s="32"/>
      <c r="F398" s="32"/>
      <c r="G398" s="32"/>
      <c r="H398" s="32"/>
      <c r="I398" s="14"/>
      <c r="K398" s="39"/>
    </row>
    <row r="399">
      <c r="A399" s="31"/>
      <c r="B399" s="32"/>
      <c r="E399" s="32"/>
      <c r="F399" s="32"/>
      <c r="G399" s="32"/>
      <c r="H399" s="32"/>
      <c r="I399" s="14"/>
      <c r="K399" s="39"/>
    </row>
    <row r="400">
      <c r="A400" s="31"/>
      <c r="B400" s="32"/>
      <c r="E400" s="32"/>
      <c r="F400" s="32"/>
      <c r="G400" s="32"/>
      <c r="H400" s="32"/>
      <c r="I400" s="14"/>
      <c r="K400" s="39"/>
    </row>
    <row r="401">
      <c r="A401" s="31"/>
      <c r="B401" s="32"/>
      <c r="E401" s="32"/>
      <c r="F401" s="32"/>
      <c r="G401" s="32"/>
      <c r="H401" s="32"/>
      <c r="I401" s="14"/>
      <c r="K401" s="39"/>
    </row>
    <row r="402">
      <c r="A402" s="31"/>
      <c r="B402" s="32"/>
      <c r="E402" s="32"/>
      <c r="F402" s="32"/>
      <c r="G402" s="32"/>
      <c r="H402" s="32"/>
      <c r="I402" s="14"/>
      <c r="K402" s="39"/>
    </row>
    <row r="403">
      <c r="A403" s="31"/>
      <c r="B403" s="32"/>
      <c r="E403" s="32"/>
      <c r="F403" s="32"/>
      <c r="G403" s="32"/>
      <c r="H403" s="32"/>
      <c r="I403" s="14"/>
      <c r="K403" s="39"/>
    </row>
    <row r="404">
      <c r="A404" s="31"/>
      <c r="B404" s="32"/>
      <c r="E404" s="32"/>
      <c r="F404" s="32"/>
      <c r="G404" s="32"/>
      <c r="H404" s="32"/>
      <c r="I404" s="14"/>
      <c r="K404" s="39"/>
    </row>
    <row r="405">
      <c r="A405" s="31"/>
      <c r="B405" s="32"/>
      <c r="E405" s="32"/>
      <c r="F405" s="32"/>
      <c r="G405" s="32"/>
      <c r="H405" s="32"/>
      <c r="I405" s="14"/>
      <c r="K405" s="39"/>
    </row>
    <row r="406">
      <c r="A406" s="31"/>
      <c r="B406" s="32"/>
      <c r="E406" s="32"/>
      <c r="F406" s="32"/>
      <c r="G406" s="32"/>
      <c r="H406" s="32"/>
      <c r="I406" s="14"/>
      <c r="K406" s="39"/>
    </row>
    <row r="407">
      <c r="A407" s="31"/>
      <c r="B407" s="32"/>
      <c r="E407" s="32"/>
      <c r="F407" s="32"/>
      <c r="G407" s="32"/>
      <c r="H407" s="32"/>
      <c r="I407" s="14"/>
      <c r="K407" s="39"/>
    </row>
    <row r="408">
      <c r="A408" s="31"/>
      <c r="B408" s="32"/>
      <c r="E408" s="32"/>
      <c r="F408" s="32"/>
      <c r="G408" s="32"/>
      <c r="H408" s="32"/>
      <c r="I408" s="14"/>
      <c r="K408" s="39"/>
    </row>
    <row r="409">
      <c r="A409" s="31"/>
      <c r="B409" s="32"/>
      <c r="E409" s="32"/>
      <c r="F409" s="32"/>
      <c r="G409" s="32"/>
      <c r="H409" s="32"/>
      <c r="I409" s="14"/>
      <c r="K409" s="39"/>
    </row>
    <row r="410">
      <c r="A410" s="31"/>
      <c r="B410" s="32"/>
      <c r="E410" s="32"/>
      <c r="F410" s="32"/>
      <c r="G410" s="32"/>
      <c r="H410" s="32"/>
      <c r="I410" s="14"/>
      <c r="K410" s="39"/>
    </row>
    <row r="411">
      <c r="A411" s="31"/>
      <c r="B411" s="32"/>
      <c r="E411" s="32"/>
      <c r="F411" s="32"/>
      <c r="G411" s="32"/>
      <c r="H411" s="32"/>
      <c r="I411" s="14"/>
      <c r="K411" s="39"/>
    </row>
    <row r="412">
      <c r="A412" s="31"/>
      <c r="B412" s="32"/>
      <c r="E412" s="32"/>
      <c r="F412" s="32"/>
      <c r="G412" s="32"/>
      <c r="H412" s="32"/>
      <c r="I412" s="14"/>
      <c r="K412" s="39"/>
    </row>
    <row r="413">
      <c r="A413" s="31"/>
      <c r="B413" s="32"/>
      <c r="E413" s="32"/>
      <c r="F413" s="32"/>
      <c r="G413" s="32"/>
      <c r="H413" s="32"/>
      <c r="I413" s="14"/>
      <c r="K413" s="39"/>
    </row>
    <row r="414">
      <c r="A414" s="31"/>
      <c r="B414" s="32"/>
      <c r="E414" s="32"/>
      <c r="F414" s="32"/>
      <c r="G414" s="32"/>
      <c r="H414" s="32"/>
      <c r="I414" s="14"/>
      <c r="K414" s="39"/>
    </row>
    <row r="415">
      <c r="A415" s="31"/>
      <c r="B415" s="32"/>
      <c r="E415" s="32"/>
      <c r="F415" s="32"/>
      <c r="G415" s="32"/>
      <c r="H415" s="32"/>
      <c r="I415" s="14"/>
      <c r="K415" s="39"/>
    </row>
    <row r="416">
      <c r="A416" s="31"/>
      <c r="B416" s="32"/>
      <c r="E416" s="32"/>
      <c r="F416" s="32"/>
      <c r="G416" s="32"/>
      <c r="H416" s="32"/>
      <c r="I416" s="14"/>
      <c r="K416" s="39"/>
    </row>
    <row r="417">
      <c r="A417" s="31"/>
      <c r="B417" s="32"/>
      <c r="E417" s="32"/>
      <c r="F417" s="32"/>
      <c r="G417" s="32"/>
      <c r="H417" s="32"/>
      <c r="I417" s="14"/>
      <c r="K417" s="39"/>
    </row>
    <row r="418">
      <c r="A418" s="31"/>
      <c r="B418" s="32"/>
      <c r="E418" s="32"/>
      <c r="F418" s="32"/>
      <c r="G418" s="32"/>
      <c r="H418" s="32"/>
      <c r="I418" s="14"/>
      <c r="K418" s="39"/>
    </row>
    <row r="419">
      <c r="A419" s="31"/>
      <c r="B419" s="32"/>
      <c r="E419" s="32"/>
      <c r="F419" s="32"/>
      <c r="G419" s="32"/>
      <c r="H419" s="32"/>
      <c r="I419" s="14"/>
      <c r="K419" s="39"/>
    </row>
    <row r="420">
      <c r="A420" s="31"/>
      <c r="B420" s="32"/>
      <c r="E420" s="32"/>
      <c r="F420" s="32"/>
      <c r="G420" s="32"/>
      <c r="H420" s="32"/>
      <c r="I420" s="14"/>
      <c r="K420" s="39"/>
    </row>
    <row r="421">
      <c r="A421" s="31"/>
      <c r="B421" s="32"/>
      <c r="E421" s="32"/>
      <c r="F421" s="32"/>
      <c r="G421" s="32"/>
      <c r="H421" s="32"/>
      <c r="I421" s="14"/>
      <c r="K421" s="39"/>
    </row>
    <row r="422">
      <c r="A422" s="31"/>
      <c r="B422" s="32"/>
      <c r="E422" s="32"/>
      <c r="F422" s="32"/>
      <c r="G422" s="32"/>
      <c r="H422" s="32"/>
      <c r="I422" s="14"/>
      <c r="K422" s="39"/>
    </row>
    <row r="423">
      <c r="A423" s="31"/>
      <c r="B423" s="32"/>
      <c r="E423" s="32"/>
      <c r="F423" s="32"/>
      <c r="G423" s="32"/>
      <c r="H423" s="32"/>
      <c r="I423" s="14"/>
      <c r="K423" s="39"/>
    </row>
    <row r="424">
      <c r="A424" s="31"/>
      <c r="B424" s="32"/>
      <c r="E424" s="32"/>
      <c r="F424" s="32"/>
      <c r="G424" s="32"/>
      <c r="H424" s="32"/>
      <c r="I424" s="14"/>
      <c r="K424" s="39"/>
    </row>
    <row r="425">
      <c r="A425" s="31"/>
      <c r="B425" s="32"/>
      <c r="E425" s="32"/>
      <c r="F425" s="32"/>
      <c r="G425" s="32"/>
      <c r="H425" s="32"/>
      <c r="I425" s="14"/>
      <c r="K425" s="39"/>
    </row>
    <row r="426">
      <c r="A426" s="31"/>
      <c r="B426" s="32"/>
      <c r="E426" s="32"/>
      <c r="F426" s="32"/>
      <c r="G426" s="32"/>
      <c r="H426" s="32"/>
      <c r="I426" s="14"/>
      <c r="K426" s="39"/>
    </row>
    <row r="427">
      <c r="A427" s="31"/>
      <c r="B427" s="32"/>
      <c r="E427" s="32"/>
      <c r="F427" s="32"/>
      <c r="G427" s="32"/>
      <c r="H427" s="32"/>
      <c r="I427" s="14"/>
      <c r="K427" s="39"/>
    </row>
    <row r="428">
      <c r="A428" s="31"/>
      <c r="B428" s="32"/>
      <c r="E428" s="32"/>
      <c r="F428" s="32"/>
      <c r="G428" s="32"/>
      <c r="H428" s="32"/>
      <c r="I428" s="14"/>
      <c r="K428" s="39"/>
    </row>
    <row r="429">
      <c r="A429" s="31"/>
      <c r="B429" s="32"/>
      <c r="E429" s="32"/>
      <c r="F429" s="32"/>
      <c r="G429" s="32"/>
      <c r="H429" s="32"/>
      <c r="I429" s="14"/>
      <c r="K429" s="39"/>
    </row>
    <row r="430">
      <c r="A430" s="31"/>
      <c r="B430" s="32"/>
      <c r="E430" s="32"/>
      <c r="F430" s="32"/>
      <c r="G430" s="32"/>
      <c r="H430" s="32"/>
      <c r="I430" s="14"/>
      <c r="K430" s="39"/>
    </row>
    <row r="431">
      <c r="A431" s="31"/>
      <c r="B431" s="32"/>
      <c r="E431" s="32"/>
      <c r="F431" s="32"/>
      <c r="G431" s="32"/>
      <c r="H431" s="32"/>
      <c r="I431" s="14"/>
      <c r="K431" s="39"/>
    </row>
    <row r="432">
      <c r="A432" s="31"/>
      <c r="B432" s="32"/>
      <c r="E432" s="32"/>
      <c r="F432" s="32"/>
      <c r="G432" s="32"/>
      <c r="H432" s="32"/>
      <c r="I432" s="14"/>
      <c r="K432" s="39"/>
    </row>
    <row r="433">
      <c r="A433" s="31"/>
      <c r="B433" s="32"/>
      <c r="E433" s="32"/>
      <c r="F433" s="32"/>
      <c r="G433" s="32"/>
      <c r="H433" s="32"/>
      <c r="I433" s="14"/>
      <c r="K433" s="39"/>
    </row>
    <row r="434">
      <c r="A434" s="31"/>
      <c r="B434" s="32"/>
      <c r="E434" s="32"/>
      <c r="F434" s="32"/>
      <c r="G434" s="32"/>
      <c r="H434" s="32"/>
      <c r="I434" s="14"/>
      <c r="K434" s="39"/>
    </row>
    <row r="435">
      <c r="A435" s="31"/>
      <c r="B435" s="32"/>
      <c r="E435" s="32"/>
      <c r="F435" s="32"/>
      <c r="G435" s="32"/>
      <c r="H435" s="32"/>
      <c r="I435" s="14"/>
      <c r="K435" s="39"/>
    </row>
    <row r="436">
      <c r="A436" s="31"/>
      <c r="B436" s="32"/>
      <c r="E436" s="32"/>
      <c r="F436" s="32"/>
      <c r="G436" s="32"/>
      <c r="H436" s="32"/>
      <c r="I436" s="14"/>
      <c r="K436" s="39"/>
    </row>
    <row r="437">
      <c r="A437" s="31"/>
      <c r="B437" s="32"/>
      <c r="E437" s="32"/>
      <c r="F437" s="32"/>
      <c r="G437" s="32"/>
      <c r="H437" s="32"/>
      <c r="I437" s="14"/>
      <c r="K437" s="39"/>
    </row>
    <row r="438">
      <c r="A438" s="31"/>
      <c r="B438" s="32"/>
      <c r="E438" s="32"/>
      <c r="F438" s="32"/>
      <c r="G438" s="32"/>
      <c r="H438" s="32"/>
      <c r="I438" s="14"/>
      <c r="K438" s="39"/>
    </row>
    <row r="439">
      <c r="A439" s="31"/>
      <c r="B439" s="32"/>
      <c r="E439" s="32"/>
      <c r="F439" s="32"/>
      <c r="G439" s="32"/>
      <c r="H439" s="32"/>
      <c r="I439" s="14"/>
      <c r="K439" s="39"/>
    </row>
    <row r="440">
      <c r="A440" s="31"/>
      <c r="B440" s="32"/>
      <c r="E440" s="32"/>
      <c r="F440" s="32"/>
      <c r="G440" s="32"/>
      <c r="H440" s="32"/>
      <c r="I440" s="14"/>
      <c r="K440" s="39"/>
    </row>
    <row r="441">
      <c r="A441" s="31"/>
      <c r="B441" s="32"/>
      <c r="E441" s="32"/>
      <c r="F441" s="32"/>
      <c r="G441" s="32"/>
      <c r="H441" s="32"/>
      <c r="I441" s="14"/>
      <c r="K441" s="39"/>
    </row>
    <row r="442">
      <c r="A442" s="31"/>
      <c r="B442" s="32"/>
      <c r="E442" s="32"/>
      <c r="F442" s="32"/>
      <c r="G442" s="32"/>
      <c r="H442" s="32"/>
      <c r="I442" s="14"/>
      <c r="K442" s="39"/>
    </row>
    <row r="443">
      <c r="A443" s="31"/>
      <c r="B443" s="32"/>
      <c r="E443" s="32"/>
      <c r="F443" s="32"/>
      <c r="G443" s="32"/>
      <c r="H443" s="32"/>
      <c r="I443" s="14"/>
      <c r="K443" s="39"/>
    </row>
    <row r="444">
      <c r="A444" s="31"/>
      <c r="B444" s="32"/>
      <c r="E444" s="32"/>
      <c r="F444" s="32"/>
      <c r="G444" s="32"/>
      <c r="H444" s="32"/>
      <c r="I444" s="14"/>
      <c r="K444" s="39"/>
    </row>
    <row r="445">
      <c r="A445" s="31"/>
      <c r="B445" s="32"/>
      <c r="E445" s="32"/>
      <c r="F445" s="32"/>
      <c r="G445" s="32"/>
      <c r="H445" s="32"/>
      <c r="I445" s="14"/>
      <c r="K445" s="39"/>
    </row>
    <row r="446">
      <c r="A446" s="31"/>
      <c r="B446" s="32"/>
      <c r="E446" s="32"/>
      <c r="F446" s="32"/>
      <c r="G446" s="32"/>
      <c r="H446" s="32"/>
      <c r="I446" s="14"/>
      <c r="K446" s="39"/>
    </row>
    <row r="447">
      <c r="A447" s="31"/>
      <c r="B447" s="32"/>
      <c r="E447" s="32"/>
      <c r="F447" s="32"/>
      <c r="G447" s="32"/>
      <c r="H447" s="32"/>
      <c r="I447" s="14"/>
      <c r="K447" s="39"/>
    </row>
    <row r="448">
      <c r="A448" s="31"/>
      <c r="B448" s="32"/>
      <c r="E448" s="32"/>
      <c r="F448" s="32"/>
      <c r="G448" s="32"/>
      <c r="H448" s="32"/>
      <c r="I448" s="14"/>
      <c r="K448" s="39"/>
    </row>
    <row r="449">
      <c r="A449" s="31"/>
      <c r="B449" s="32"/>
      <c r="E449" s="32"/>
      <c r="F449" s="32"/>
      <c r="G449" s="32"/>
      <c r="H449" s="32"/>
      <c r="I449" s="14"/>
      <c r="K449" s="39"/>
    </row>
    <row r="450">
      <c r="A450" s="31"/>
      <c r="B450" s="32"/>
      <c r="E450" s="32"/>
      <c r="F450" s="32"/>
      <c r="G450" s="32"/>
      <c r="H450" s="32"/>
      <c r="I450" s="14"/>
      <c r="K450" s="39"/>
    </row>
    <row r="451">
      <c r="A451" s="31"/>
      <c r="B451" s="32"/>
      <c r="E451" s="32"/>
      <c r="F451" s="32"/>
      <c r="G451" s="32"/>
      <c r="H451" s="32"/>
      <c r="I451" s="14"/>
      <c r="K451" s="39"/>
    </row>
    <row r="452">
      <c r="A452" s="31"/>
      <c r="B452" s="32"/>
      <c r="E452" s="32"/>
      <c r="F452" s="32"/>
      <c r="G452" s="32"/>
      <c r="H452" s="32"/>
      <c r="I452" s="14"/>
      <c r="K452" s="39"/>
    </row>
    <row r="453">
      <c r="A453" s="31"/>
      <c r="B453" s="32"/>
      <c r="E453" s="32"/>
      <c r="F453" s="32"/>
      <c r="G453" s="32"/>
      <c r="H453" s="32"/>
      <c r="I453" s="14"/>
      <c r="K453" s="39"/>
    </row>
    <row r="454">
      <c r="A454" s="31"/>
      <c r="B454" s="32"/>
      <c r="E454" s="32"/>
      <c r="F454" s="32"/>
      <c r="G454" s="32"/>
      <c r="H454" s="32"/>
      <c r="I454" s="14"/>
      <c r="K454" s="39"/>
    </row>
    <row r="455">
      <c r="A455" s="31"/>
      <c r="B455" s="32"/>
      <c r="E455" s="32"/>
      <c r="F455" s="32"/>
      <c r="G455" s="32"/>
      <c r="H455" s="32"/>
      <c r="I455" s="14"/>
      <c r="K455" s="39"/>
    </row>
    <row r="456">
      <c r="A456" s="31"/>
      <c r="B456" s="32"/>
      <c r="E456" s="32"/>
      <c r="F456" s="32"/>
      <c r="G456" s="32"/>
      <c r="H456" s="32"/>
      <c r="I456" s="14"/>
      <c r="K456" s="39"/>
    </row>
    <row r="457">
      <c r="A457" s="31"/>
      <c r="B457" s="32"/>
      <c r="E457" s="32"/>
      <c r="F457" s="32"/>
      <c r="G457" s="32"/>
      <c r="H457" s="32"/>
      <c r="I457" s="14"/>
      <c r="K457" s="39"/>
    </row>
    <row r="458">
      <c r="A458" s="31"/>
      <c r="B458" s="32"/>
      <c r="E458" s="32"/>
      <c r="F458" s="32"/>
      <c r="G458" s="32"/>
      <c r="H458" s="32"/>
      <c r="I458" s="14"/>
      <c r="K458" s="39"/>
    </row>
    <row r="459">
      <c r="A459" s="31"/>
      <c r="B459" s="32"/>
      <c r="E459" s="32"/>
      <c r="F459" s="32"/>
      <c r="G459" s="32"/>
      <c r="H459" s="32"/>
      <c r="I459" s="14"/>
      <c r="K459" s="39"/>
    </row>
    <row r="460">
      <c r="A460" s="31"/>
      <c r="B460" s="32"/>
      <c r="E460" s="32"/>
      <c r="F460" s="32"/>
      <c r="G460" s="32"/>
      <c r="H460" s="32"/>
      <c r="I460" s="14"/>
      <c r="K460" s="39"/>
    </row>
    <row r="461">
      <c r="A461" s="31"/>
      <c r="B461" s="32"/>
      <c r="E461" s="32"/>
      <c r="F461" s="32"/>
      <c r="G461" s="32"/>
      <c r="H461" s="32"/>
      <c r="I461" s="14"/>
      <c r="K461" s="39"/>
    </row>
    <row r="462">
      <c r="A462" s="31"/>
      <c r="B462" s="32"/>
      <c r="E462" s="32"/>
      <c r="F462" s="32"/>
      <c r="G462" s="32"/>
      <c r="H462" s="32"/>
      <c r="I462" s="14"/>
      <c r="K462" s="39"/>
    </row>
    <row r="463">
      <c r="A463" s="31"/>
      <c r="B463" s="32"/>
      <c r="E463" s="32"/>
      <c r="F463" s="32"/>
      <c r="G463" s="32"/>
      <c r="H463" s="32"/>
      <c r="I463" s="14"/>
      <c r="K463" s="39"/>
    </row>
    <row r="464">
      <c r="A464" s="31"/>
      <c r="B464" s="32"/>
      <c r="E464" s="32"/>
      <c r="F464" s="32"/>
      <c r="G464" s="32"/>
      <c r="H464" s="32"/>
      <c r="I464" s="14"/>
      <c r="K464" s="39"/>
    </row>
    <row r="465">
      <c r="A465" s="31"/>
      <c r="B465" s="32"/>
      <c r="E465" s="32"/>
      <c r="F465" s="32"/>
      <c r="G465" s="32"/>
      <c r="H465" s="32"/>
      <c r="I465" s="14"/>
      <c r="K465" s="39"/>
    </row>
    <row r="466">
      <c r="A466" s="31"/>
      <c r="B466" s="32"/>
      <c r="E466" s="32"/>
      <c r="F466" s="32"/>
      <c r="G466" s="32"/>
      <c r="H466" s="32"/>
      <c r="I466" s="14"/>
      <c r="K466" s="39"/>
    </row>
    <row r="467">
      <c r="A467" s="31"/>
      <c r="B467" s="32"/>
      <c r="E467" s="32"/>
      <c r="F467" s="32"/>
      <c r="G467" s="32"/>
      <c r="H467" s="32"/>
      <c r="I467" s="14"/>
      <c r="K467" s="39"/>
    </row>
    <row r="468">
      <c r="A468" s="31"/>
      <c r="B468" s="32"/>
      <c r="E468" s="32"/>
      <c r="F468" s="32"/>
      <c r="G468" s="32"/>
      <c r="H468" s="32"/>
      <c r="I468" s="14"/>
      <c r="K468" s="39"/>
    </row>
    <row r="469">
      <c r="A469" s="31"/>
      <c r="B469" s="32"/>
      <c r="E469" s="32"/>
      <c r="F469" s="32"/>
      <c r="G469" s="32"/>
      <c r="H469" s="32"/>
      <c r="I469" s="14"/>
      <c r="K469" s="39"/>
    </row>
    <row r="470">
      <c r="A470" s="31"/>
      <c r="B470" s="32"/>
      <c r="E470" s="32"/>
      <c r="F470" s="32"/>
      <c r="G470" s="32"/>
      <c r="H470" s="32"/>
      <c r="I470" s="14"/>
      <c r="K470" s="39"/>
    </row>
    <row r="471">
      <c r="A471" s="31"/>
      <c r="B471" s="32"/>
      <c r="E471" s="32"/>
      <c r="F471" s="32"/>
      <c r="G471" s="32"/>
      <c r="H471" s="32"/>
      <c r="I471" s="14"/>
      <c r="K471" s="39"/>
    </row>
    <row r="472">
      <c r="A472" s="31"/>
      <c r="B472" s="32"/>
      <c r="E472" s="32"/>
      <c r="F472" s="32"/>
      <c r="G472" s="32"/>
      <c r="H472" s="32"/>
      <c r="I472" s="14"/>
      <c r="K472" s="39"/>
    </row>
    <row r="473">
      <c r="A473" s="31"/>
      <c r="B473" s="32"/>
      <c r="E473" s="32"/>
      <c r="F473" s="32"/>
      <c r="G473" s="32"/>
      <c r="H473" s="32"/>
      <c r="I473" s="14"/>
      <c r="K473" s="39"/>
    </row>
    <row r="474">
      <c r="A474" s="31"/>
      <c r="B474" s="32"/>
      <c r="E474" s="32"/>
      <c r="F474" s="32"/>
      <c r="G474" s="32"/>
      <c r="H474" s="32"/>
      <c r="I474" s="14"/>
      <c r="K474" s="39"/>
    </row>
    <row r="475">
      <c r="A475" s="31"/>
      <c r="B475" s="32"/>
      <c r="E475" s="32"/>
      <c r="F475" s="32"/>
      <c r="G475" s="32"/>
      <c r="H475" s="32"/>
      <c r="I475" s="14"/>
      <c r="K475" s="39"/>
    </row>
    <row r="476">
      <c r="A476" s="31"/>
      <c r="B476" s="32"/>
      <c r="E476" s="32"/>
      <c r="F476" s="32"/>
      <c r="G476" s="32"/>
      <c r="H476" s="32"/>
      <c r="I476" s="14"/>
      <c r="K476" s="39"/>
    </row>
    <row r="477">
      <c r="A477" s="31"/>
      <c r="B477" s="32"/>
      <c r="E477" s="32"/>
      <c r="F477" s="32"/>
      <c r="G477" s="32"/>
      <c r="H477" s="32"/>
      <c r="I477" s="14"/>
      <c r="K477" s="39"/>
    </row>
    <row r="478">
      <c r="A478" s="31"/>
      <c r="B478" s="32"/>
      <c r="E478" s="32"/>
      <c r="F478" s="32"/>
      <c r="G478" s="32"/>
      <c r="H478" s="32"/>
      <c r="I478" s="14"/>
      <c r="K478" s="39"/>
    </row>
    <row r="479">
      <c r="A479" s="31"/>
      <c r="B479" s="32"/>
      <c r="E479" s="32"/>
      <c r="F479" s="32"/>
      <c r="G479" s="32"/>
      <c r="H479" s="32"/>
      <c r="I479" s="14"/>
      <c r="K479" s="39"/>
    </row>
    <row r="480">
      <c r="A480" s="31"/>
      <c r="B480" s="32"/>
      <c r="E480" s="32"/>
      <c r="F480" s="32"/>
      <c r="G480" s="32"/>
      <c r="H480" s="32"/>
      <c r="I480" s="14"/>
      <c r="K480" s="39"/>
    </row>
    <row r="481">
      <c r="A481" s="31"/>
      <c r="B481" s="32"/>
      <c r="E481" s="32"/>
      <c r="F481" s="32"/>
      <c r="G481" s="32"/>
      <c r="H481" s="32"/>
      <c r="I481" s="14"/>
      <c r="K481" s="39"/>
    </row>
    <row r="482">
      <c r="A482" s="31"/>
      <c r="B482" s="32"/>
      <c r="E482" s="32"/>
      <c r="F482" s="32"/>
      <c r="G482" s="32"/>
      <c r="H482" s="32"/>
      <c r="I482" s="14"/>
      <c r="K482" s="39"/>
    </row>
    <row r="483">
      <c r="A483" s="31"/>
      <c r="B483" s="32"/>
      <c r="E483" s="32"/>
      <c r="F483" s="32"/>
      <c r="G483" s="32"/>
      <c r="H483" s="32"/>
      <c r="I483" s="14"/>
      <c r="K483" s="39"/>
    </row>
    <row r="484">
      <c r="A484" s="31"/>
      <c r="B484" s="32"/>
      <c r="E484" s="32"/>
      <c r="F484" s="32"/>
      <c r="G484" s="32"/>
      <c r="H484" s="32"/>
      <c r="I484" s="14"/>
      <c r="K484" s="39"/>
    </row>
    <row r="485">
      <c r="A485" s="31"/>
      <c r="B485" s="32"/>
      <c r="E485" s="32"/>
      <c r="F485" s="32"/>
      <c r="G485" s="32"/>
      <c r="H485" s="32"/>
      <c r="I485" s="14"/>
      <c r="K485" s="39"/>
    </row>
    <row r="486">
      <c r="A486" s="31"/>
      <c r="B486" s="32"/>
      <c r="E486" s="32"/>
      <c r="F486" s="32"/>
      <c r="G486" s="32"/>
      <c r="H486" s="32"/>
      <c r="I486" s="14"/>
      <c r="K486" s="39"/>
    </row>
    <row r="487">
      <c r="A487" s="31"/>
      <c r="B487" s="32"/>
      <c r="E487" s="32"/>
      <c r="F487" s="32"/>
      <c r="G487" s="32"/>
      <c r="H487" s="32"/>
      <c r="I487" s="14"/>
      <c r="K487" s="39"/>
    </row>
    <row r="488">
      <c r="A488" s="31"/>
      <c r="B488" s="32"/>
      <c r="E488" s="32"/>
      <c r="F488" s="32"/>
      <c r="G488" s="32"/>
      <c r="H488" s="32"/>
      <c r="I488" s="14"/>
      <c r="K488" s="39"/>
    </row>
    <row r="489">
      <c r="A489" s="31"/>
      <c r="B489" s="32"/>
      <c r="E489" s="32"/>
      <c r="F489" s="32"/>
      <c r="G489" s="32"/>
      <c r="H489" s="32"/>
      <c r="I489" s="14"/>
      <c r="K489" s="39"/>
    </row>
    <row r="490">
      <c r="A490" s="31"/>
      <c r="B490" s="32"/>
      <c r="E490" s="32"/>
      <c r="F490" s="32"/>
      <c r="G490" s="32"/>
      <c r="H490" s="32"/>
      <c r="I490" s="14"/>
      <c r="K490" s="39"/>
    </row>
    <row r="491">
      <c r="A491" s="31"/>
      <c r="B491" s="32"/>
      <c r="E491" s="32"/>
      <c r="F491" s="32"/>
      <c r="G491" s="32"/>
      <c r="H491" s="32"/>
      <c r="I491" s="14"/>
      <c r="K491" s="39"/>
    </row>
    <row r="492">
      <c r="A492" s="31"/>
      <c r="B492" s="32"/>
      <c r="E492" s="32"/>
      <c r="F492" s="32"/>
      <c r="G492" s="32"/>
      <c r="H492" s="32"/>
      <c r="I492" s="14"/>
      <c r="K492" s="39"/>
    </row>
    <row r="493">
      <c r="A493" s="31"/>
      <c r="B493" s="32"/>
      <c r="E493" s="32"/>
      <c r="F493" s="32"/>
      <c r="G493" s="32"/>
      <c r="H493" s="32"/>
      <c r="I493" s="14"/>
      <c r="K493" s="39"/>
    </row>
    <row r="494">
      <c r="A494" s="31"/>
      <c r="B494" s="32"/>
      <c r="E494" s="32"/>
      <c r="F494" s="32"/>
      <c r="G494" s="32"/>
      <c r="H494" s="32"/>
      <c r="I494" s="14"/>
      <c r="K494" s="39"/>
    </row>
    <row r="495">
      <c r="A495" s="31"/>
      <c r="B495" s="32"/>
      <c r="E495" s="32"/>
      <c r="F495" s="32"/>
      <c r="G495" s="32"/>
      <c r="H495" s="32"/>
      <c r="I495" s="14"/>
      <c r="K495" s="39"/>
    </row>
    <row r="496">
      <c r="A496" s="31"/>
      <c r="B496" s="32"/>
      <c r="E496" s="32"/>
      <c r="F496" s="32"/>
      <c r="G496" s="32"/>
      <c r="H496" s="32"/>
      <c r="I496" s="14"/>
      <c r="K496" s="39"/>
    </row>
    <row r="497">
      <c r="A497" s="31"/>
      <c r="B497" s="32"/>
      <c r="E497" s="32"/>
      <c r="F497" s="32"/>
      <c r="G497" s="32"/>
      <c r="H497" s="32"/>
      <c r="I497" s="14"/>
      <c r="K497" s="39"/>
    </row>
    <row r="498">
      <c r="A498" s="31"/>
      <c r="B498" s="32"/>
      <c r="E498" s="32"/>
      <c r="F498" s="32"/>
      <c r="G498" s="32"/>
      <c r="H498" s="32"/>
      <c r="I498" s="14"/>
      <c r="K498" s="39"/>
    </row>
    <row r="499">
      <c r="A499" s="31"/>
      <c r="B499" s="32"/>
      <c r="E499" s="32"/>
      <c r="F499" s="32"/>
      <c r="G499" s="32"/>
      <c r="H499" s="32"/>
      <c r="I499" s="14"/>
      <c r="K499" s="39"/>
    </row>
    <row r="500">
      <c r="A500" s="31"/>
      <c r="B500" s="32"/>
      <c r="E500" s="32"/>
      <c r="F500" s="32"/>
      <c r="G500" s="32"/>
      <c r="H500" s="32"/>
      <c r="I500" s="14"/>
      <c r="K500" s="39"/>
    </row>
    <row r="501">
      <c r="A501" s="31"/>
      <c r="B501" s="32"/>
      <c r="E501" s="32"/>
      <c r="F501" s="32"/>
      <c r="G501" s="32"/>
      <c r="H501" s="32"/>
      <c r="I501" s="14"/>
      <c r="K501" s="39"/>
    </row>
    <row r="502">
      <c r="A502" s="31"/>
      <c r="B502" s="32"/>
      <c r="E502" s="32"/>
      <c r="F502" s="32"/>
      <c r="G502" s="32"/>
      <c r="H502" s="32"/>
      <c r="I502" s="14"/>
      <c r="K502" s="39"/>
    </row>
    <row r="503">
      <c r="A503" s="31"/>
      <c r="B503" s="32"/>
      <c r="E503" s="32"/>
      <c r="F503" s="32"/>
      <c r="G503" s="32"/>
      <c r="H503" s="32"/>
      <c r="I503" s="14"/>
      <c r="K503" s="39"/>
    </row>
    <row r="504">
      <c r="A504" s="31"/>
      <c r="B504" s="32"/>
      <c r="E504" s="32"/>
      <c r="F504" s="32"/>
      <c r="G504" s="32"/>
      <c r="H504" s="32"/>
      <c r="I504" s="14"/>
      <c r="K504" s="39"/>
    </row>
    <row r="505">
      <c r="A505" s="31"/>
      <c r="B505" s="32"/>
      <c r="E505" s="32"/>
      <c r="F505" s="32"/>
      <c r="G505" s="32"/>
      <c r="H505" s="32"/>
      <c r="I505" s="14"/>
      <c r="K505" s="39"/>
    </row>
    <row r="506">
      <c r="A506" s="31"/>
      <c r="B506" s="32"/>
      <c r="E506" s="32"/>
      <c r="F506" s="32"/>
      <c r="G506" s="32"/>
      <c r="H506" s="32"/>
      <c r="I506" s="14"/>
      <c r="K506" s="39"/>
    </row>
    <row r="507">
      <c r="A507" s="31"/>
      <c r="B507" s="32"/>
      <c r="E507" s="32"/>
      <c r="F507" s="32"/>
      <c r="G507" s="32"/>
      <c r="H507" s="32"/>
      <c r="I507" s="14"/>
      <c r="K507" s="39"/>
    </row>
    <row r="508">
      <c r="A508" s="31"/>
      <c r="B508" s="32"/>
      <c r="E508" s="32"/>
      <c r="F508" s="32"/>
      <c r="G508" s="32"/>
      <c r="H508" s="32"/>
      <c r="I508" s="14"/>
      <c r="K508" s="39"/>
    </row>
    <row r="509">
      <c r="A509" s="31"/>
      <c r="B509" s="32"/>
      <c r="E509" s="32"/>
      <c r="F509" s="32"/>
      <c r="G509" s="32"/>
      <c r="H509" s="32"/>
      <c r="I509" s="14"/>
      <c r="K509" s="39"/>
    </row>
    <row r="510">
      <c r="A510" s="31"/>
      <c r="B510" s="32"/>
      <c r="E510" s="32"/>
      <c r="F510" s="32"/>
      <c r="G510" s="32"/>
      <c r="H510" s="32"/>
      <c r="I510" s="14"/>
      <c r="K510" s="39"/>
    </row>
    <row r="511">
      <c r="A511" s="31"/>
      <c r="B511" s="32"/>
      <c r="E511" s="32"/>
      <c r="F511" s="32"/>
      <c r="G511" s="32"/>
      <c r="H511" s="32"/>
      <c r="I511" s="14"/>
      <c r="K511" s="39"/>
    </row>
    <row r="512">
      <c r="A512" s="31"/>
      <c r="B512" s="32"/>
      <c r="E512" s="32"/>
      <c r="F512" s="32"/>
      <c r="G512" s="32"/>
      <c r="H512" s="32"/>
      <c r="I512" s="14"/>
      <c r="K512" s="39"/>
    </row>
    <row r="513">
      <c r="A513" s="31"/>
      <c r="B513" s="32"/>
      <c r="E513" s="32"/>
      <c r="F513" s="32"/>
      <c r="G513" s="32"/>
      <c r="H513" s="32"/>
      <c r="I513" s="14"/>
      <c r="K513" s="39"/>
    </row>
    <row r="514">
      <c r="A514" s="31"/>
      <c r="B514" s="32"/>
      <c r="E514" s="32"/>
      <c r="F514" s="32"/>
      <c r="G514" s="32"/>
      <c r="H514" s="32"/>
      <c r="I514" s="14"/>
      <c r="K514" s="39"/>
    </row>
    <row r="515">
      <c r="A515" s="31"/>
      <c r="B515" s="32"/>
      <c r="E515" s="32"/>
      <c r="F515" s="32"/>
      <c r="G515" s="32"/>
      <c r="H515" s="32"/>
      <c r="I515" s="14"/>
      <c r="K515" s="39"/>
    </row>
    <row r="516">
      <c r="A516" s="31"/>
      <c r="B516" s="32"/>
      <c r="E516" s="32"/>
      <c r="F516" s="32"/>
      <c r="G516" s="32"/>
      <c r="H516" s="32"/>
      <c r="I516" s="14"/>
      <c r="K516" s="39"/>
    </row>
    <row r="517">
      <c r="A517" s="31"/>
      <c r="B517" s="32"/>
      <c r="E517" s="32"/>
      <c r="F517" s="32"/>
      <c r="G517" s="32"/>
      <c r="H517" s="32"/>
      <c r="I517" s="14"/>
      <c r="K517" s="39"/>
    </row>
    <row r="518">
      <c r="A518" s="31"/>
      <c r="B518" s="32"/>
      <c r="E518" s="32"/>
      <c r="F518" s="32"/>
      <c r="G518" s="32"/>
      <c r="H518" s="32"/>
      <c r="I518" s="14"/>
      <c r="K518" s="39"/>
    </row>
    <row r="519">
      <c r="A519" s="31"/>
      <c r="B519" s="32"/>
      <c r="E519" s="32"/>
      <c r="F519" s="32"/>
      <c r="G519" s="32"/>
      <c r="H519" s="32"/>
      <c r="I519" s="14"/>
      <c r="K519" s="39"/>
    </row>
    <row r="520">
      <c r="A520" s="31"/>
      <c r="B520" s="32"/>
      <c r="E520" s="32"/>
      <c r="F520" s="32"/>
      <c r="G520" s="32"/>
      <c r="H520" s="32"/>
      <c r="I520" s="14"/>
      <c r="K520" s="39"/>
    </row>
    <row r="521">
      <c r="A521" s="31"/>
      <c r="B521" s="32"/>
      <c r="E521" s="32"/>
      <c r="F521" s="32"/>
      <c r="G521" s="32"/>
      <c r="H521" s="32"/>
      <c r="I521" s="14"/>
      <c r="K521" s="39"/>
    </row>
    <row r="522">
      <c r="A522" s="31"/>
      <c r="B522" s="32"/>
      <c r="E522" s="32"/>
      <c r="F522" s="32"/>
      <c r="G522" s="32"/>
      <c r="H522" s="32"/>
      <c r="I522" s="14"/>
      <c r="K522" s="39"/>
    </row>
    <row r="523">
      <c r="A523" s="31"/>
      <c r="B523" s="32"/>
      <c r="E523" s="32"/>
      <c r="F523" s="32"/>
      <c r="G523" s="32"/>
      <c r="H523" s="32"/>
      <c r="I523" s="14"/>
      <c r="K523" s="39"/>
    </row>
    <row r="524">
      <c r="A524" s="31"/>
      <c r="B524" s="32"/>
      <c r="E524" s="32"/>
      <c r="F524" s="32"/>
      <c r="G524" s="32"/>
      <c r="H524" s="32"/>
      <c r="I524" s="14"/>
      <c r="K524" s="39"/>
    </row>
    <row r="525">
      <c r="A525" s="31"/>
      <c r="B525" s="32"/>
      <c r="E525" s="32"/>
      <c r="F525" s="32"/>
      <c r="G525" s="32"/>
      <c r="H525" s="32"/>
      <c r="I525" s="14"/>
      <c r="K525" s="39"/>
    </row>
    <row r="526">
      <c r="A526" s="31"/>
      <c r="B526" s="32"/>
      <c r="E526" s="32"/>
      <c r="F526" s="32"/>
      <c r="G526" s="32"/>
      <c r="H526" s="32"/>
      <c r="I526" s="14"/>
      <c r="K526" s="39"/>
    </row>
    <row r="527">
      <c r="A527" s="31"/>
      <c r="B527" s="32"/>
      <c r="E527" s="32"/>
      <c r="F527" s="32"/>
      <c r="G527" s="32"/>
      <c r="H527" s="32"/>
      <c r="I527" s="14"/>
      <c r="K527" s="39"/>
    </row>
    <row r="528">
      <c r="A528" s="31"/>
      <c r="B528" s="32"/>
      <c r="E528" s="32"/>
      <c r="F528" s="32"/>
      <c r="G528" s="32"/>
      <c r="H528" s="32"/>
      <c r="I528" s="14"/>
      <c r="K528" s="39"/>
    </row>
    <row r="529">
      <c r="A529" s="31"/>
      <c r="B529" s="32"/>
      <c r="E529" s="32"/>
      <c r="F529" s="32"/>
      <c r="G529" s="32"/>
      <c r="H529" s="32"/>
      <c r="I529" s="14"/>
      <c r="K529" s="39"/>
    </row>
    <row r="530">
      <c r="A530" s="31"/>
      <c r="B530" s="32"/>
      <c r="E530" s="32"/>
      <c r="F530" s="32"/>
      <c r="G530" s="32"/>
      <c r="H530" s="32"/>
      <c r="I530" s="14"/>
      <c r="K530" s="39"/>
    </row>
    <row r="531">
      <c r="A531" s="31"/>
      <c r="B531" s="32"/>
      <c r="E531" s="32"/>
      <c r="F531" s="32"/>
      <c r="G531" s="32"/>
      <c r="H531" s="32"/>
      <c r="I531" s="14"/>
      <c r="K531" s="39"/>
    </row>
    <row r="532">
      <c r="A532" s="31"/>
      <c r="B532" s="32"/>
      <c r="E532" s="32"/>
      <c r="F532" s="32"/>
      <c r="G532" s="32"/>
      <c r="H532" s="32"/>
      <c r="I532" s="14"/>
      <c r="K532" s="39"/>
    </row>
    <row r="533">
      <c r="A533" s="31"/>
      <c r="B533" s="32"/>
      <c r="E533" s="32"/>
      <c r="F533" s="32"/>
      <c r="G533" s="32"/>
      <c r="H533" s="32"/>
      <c r="I533" s="14"/>
      <c r="K533" s="39"/>
    </row>
    <row r="534">
      <c r="A534" s="31"/>
      <c r="B534" s="32"/>
      <c r="E534" s="32"/>
      <c r="F534" s="32"/>
      <c r="G534" s="32"/>
      <c r="H534" s="32"/>
      <c r="I534" s="14"/>
      <c r="K534" s="39"/>
    </row>
    <row r="535">
      <c r="A535" s="31"/>
      <c r="B535" s="32"/>
      <c r="E535" s="32"/>
      <c r="F535" s="32"/>
      <c r="G535" s="32"/>
      <c r="H535" s="32"/>
      <c r="I535" s="14"/>
      <c r="K535" s="39"/>
    </row>
    <row r="536">
      <c r="A536" s="31"/>
      <c r="B536" s="32"/>
      <c r="E536" s="32"/>
      <c r="F536" s="32"/>
      <c r="G536" s="32"/>
      <c r="H536" s="32"/>
      <c r="I536" s="14"/>
      <c r="K536" s="39"/>
    </row>
    <row r="537">
      <c r="A537" s="31"/>
      <c r="B537" s="32"/>
      <c r="E537" s="32"/>
      <c r="F537" s="32"/>
      <c r="G537" s="32"/>
      <c r="H537" s="32"/>
      <c r="I537" s="14"/>
      <c r="K537" s="39"/>
    </row>
    <row r="538">
      <c r="A538" s="31"/>
      <c r="B538" s="32"/>
      <c r="E538" s="32"/>
      <c r="F538" s="32"/>
      <c r="G538" s="32"/>
      <c r="H538" s="32"/>
      <c r="I538" s="14"/>
      <c r="K538" s="39"/>
    </row>
    <row r="539">
      <c r="A539" s="31"/>
      <c r="B539" s="32"/>
      <c r="E539" s="32"/>
      <c r="F539" s="32"/>
      <c r="G539" s="32"/>
      <c r="H539" s="32"/>
      <c r="I539" s="14"/>
      <c r="K539" s="39"/>
    </row>
    <row r="540">
      <c r="A540" s="31"/>
      <c r="B540" s="32"/>
      <c r="E540" s="32"/>
      <c r="F540" s="32"/>
      <c r="G540" s="32"/>
      <c r="H540" s="32"/>
      <c r="I540" s="14"/>
      <c r="K540" s="39"/>
    </row>
    <row r="541">
      <c r="A541" s="31"/>
      <c r="B541" s="32"/>
      <c r="E541" s="32"/>
      <c r="F541" s="32"/>
      <c r="G541" s="32"/>
      <c r="H541" s="32"/>
      <c r="I541" s="14"/>
      <c r="K541" s="39"/>
    </row>
    <row r="542">
      <c r="A542" s="31"/>
      <c r="B542" s="32"/>
      <c r="E542" s="32"/>
      <c r="F542" s="32"/>
      <c r="G542" s="32"/>
      <c r="H542" s="32"/>
      <c r="I542" s="14"/>
      <c r="K542" s="39"/>
    </row>
    <row r="543">
      <c r="A543" s="31"/>
      <c r="B543" s="32"/>
      <c r="E543" s="32"/>
      <c r="F543" s="32"/>
      <c r="G543" s="32"/>
      <c r="H543" s="32"/>
      <c r="I543" s="14"/>
      <c r="K543" s="39"/>
    </row>
    <row r="544">
      <c r="A544" s="31"/>
      <c r="B544" s="32"/>
      <c r="E544" s="32"/>
      <c r="F544" s="32"/>
      <c r="G544" s="32"/>
      <c r="H544" s="32"/>
      <c r="I544" s="14"/>
      <c r="K544" s="39"/>
    </row>
    <row r="545">
      <c r="A545" s="31"/>
      <c r="B545" s="32"/>
      <c r="E545" s="32"/>
      <c r="F545" s="32"/>
      <c r="G545" s="32"/>
      <c r="H545" s="32"/>
      <c r="I545" s="14"/>
      <c r="K545" s="39"/>
    </row>
    <row r="546">
      <c r="A546" s="31"/>
      <c r="B546" s="32"/>
      <c r="E546" s="32"/>
      <c r="F546" s="32"/>
      <c r="G546" s="32"/>
      <c r="H546" s="32"/>
      <c r="I546" s="14"/>
      <c r="K546" s="39"/>
    </row>
    <row r="547">
      <c r="A547" s="31"/>
      <c r="B547" s="32"/>
      <c r="E547" s="32"/>
      <c r="F547" s="32"/>
      <c r="G547" s="32"/>
      <c r="H547" s="32"/>
      <c r="I547" s="14"/>
      <c r="K547" s="39"/>
    </row>
    <row r="548">
      <c r="A548" s="31"/>
      <c r="B548" s="32"/>
      <c r="E548" s="32"/>
      <c r="F548" s="32"/>
      <c r="G548" s="32"/>
      <c r="H548" s="32"/>
      <c r="I548" s="14"/>
      <c r="K548" s="39"/>
    </row>
    <row r="549">
      <c r="A549" s="31"/>
      <c r="B549" s="32"/>
      <c r="E549" s="32"/>
      <c r="F549" s="32"/>
      <c r="G549" s="32"/>
      <c r="H549" s="32"/>
      <c r="I549" s="14"/>
      <c r="K549" s="39"/>
    </row>
    <row r="550">
      <c r="A550" s="31"/>
      <c r="B550" s="32"/>
      <c r="E550" s="32"/>
      <c r="F550" s="32"/>
      <c r="G550" s="32"/>
      <c r="H550" s="32"/>
      <c r="I550" s="14"/>
      <c r="K550" s="39"/>
    </row>
    <row r="551">
      <c r="A551" s="31"/>
      <c r="B551" s="32"/>
      <c r="E551" s="32"/>
      <c r="F551" s="32"/>
      <c r="G551" s="32"/>
      <c r="H551" s="32"/>
      <c r="I551" s="14"/>
      <c r="K551" s="39"/>
    </row>
    <row r="552">
      <c r="A552" s="31"/>
      <c r="B552" s="32"/>
      <c r="E552" s="32"/>
      <c r="F552" s="32"/>
      <c r="G552" s="32"/>
      <c r="H552" s="32"/>
      <c r="I552" s="14"/>
      <c r="K552" s="39"/>
    </row>
    <row r="553">
      <c r="A553" s="31"/>
      <c r="B553" s="32"/>
      <c r="E553" s="32"/>
      <c r="F553" s="32"/>
      <c r="G553" s="32"/>
      <c r="H553" s="32"/>
      <c r="I553" s="14"/>
      <c r="K553" s="39"/>
    </row>
    <row r="554">
      <c r="A554" s="31"/>
      <c r="B554" s="32"/>
      <c r="E554" s="32"/>
      <c r="F554" s="32"/>
      <c r="G554" s="32"/>
      <c r="H554" s="32"/>
      <c r="I554" s="14"/>
      <c r="K554" s="39"/>
    </row>
    <row r="555">
      <c r="A555" s="31"/>
      <c r="B555" s="32"/>
      <c r="E555" s="32"/>
      <c r="F555" s="32"/>
      <c r="G555" s="32"/>
      <c r="H555" s="32"/>
      <c r="I555" s="14"/>
      <c r="K555" s="39"/>
    </row>
    <row r="556">
      <c r="A556" s="31"/>
      <c r="B556" s="32"/>
      <c r="E556" s="32"/>
      <c r="F556" s="32"/>
      <c r="G556" s="32"/>
      <c r="H556" s="32"/>
      <c r="I556" s="14"/>
      <c r="K556" s="39"/>
    </row>
    <row r="557">
      <c r="A557" s="31"/>
      <c r="B557" s="32"/>
      <c r="E557" s="32"/>
      <c r="F557" s="32"/>
      <c r="G557" s="32"/>
      <c r="H557" s="32"/>
      <c r="I557" s="14"/>
      <c r="K557" s="39"/>
    </row>
    <row r="558">
      <c r="A558" s="31"/>
      <c r="B558" s="32"/>
      <c r="E558" s="32"/>
      <c r="F558" s="32"/>
      <c r="G558" s="32"/>
      <c r="H558" s="32"/>
      <c r="I558" s="14"/>
      <c r="K558" s="39"/>
    </row>
    <row r="559">
      <c r="A559" s="31"/>
      <c r="B559" s="32"/>
      <c r="E559" s="32"/>
      <c r="F559" s="32"/>
      <c r="G559" s="32"/>
      <c r="H559" s="32"/>
      <c r="I559" s="14"/>
      <c r="K559" s="39"/>
    </row>
    <row r="560">
      <c r="A560" s="31"/>
      <c r="B560" s="32"/>
      <c r="E560" s="32"/>
      <c r="F560" s="32"/>
      <c r="G560" s="32"/>
      <c r="H560" s="32"/>
      <c r="I560" s="14"/>
      <c r="K560" s="39"/>
    </row>
    <row r="561">
      <c r="A561" s="31"/>
      <c r="B561" s="32"/>
      <c r="E561" s="32"/>
      <c r="F561" s="32"/>
      <c r="G561" s="32"/>
      <c r="H561" s="32"/>
      <c r="I561" s="14"/>
      <c r="K561" s="39"/>
    </row>
    <row r="562">
      <c r="A562" s="31"/>
      <c r="B562" s="32"/>
      <c r="E562" s="32"/>
      <c r="F562" s="32"/>
      <c r="G562" s="32"/>
      <c r="H562" s="32"/>
      <c r="I562" s="14"/>
      <c r="K562" s="39"/>
    </row>
    <row r="563">
      <c r="A563" s="31"/>
      <c r="B563" s="32"/>
      <c r="E563" s="32"/>
      <c r="F563" s="32"/>
      <c r="G563" s="32"/>
      <c r="H563" s="32"/>
      <c r="I563" s="14"/>
      <c r="K563" s="39"/>
    </row>
    <row r="564">
      <c r="A564" s="31"/>
      <c r="B564" s="32"/>
      <c r="E564" s="32"/>
      <c r="F564" s="32"/>
      <c r="G564" s="32"/>
      <c r="H564" s="32"/>
      <c r="I564" s="14"/>
      <c r="K564" s="39"/>
    </row>
    <row r="565">
      <c r="A565" s="31"/>
      <c r="B565" s="32"/>
      <c r="E565" s="32"/>
      <c r="F565" s="32"/>
      <c r="G565" s="32"/>
      <c r="H565" s="32"/>
      <c r="I565" s="14"/>
      <c r="K565" s="39"/>
    </row>
    <row r="566">
      <c r="A566" s="31"/>
      <c r="B566" s="32"/>
      <c r="E566" s="32"/>
      <c r="F566" s="32"/>
      <c r="G566" s="32"/>
      <c r="H566" s="32"/>
      <c r="I566" s="14"/>
      <c r="K566" s="39"/>
    </row>
    <row r="567">
      <c r="A567" s="31"/>
      <c r="B567" s="32"/>
      <c r="E567" s="32"/>
      <c r="F567" s="32"/>
      <c r="G567" s="32"/>
      <c r="H567" s="32"/>
      <c r="I567" s="14"/>
      <c r="K567" s="39"/>
    </row>
    <row r="568">
      <c r="A568" s="31"/>
      <c r="B568" s="32"/>
      <c r="E568" s="32"/>
      <c r="F568" s="32"/>
      <c r="G568" s="32"/>
      <c r="H568" s="32"/>
      <c r="I568" s="14"/>
      <c r="K568" s="39"/>
    </row>
    <row r="569">
      <c r="A569" s="31"/>
      <c r="B569" s="32"/>
      <c r="E569" s="32"/>
      <c r="F569" s="32"/>
      <c r="G569" s="32"/>
      <c r="H569" s="32"/>
      <c r="I569" s="14"/>
      <c r="K569" s="39"/>
    </row>
    <row r="570">
      <c r="A570" s="31"/>
      <c r="B570" s="32"/>
      <c r="E570" s="32"/>
      <c r="F570" s="32"/>
      <c r="G570" s="32"/>
      <c r="H570" s="32"/>
      <c r="I570" s="14"/>
      <c r="K570" s="39"/>
    </row>
    <row r="571">
      <c r="A571" s="31"/>
      <c r="B571" s="32"/>
      <c r="E571" s="32"/>
      <c r="F571" s="32"/>
      <c r="G571" s="32"/>
      <c r="H571" s="32"/>
      <c r="I571" s="14"/>
      <c r="K571" s="39"/>
    </row>
    <row r="572">
      <c r="A572" s="31"/>
      <c r="B572" s="32"/>
      <c r="E572" s="32"/>
      <c r="F572" s="32"/>
      <c r="G572" s="32"/>
      <c r="H572" s="32"/>
      <c r="I572" s="14"/>
      <c r="K572" s="39"/>
    </row>
    <row r="573">
      <c r="A573" s="31"/>
      <c r="B573" s="32"/>
      <c r="E573" s="32"/>
      <c r="F573" s="32"/>
      <c r="G573" s="32"/>
      <c r="H573" s="32"/>
      <c r="I573" s="14"/>
      <c r="K573" s="39"/>
    </row>
    <row r="574">
      <c r="A574" s="31"/>
      <c r="B574" s="32"/>
      <c r="E574" s="32"/>
      <c r="F574" s="32"/>
      <c r="G574" s="32"/>
      <c r="H574" s="32"/>
      <c r="I574" s="14"/>
      <c r="K574" s="39"/>
    </row>
    <row r="575">
      <c r="A575" s="31"/>
      <c r="B575" s="32"/>
      <c r="E575" s="32"/>
      <c r="F575" s="32"/>
      <c r="G575" s="32"/>
      <c r="H575" s="32"/>
      <c r="I575" s="14"/>
      <c r="K575" s="39"/>
    </row>
    <row r="576">
      <c r="A576" s="31"/>
      <c r="B576" s="32"/>
      <c r="E576" s="32"/>
      <c r="F576" s="32"/>
      <c r="G576" s="32"/>
      <c r="H576" s="32"/>
      <c r="I576" s="14"/>
      <c r="K576" s="39"/>
    </row>
    <row r="577">
      <c r="A577" s="31"/>
      <c r="B577" s="32"/>
      <c r="E577" s="32"/>
      <c r="F577" s="32"/>
      <c r="G577" s="32"/>
      <c r="H577" s="32"/>
      <c r="I577" s="14"/>
      <c r="K577" s="39"/>
    </row>
    <row r="578">
      <c r="A578" s="31"/>
      <c r="B578" s="32"/>
      <c r="E578" s="32"/>
      <c r="F578" s="32"/>
      <c r="G578" s="32"/>
      <c r="H578" s="32"/>
      <c r="I578" s="14"/>
      <c r="K578" s="39"/>
    </row>
    <row r="579">
      <c r="A579" s="31"/>
      <c r="B579" s="32"/>
      <c r="E579" s="32"/>
      <c r="F579" s="32"/>
      <c r="G579" s="32"/>
      <c r="H579" s="32"/>
      <c r="I579" s="14"/>
      <c r="K579" s="39"/>
    </row>
    <row r="580">
      <c r="A580" s="31"/>
      <c r="B580" s="32"/>
      <c r="E580" s="32"/>
      <c r="F580" s="32"/>
      <c r="G580" s="32"/>
      <c r="H580" s="32"/>
      <c r="I580" s="14"/>
      <c r="K580" s="39"/>
    </row>
    <row r="581">
      <c r="A581" s="31"/>
      <c r="B581" s="32"/>
      <c r="E581" s="32"/>
      <c r="F581" s="32"/>
      <c r="G581" s="32"/>
      <c r="H581" s="32"/>
      <c r="I581" s="14"/>
      <c r="K581" s="39"/>
    </row>
    <row r="582">
      <c r="A582" s="31"/>
      <c r="B582" s="32"/>
      <c r="E582" s="32"/>
      <c r="F582" s="32"/>
      <c r="G582" s="32"/>
      <c r="H582" s="32"/>
      <c r="I582" s="14"/>
      <c r="K582" s="39"/>
    </row>
    <row r="583">
      <c r="A583" s="31"/>
      <c r="B583" s="32"/>
      <c r="E583" s="32"/>
      <c r="F583" s="32"/>
      <c r="G583" s="32"/>
      <c r="H583" s="32"/>
      <c r="I583" s="14"/>
      <c r="K583" s="39"/>
    </row>
    <row r="584">
      <c r="A584" s="31"/>
      <c r="B584" s="32"/>
      <c r="E584" s="32"/>
      <c r="F584" s="32"/>
      <c r="G584" s="32"/>
      <c r="H584" s="32"/>
      <c r="I584" s="14"/>
      <c r="K584" s="39"/>
    </row>
    <row r="585">
      <c r="A585" s="31"/>
      <c r="B585" s="32"/>
      <c r="E585" s="32"/>
      <c r="F585" s="32"/>
      <c r="G585" s="32"/>
      <c r="H585" s="32"/>
      <c r="I585" s="14"/>
      <c r="K585" s="39"/>
    </row>
    <row r="586">
      <c r="A586" s="31"/>
      <c r="B586" s="32"/>
      <c r="E586" s="32"/>
      <c r="F586" s="32"/>
      <c r="G586" s="32"/>
      <c r="H586" s="32"/>
      <c r="I586" s="14"/>
      <c r="K586" s="39"/>
    </row>
    <row r="587">
      <c r="A587" s="31"/>
      <c r="B587" s="32"/>
      <c r="E587" s="32"/>
      <c r="F587" s="32"/>
      <c r="G587" s="32"/>
      <c r="H587" s="32"/>
      <c r="I587" s="14"/>
      <c r="K587" s="39"/>
    </row>
    <row r="588">
      <c r="A588" s="31"/>
      <c r="B588" s="32"/>
      <c r="E588" s="32"/>
      <c r="F588" s="32"/>
      <c r="G588" s="32"/>
      <c r="H588" s="32"/>
      <c r="I588" s="14"/>
      <c r="K588" s="39"/>
    </row>
    <row r="589">
      <c r="A589" s="31"/>
      <c r="B589" s="32"/>
      <c r="E589" s="32"/>
      <c r="F589" s="32"/>
      <c r="G589" s="32"/>
      <c r="H589" s="32"/>
      <c r="I589" s="14"/>
      <c r="K589" s="39"/>
    </row>
    <row r="590">
      <c r="A590" s="31"/>
      <c r="B590" s="32"/>
      <c r="E590" s="32"/>
      <c r="F590" s="32"/>
      <c r="G590" s="32"/>
      <c r="H590" s="32"/>
      <c r="I590" s="14"/>
      <c r="K590" s="39"/>
    </row>
    <row r="591">
      <c r="A591" s="31"/>
      <c r="B591" s="32"/>
      <c r="E591" s="32"/>
      <c r="F591" s="32"/>
      <c r="G591" s="32"/>
      <c r="H591" s="32"/>
      <c r="I591" s="14"/>
      <c r="K591" s="39"/>
    </row>
    <row r="592">
      <c r="A592" s="31"/>
      <c r="B592" s="32"/>
      <c r="E592" s="32"/>
      <c r="F592" s="32"/>
      <c r="G592" s="32"/>
      <c r="H592" s="32"/>
      <c r="I592" s="14"/>
      <c r="K592" s="39"/>
    </row>
    <row r="593">
      <c r="A593" s="31"/>
      <c r="B593" s="32"/>
      <c r="E593" s="32"/>
      <c r="F593" s="32"/>
      <c r="G593" s="32"/>
      <c r="H593" s="32"/>
      <c r="I593" s="14"/>
      <c r="K593" s="39"/>
    </row>
    <row r="594">
      <c r="A594" s="31"/>
      <c r="B594" s="32"/>
      <c r="E594" s="32"/>
      <c r="F594" s="32"/>
      <c r="G594" s="32"/>
      <c r="H594" s="32"/>
      <c r="I594" s="14"/>
      <c r="K594" s="39"/>
    </row>
    <row r="595">
      <c r="A595" s="31"/>
      <c r="B595" s="32"/>
      <c r="E595" s="32"/>
      <c r="F595" s="32"/>
      <c r="G595" s="32"/>
      <c r="H595" s="32"/>
      <c r="I595" s="14"/>
      <c r="K595" s="39"/>
    </row>
    <row r="596">
      <c r="A596" s="31"/>
      <c r="B596" s="32"/>
      <c r="E596" s="32"/>
      <c r="F596" s="32"/>
      <c r="G596" s="32"/>
      <c r="H596" s="32"/>
      <c r="I596" s="14"/>
      <c r="K596" s="39"/>
    </row>
    <row r="597">
      <c r="A597" s="31"/>
      <c r="B597" s="32"/>
      <c r="E597" s="32"/>
      <c r="F597" s="32"/>
      <c r="G597" s="32"/>
      <c r="H597" s="32"/>
      <c r="I597" s="14"/>
      <c r="K597" s="39"/>
    </row>
    <row r="598">
      <c r="A598" s="31"/>
      <c r="B598" s="32"/>
      <c r="E598" s="32"/>
      <c r="F598" s="32"/>
      <c r="G598" s="32"/>
      <c r="H598" s="32"/>
      <c r="I598" s="14"/>
      <c r="K598" s="39"/>
    </row>
    <row r="599">
      <c r="A599" s="31"/>
      <c r="B599" s="32"/>
      <c r="E599" s="32"/>
      <c r="F599" s="32"/>
      <c r="G599" s="32"/>
      <c r="H599" s="32"/>
      <c r="I599" s="14"/>
      <c r="K599" s="39"/>
    </row>
    <row r="600">
      <c r="A600" s="31"/>
      <c r="B600" s="32"/>
      <c r="E600" s="32"/>
      <c r="F600" s="32"/>
      <c r="G600" s="32"/>
      <c r="H600" s="32"/>
      <c r="I600" s="14"/>
      <c r="K600" s="39"/>
    </row>
    <row r="601">
      <c r="A601" s="31"/>
      <c r="B601" s="32"/>
      <c r="E601" s="32"/>
      <c r="F601" s="32"/>
      <c r="G601" s="32"/>
      <c r="H601" s="32"/>
      <c r="I601" s="14"/>
      <c r="K601" s="39"/>
    </row>
    <row r="602">
      <c r="A602" s="31"/>
      <c r="B602" s="32"/>
      <c r="E602" s="32"/>
      <c r="F602" s="32"/>
      <c r="G602" s="32"/>
      <c r="H602" s="32"/>
      <c r="I602" s="14"/>
      <c r="K602" s="39"/>
    </row>
    <row r="603">
      <c r="A603" s="31"/>
      <c r="B603" s="32"/>
      <c r="E603" s="32"/>
      <c r="F603" s="32"/>
      <c r="G603" s="32"/>
      <c r="H603" s="32"/>
      <c r="I603" s="14"/>
      <c r="K603" s="39"/>
    </row>
    <row r="604">
      <c r="A604" s="31"/>
      <c r="B604" s="32"/>
      <c r="E604" s="32"/>
      <c r="F604" s="32"/>
      <c r="G604" s="32"/>
      <c r="H604" s="32"/>
      <c r="I604" s="14"/>
      <c r="K604" s="39"/>
    </row>
    <row r="605">
      <c r="A605" s="31"/>
      <c r="B605" s="32"/>
      <c r="E605" s="32"/>
      <c r="F605" s="32"/>
      <c r="G605" s="32"/>
      <c r="H605" s="32"/>
      <c r="I605" s="14"/>
      <c r="K605" s="39"/>
    </row>
    <row r="606">
      <c r="A606" s="31"/>
      <c r="B606" s="32"/>
      <c r="E606" s="32"/>
      <c r="F606" s="32"/>
      <c r="G606" s="32"/>
      <c r="H606" s="32"/>
      <c r="I606" s="14"/>
      <c r="K606" s="39"/>
    </row>
    <row r="607">
      <c r="A607" s="31"/>
      <c r="B607" s="32"/>
      <c r="E607" s="32"/>
      <c r="F607" s="32"/>
      <c r="G607" s="32"/>
      <c r="H607" s="32"/>
      <c r="I607" s="14"/>
      <c r="K607" s="39"/>
    </row>
    <row r="608">
      <c r="A608" s="31"/>
      <c r="B608" s="32"/>
      <c r="E608" s="32"/>
      <c r="F608" s="32"/>
      <c r="G608" s="32"/>
      <c r="H608" s="32"/>
      <c r="I608" s="14"/>
      <c r="K608" s="39"/>
    </row>
    <row r="609">
      <c r="A609" s="31"/>
      <c r="B609" s="32"/>
      <c r="E609" s="32"/>
      <c r="F609" s="32"/>
      <c r="G609" s="32"/>
      <c r="H609" s="32"/>
      <c r="I609" s="14"/>
      <c r="K609" s="39"/>
    </row>
    <row r="610">
      <c r="A610" s="31"/>
      <c r="B610" s="32"/>
      <c r="E610" s="32"/>
      <c r="F610" s="32"/>
      <c r="G610" s="32"/>
      <c r="H610" s="32"/>
      <c r="I610" s="14"/>
      <c r="K610" s="39"/>
    </row>
    <row r="611">
      <c r="A611" s="31"/>
      <c r="B611" s="32"/>
      <c r="E611" s="32"/>
      <c r="F611" s="32"/>
      <c r="G611" s="32"/>
      <c r="H611" s="32"/>
      <c r="I611" s="14"/>
      <c r="K611" s="39"/>
    </row>
    <row r="612">
      <c r="A612" s="31"/>
      <c r="B612" s="32"/>
      <c r="E612" s="32"/>
      <c r="F612" s="32"/>
      <c r="G612" s="32"/>
      <c r="H612" s="32"/>
      <c r="I612" s="14"/>
      <c r="K612" s="39"/>
    </row>
    <row r="613">
      <c r="A613" s="31"/>
      <c r="B613" s="32"/>
      <c r="E613" s="32"/>
      <c r="F613" s="32"/>
      <c r="G613" s="32"/>
      <c r="H613" s="32"/>
      <c r="I613" s="14"/>
      <c r="K613" s="39"/>
    </row>
    <row r="614">
      <c r="A614" s="31"/>
      <c r="B614" s="32"/>
      <c r="E614" s="32"/>
      <c r="F614" s="32"/>
      <c r="G614" s="32"/>
      <c r="H614" s="32"/>
      <c r="I614" s="14"/>
      <c r="K614" s="39"/>
    </row>
    <row r="615">
      <c r="A615" s="31"/>
      <c r="B615" s="32"/>
      <c r="E615" s="32"/>
      <c r="F615" s="32"/>
      <c r="G615" s="32"/>
      <c r="H615" s="32"/>
      <c r="I615" s="14"/>
      <c r="K615" s="39"/>
    </row>
    <row r="616">
      <c r="A616" s="31"/>
      <c r="B616" s="32"/>
      <c r="E616" s="32"/>
      <c r="F616" s="32"/>
      <c r="G616" s="32"/>
      <c r="H616" s="32"/>
      <c r="I616" s="14"/>
      <c r="K616" s="39"/>
    </row>
    <row r="617">
      <c r="A617" s="31"/>
      <c r="B617" s="32"/>
      <c r="E617" s="32"/>
      <c r="F617" s="32"/>
      <c r="G617" s="32"/>
      <c r="H617" s="32"/>
      <c r="I617" s="14"/>
      <c r="K617" s="39"/>
    </row>
    <row r="618">
      <c r="A618" s="31"/>
      <c r="B618" s="32"/>
      <c r="E618" s="32"/>
      <c r="F618" s="32"/>
      <c r="G618" s="32"/>
      <c r="H618" s="32"/>
      <c r="I618" s="14"/>
      <c r="K618" s="39"/>
    </row>
    <row r="619">
      <c r="A619" s="31"/>
      <c r="B619" s="32"/>
      <c r="E619" s="32"/>
      <c r="F619" s="32"/>
      <c r="G619" s="32"/>
      <c r="H619" s="32"/>
      <c r="I619" s="14"/>
      <c r="K619" s="39"/>
    </row>
    <row r="620">
      <c r="A620" s="31"/>
      <c r="B620" s="32"/>
      <c r="E620" s="32"/>
      <c r="F620" s="32"/>
      <c r="G620" s="32"/>
      <c r="H620" s="32"/>
      <c r="I620" s="14"/>
      <c r="K620" s="39"/>
    </row>
    <row r="621">
      <c r="A621" s="31"/>
      <c r="B621" s="32"/>
      <c r="E621" s="32"/>
      <c r="F621" s="32"/>
      <c r="G621" s="32"/>
      <c r="H621" s="32"/>
      <c r="I621" s="14"/>
      <c r="K621" s="39"/>
    </row>
    <row r="622">
      <c r="A622" s="31"/>
      <c r="B622" s="32"/>
      <c r="E622" s="32"/>
      <c r="F622" s="32"/>
      <c r="G622" s="32"/>
      <c r="H622" s="32"/>
      <c r="I622" s="14"/>
      <c r="K622" s="39"/>
    </row>
    <row r="623">
      <c r="A623" s="31"/>
      <c r="B623" s="32"/>
      <c r="E623" s="32"/>
      <c r="F623" s="32"/>
      <c r="G623" s="32"/>
      <c r="H623" s="32"/>
      <c r="I623" s="14"/>
      <c r="K623" s="39"/>
    </row>
    <row r="624">
      <c r="A624" s="31"/>
      <c r="B624" s="32"/>
      <c r="E624" s="32"/>
      <c r="F624" s="32"/>
      <c r="G624" s="32"/>
      <c r="H624" s="32"/>
      <c r="I624" s="14"/>
      <c r="K624" s="39"/>
    </row>
    <row r="625">
      <c r="A625" s="31"/>
      <c r="B625" s="32"/>
      <c r="E625" s="32"/>
      <c r="F625" s="32"/>
      <c r="G625" s="32"/>
      <c r="H625" s="32"/>
      <c r="I625" s="14"/>
      <c r="K625" s="39"/>
    </row>
    <row r="626">
      <c r="A626" s="31"/>
      <c r="B626" s="32"/>
      <c r="E626" s="32"/>
      <c r="F626" s="32"/>
      <c r="G626" s="32"/>
      <c r="H626" s="32"/>
      <c r="I626" s="14"/>
      <c r="K626" s="39"/>
    </row>
    <row r="627">
      <c r="A627" s="31"/>
      <c r="B627" s="32"/>
      <c r="E627" s="32"/>
      <c r="F627" s="32"/>
      <c r="G627" s="32"/>
      <c r="H627" s="32"/>
      <c r="I627" s="14"/>
      <c r="K627" s="39"/>
    </row>
    <row r="628">
      <c r="A628" s="31"/>
      <c r="B628" s="32"/>
      <c r="E628" s="32"/>
      <c r="F628" s="32"/>
      <c r="G628" s="32"/>
      <c r="H628" s="32"/>
      <c r="I628" s="14"/>
      <c r="K628" s="39"/>
    </row>
    <row r="629">
      <c r="A629" s="31"/>
      <c r="B629" s="32"/>
      <c r="E629" s="32"/>
      <c r="F629" s="32"/>
      <c r="G629" s="32"/>
      <c r="H629" s="32"/>
      <c r="I629" s="14"/>
      <c r="K629" s="39"/>
    </row>
    <row r="630">
      <c r="A630" s="31"/>
      <c r="B630" s="32"/>
      <c r="E630" s="32"/>
      <c r="F630" s="32"/>
      <c r="G630" s="32"/>
      <c r="H630" s="32"/>
      <c r="I630" s="14"/>
      <c r="K630" s="39"/>
    </row>
    <row r="631">
      <c r="A631" s="31"/>
      <c r="B631" s="32"/>
      <c r="E631" s="32"/>
      <c r="F631" s="32"/>
      <c r="G631" s="32"/>
      <c r="H631" s="32"/>
      <c r="I631" s="14"/>
      <c r="K631" s="39"/>
    </row>
    <row r="632">
      <c r="A632" s="31"/>
      <c r="B632" s="32"/>
      <c r="E632" s="32"/>
      <c r="F632" s="32"/>
      <c r="G632" s="32"/>
      <c r="H632" s="32"/>
      <c r="I632" s="14"/>
      <c r="K632" s="39"/>
    </row>
    <row r="633">
      <c r="A633" s="31"/>
      <c r="B633" s="32"/>
      <c r="E633" s="32"/>
      <c r="F633" s="32"/>
      <c r="G633" s="32"/>
      <c r="H633" s="32"/>
      <c r="I633" s="14"/>
      <c r="K633" s="39"/>
    </row>
    <row r="634">
      <c r="A634" s="31"/>
      <c r="B634" s="32"/>
      <c r="E634" s="32"/>
      <c r="F634" s="32"/>
      <c r="G634" s="32"/>
      <c r="H634" s="32"/>
      <c r="I634" s="14"/>
      <c r="K634" s="39"/>
    </row>
    <row r="635">
      <c r="A635" s="31"/>
      <c r="B635" s="32"/>
      <c r="E635" s="32"/>
      <c r="F635" s="32"/>
      <c r="G635" s="32"/>
      <c r="H635" s="32"/>
      <c r="I635" s="14"/>
      <c r="K635" s="39"/>
    </row>
    <row r="636">
      <c r="A636" s="31"/>
      <c r="B636" s="32"/>
      <c r="E636" s="32"/>
      <c r="F636" s="32"/>
      <c r="G636" s="32"/>
      <c r="H636" s="32"/>
      <c r="I636" s="14"/>
      <c r="K636" s="39"/>
    </row>
    <row r="637">
      <c r="A637" s="31"/>
      <c r="B637" s="32"/>
      <c r="E637" s="32"/>
      <c r="F637" s="32"/>
      <c r="G637" s="32"/>
      <c r="H637" s="32"/>
      <c r="I637" s="14"/>
      <c r="K637" s="39"/>
    </row>
    <row r="638">
      <c r="A638" s="31"/>
      <c r="B638" s="32"/>
      <c r="E638" s="32"/>
      <c r="F638" s="32"/>
      <c r="G638" s="32"/>
      <c r="H638" s="32"/>
      <c r="I638" s="14"/>
      <c r="K638" s="39"/>
    </row>
    <row r="639">
      <c r="A639" s="31"/>
      <c r="B639" s="32"/>
      <c r="E639" s="32"/>
      <c r="F639" s="32"/>
      <c r="G639" s="32"/>
      <c r="H639" s="32"/>
      <c r="I639" s="14"/>
      <c r="K639" s="39"/>
    </row>
    <row r="640">
      <c r="A640" s="31"/>
      <c r="B640" s="32"/>
      <c r="E640" s="32"/>
      <c r="F640" s="32"/>
      <c r="G640" s="32"/>
      <c r="H640" s="32"/>
      <c r="I640" s="14"/>
      <c r="K640" s="39"/>
    </row>
    <row r="641">
      <c r="A641" s="31"/>
      <c r="B641" s="32"/>
      <c r="E641" s="32"/>
      <c r="F641" s="32"/>
      <c r="G641" s="32"/>
      <c r="H641" s="32"/>
      <c r="I641" s="14"/>
      <c r="K641" s="39"/>
    </row>
    <row r="642">
      <c r="A642" s="31"/>
      <c r="B642" s="32"/>
      <c r="E642" s="32"/>
      <c r="F642" s="32"/>
      <c r="G642" s="32"/>
      <c r="H642" s="32"/>
      <c r="I642" s="14"/>
      <c r="K642" s="39"/>
    </row>
    <row r="643">
      <c r="A643" s="31"/>
      <c r="B643" s="32"/>
      <c r="E643" s="32"/>
      <c r="F643" s="32"/>
      <c r="G643" s="32"/>
      <c r="H643" s="32"/>
      <c r="I643" s="14"/>
      <c r="K643" s="39"/>
    </row>
    <row r="644">
      <c r="A644" s="31"/>
      <c r="B644" s="32"/>
      <c r="E644" s="32"/>
      <c r="F644" s="32"/>
      <c r="G644" s="32"/>
      <c r="H644" s="32"/>
      <c r="I644" s="14"/>
      <c r="K644" s="39"/>
    </row>
    <row r="645">
      <c r="A645" s="31"/>
      <c r="B645" s="32"/>
      <c r="E645" s="32"/>
      <c r="F645" s="32"/>
      <c r="G645" s="32"/>
      <c r="H645" s="32"/>
      <c r="I645" s="14"/>
      <c r="K645" s="39"/>
    </row>
    <row r="646">
      <c r="A646" s="31"/>
      <c r="B646" s="32"/>
      <c r="E646" s="32"/>
      <c r="F646" s="32"/>
      <c r="G646" s="32"/>
      <c r="H646" s="32"/>
      <c r="I646" s="14"/>
      <c r="K646" s="39"/>
    </row>
    <row r="647">
      <c r="A647" s="31"/>
      <c r="B647" s="32"/>
      <c r="E647" s="32"/>
      <c r="F647" s="32"/>
      <c r="G647" s="32"/>
      <c r="H647" s="32"/>
      <c r="I647" s="14"/>
      <c r="K647" s="39"/>
    </row>
    <row r="648">
      <c r="A648" s="31"/>
      <c r="B648" s="32"/>
      <c r="E648" s="32"/>
      <c r="F648" s="32"/>
      <c r="G648" s="32"/>
      <c r="H648" s="32"/>
      <c r="I648" s="14"/>
      <c r="K648" s="39"/>
    </row>
    <row r="649">
      <c r="A649" s="31"/>
      <c r="B649" s="32"/>
      <c r="E649" s="32"/>
      <c r="F649" s="32"/>
      <c r="G649" s="32"/>
      <c r="H649" s="32"/>
      <c r="I649" s="14"/>
      <c r="K649" s="39"/>
    </row>
    <row r="650">
      <c r="A650" s="31"/>
      <c r="B650" s="32"/>
      <c r="E650" s="32"/>
      <c r="F650" s="32"/>
      <c r="G650" s="32"/>
      <c r="H650" s="32"/>
      <c r="I650" s="14"/>
      <c r="K650" s="39"/>
    </row>
    <row r="651">
      <c r="A651" s="31"/>
      <c r="B651" s="32"/>
      <c r="E651" s="32"/>
      <c r="F651" s="32"/>
      <c r="G651" s="32"/>
      <c r="H651" s="32"/>
      <c r="I651" s="14"/>
      <c r="K651" s="39"/>
    </row>
    <row r="652">
      <c r="A652" s="31"/>
      <c r="B652" s="32"/>
      <c r="E652" s="32"/>
      <c r="F652" s="32"/>
      <c r="G652" s="32"/>
      <c r="H652" s="32"/>
      <c r="I652" s="14"/>
      <c r="K652" s="39"/>
    </row>
    <row r="653">
      <c r="A653" s="31"/>
      <c r="B653" s="32"/>
      <c r="E653" s="32"/>
      <c r="F653" s="32"/>
      <c r="G653" s="32"/>
      <c r="H653" s="32"/>
      <c r="I653" s="14"/>
      <c r="K653" s="39"/>
    </row>
    <row r="654">
      <c r="A654" s="31"/>
      <c r="B654" s="32"/>
      <c r="E654" s="32"/>
      <c r="F654" s="32"/>
      <c r="G654" s="32"/>
      <c r="H654" s="32"/>
      <c r="I654" s="14"/>
      <c r="K654" s="39"/>
    </row>
    <row r="655">
      <c r="A655" s="31"/>
      <c r="B655" s="32"/>
      <c r="E655" s="32"/>
      <c r="F655" s="32"/>
      <c r="G655" s="32"/>
      <c r="H655" s="32"/>
      <c r="I655" s="14"/>
      <c r="K655" s="39"/>
    </row>
    <row r="656">
      <c r="A656" s="31"/>
      <c r="B656" s="32"/>
      <c r="E656" s="32"/>
      <c r="F656" s="32"/>
      <c r="G656" s="32"/>
      <c r="H656" s="32"/>
      <c r="I656" s="14"/>
      <c r="K656" s="39"/>
    </row>
    <row r="657">
      <c r="A657" s="31"/>
      <c r="B657" s="32"/>
      <c r="E657" s="32"/>
      <c r="F657" s="32"/>
      <c r="G657" s="32"/>
      <c r="H657" s="32"/>
      <c r="I657" s="14"/>
      <c r="K657" s="39"/>
    </row>
    <row r="658">
      <c r="A658" s="31"/>
      <c r="B658" s="32"/>
      <c r="E658" s="32"/>
      <c r="F658" s="32"/>
      <c r="G658" s="32"/>
      <c r="H658" s="32"/>
      <c r="I658" s="14"/>
      <c r="K658" s="39"/>
    </row>
    <row r="659">
      <c r="A659" s="31"/>
      <c r="B659" s="32"/>
      <c r="E659" s="32"/>
      <c r="F659" s="32"/>
      <c r="G659" s="32"/>
      <c r="H659" s="32"/>
      <c r="I659" s="14"/>
      <c r="K659" s="39"/>
    </row>
    <row r="660">
      <c r="A660" s="31"/>
      <c r="B660" s="32"/>
      <c r="E660" s="32"/>
      <c r="F660" s="32"/>
      <c r="G660" s="32"/>
      <c r="H660" s="32"/>
      <c r="I660" s="14"/>
      <c r="K660" s="39"/>
    </row>
    <row r="661">
      <c r="A661" s="31"/>
      <c r="B661" s="32"/>
      <c r="E661" s="32"/>
      <c r="F661" s="32"/>
      <c r="G661" s="32"/>
      <c r="H661" s="32"/>
      <c r="I661" s="14"/>
      <c r="K661" s="39"/>
    </row>
    <row r="662">
      <c r="A662" s="31"/>
      <c r="B662" s="32"/>
      <c r="E662" s="32"/>
      <c r="F662" s="32"/>
      <c r="G662" s="32"/>
      <c r="H662" s="32"/>
      <c r="I662" s="14"/>
      <c r="K662" s="39"/>
    </row>
    <row r="663">
      <c r="A663" s="31"/>
      <c r="B663" s="32"/>
      <c r="E663" s="32"/>
      <c r="F663" s="32"/>
      <c r="G663" s="32"/>
      <c r="H663" s="32"/>
      <c r="I663" s="14"/>
      <c r="K663" s="39"/>
    </row>
    <row r="664">
      <c r="A664" s="31"/>
      <c r="B664" s="32"/>
      <c r="E664" s="32"/>
      <c r="F664" s="32"/>
      <c r="G664" s="32"/>
      <c r="H664" s="32"/>
      <c r="I664" s="14"/>
      <c r="K664" s="39"/>
    </row>
    <row r="665">
      <c r="A665" s="31"/>
      <c r="B665" s="32"/>
      <c r="E665" s="32"/>
      <c r="F665" s="32"/>
      <c r="G665" s="32"/>
      <c r="H665" s="32"/>
      <c r="I665" s="14"/>
      <c r="K665" s="39"/>
    </row>
    <row r="666">
      <c r="A666" s="31"/>
      <c r="B666" s="32"/>
      <c r="E666" s="32"/>
      <c r="F666" s="32"/>
      <c r="G666" s="32"/>
      <c r="H666" s="32"/>
      <c r="I666" s="14"/>
      <c r="K666" s="39"/>
    </row>
    <row r="667">
      <c r="A667" s="31"/>
      <c r="B667" s="32"/>
      <c r="E667" s="32"/>
      <c r="F667" s="32"/>
      <c r="G667" s="32"/>
      <c r="H667" s="32"/>
      <c r="I667" s="14"/>
      <c r="K667" s="39"/>
    </row>
    <row r="668">
      <c r="A668" s="31"/>
      <c r="B668" s="32"/>
      <c r="E668" s="32"/>
      <c r="F668" s="32"/>
      <c r="G668" s="32"/>
      <c r="H668" s="32"/>
      <c r="I668" s="14"/>
      <c r="K668" s="39"/>
    </row>
    <row r="669">
      <c r="A669" s="31"/>
      <c r="B669" s="32"/>
      <c r="E669" s="32"/>
      <c r="F669" s="32"/>
      <c r="G669" s="32"/>
      <c r="H669" s="32"/>
      <c r="I669" s="14"/>
      <c r="K669" s="39"/>
    </row>
    <row r="670">
      <c r="A670" s="31"/>
      <c r="B670" s="32"/>
      <c r="E670" s="32"/>
      <c r="F670" s="32"/>
      <c r="G670" s="32"/>
      <c r="H670" s="32"/>
      <c r="I670" s="14"/>
      <c r="K670" s="39"/>
    </row>
    <row r="671">
      <c r="A671" s="31"/>
      <c r="B671" s="32"/>
      <c r="E671" s="32"/>
      <c r="F671" s="32"/>
      <c r="G671" s="32"/>
      <c r="H671" s="32"/>
      <c r="I671" s="14"/>
      <c r="K671" s="39"/>
    </row>
    <row r="672">
      <c r="A672" s="31"/>
      <c r="B672" s="32"/>
      <c r="E672" s="32"/>
      <c r="F672" s="32"/>
      <c r="G672" s="32"/>
      <c r="H672" s="32"/>
      <c r="I672" s="14"/>
      <c r="K672" s="39"/>
    </row>
    <row r="673">
      <c r="A673" s="31"/>
      <c r="B673" s="32"/>
      <c r="E673" s="32"/>
      <c r="F673" s="32"/>
      <c r="G673" s="32"/>
      <c r="H673" s="32"/>
      <c r="I673" s="14"/>
      <c r="K673" s="39"/>
    </row>
    <row r="674">
      <c r="A674" s="31"/>
      <c r="B674" s="32"/>
      <c r="E674" s="32"/>
      <c r="F674" s="32"/>
      <c r="G674" s="32"/>
      <c r="H674" s="32"/>
      <c r="I674" s="14"/>
      <c r="K674" s="39"/>
    </row>
    <row r="675">
      <c r="A675" s="31"/>
      <c r="B675" s="32"/>
      <c r="E675" s="32"/>
      <c r="F675" s="32"/>
      <c r="G675" s="32"/>
      <c r="H675" s="32"/>
      <c r="I675" s="14"/>
      <c r="K675" s="39"/>
    </row>
    <row r="676">
      <c r="A676" s="31"/>
      <c r="B676" s="32"/>
      <c r="E676" s="32"/>
      <c r="F676" s="32"/>
      <c r="G676" s="32"/>
      <c r="H676" s="32"/>
      <c r="I676" s="14"/>
      <c r="K676" s="39"/>
    </row>
    <row r="677">
      <c r="A677" s="31"/>
      <c r="B677" s="32"/>
      <c r="E677" s="32"/>
      <c r="F677" s="32"/>
      <c r="G677" s="32"/>
      <c r="H677" s="32"/>
      <c r="I677" s="14"/>
      <c r="K677" s="39"/>
    </row>
    <row r="678">
      <c r="A678" s="31"/>
      <c r="B678" s="32"/>
      <c r="E678" s="32"/>
      <c r="F678" s="32"/>
      <c r="G678" s="32"/>
      <c r="H678" s="32"/>
      <c r="I678" s="14"/>
      <c r="K678" s="39"/>
    </row>
    <row r="679">
      <c r="A679" s="31"/>
      <c r="B679" s="32"/>
      <c r="E679" s="32"/>
      <c r="F679" s="32"/>
      <c r="G679" s="32"/>
      <c r="H679" s="32"/>
      <c r="I679" s="14"/>
      <c r="K679" s="39"/>
    </row>
    <row r="680">
      <c r="A680" s="31"/>
      <c r="B680" s="32"/>
      <c r="E680" s="32"/>
      <c r="F680" s="32"/>
      <c r="G680" s="32"/>
      <c r="H680" s="32"/>
      <c r="I680" s="14"/>
      <c r="K680" s="39"/>
    </row>
    <row r="681">
      <c r="A681" s="31"/>
      <c r="B681" s="32"/>
      <c r="E681" s="32"/>
      <c r="F681" s="32"/>
      <c r="G681" s="32"/>
      <c r="H681" s="32"/>
      <c r="I681" s="14"/>
      <c r="K681" s="39"/>
    </row>
    <row r="682">
      <c r="A682" s="31"/>
      <c r="B682" s="32"/>
      <c r="E682" s="32"/>
      <c r="F682" s="32"/>
      <c r="G682" s="32"/>
      <c r="H682" s="32"/>
      <c r="I682" s="14"/>
      <c r="K682" s="39"/>
    </row>
    <row r="683">
      <c r="A683" s="31"/>
      <c r="B683" s="32"/>
      <c r="E683" s="32"/>
      <c r="F683" s="32"/>
      <c r="G683" s="32"/>
      <c r="H683" s="32"/>
      <c r="I683" s="14"/>
      <c r="K683" s="39"/>
    </row>
    <row r="684">
      <c r="A684" s="31"/>
      <c r="B684" s="32"/>
      <c r="E684" s="32"/>
      <c r="F684" s="32"/>
      <c r="G684" s="32"/>
      <c r="H684" s="32"/>
      <c r="I684" s="14"/>
      <c r="K684" s="39"/>
    </row>
    <row r="685">
      <c r="A685" s="31"/>
      <c r="B685" s="32"/>
      <c r="E685" s="32"/>
      <c r="F685" s="32"/>
      <c r="G685" s="32"/>
      <c r="H685" s="32"/>
      <c r="I685" s="14"/>
      <c r="K685" s="39"/>
    </row>
    <row r="686">
      <c r="A686" s="31"/>
      <c r="B686" s="32"/>
      <c r="E686" s="32"/>
      <c r="F686" s="32"/>
      <c r="G686" s="32"/>
      <c r="H686" s="32"/>
      <c r="I686" s="14"/>
      <c r="K686" s="39"/>
    </row>
    <row r="687">
      <c r="A687" s="31"/>
      <c r="B687" s="32"/>
      <c r="E687" s="32"/>
      <c r="F687" s="32"/>
      <c r="G687" s="32"/>
      <c r="H687" s="32"/>
      <c r="I687" s="14"/>
      <c r="K687" s="39"/>
    </row>
    <row r="688">
      <c r="A688" s="31"/>
      <c r="B688" s="32"/>
      <c r="E688" s="32"/>
      <c r="F688" s="32"/>
      <c r="G688" s="32"/>
      <c r="H688" s="32"/>
      <c r="I688" s="14"/>
      <c r="K688" s="39"/>
    </row>
    <row r="689">
      <c r="A689" s="31"/>
      <c r="B689" s="32"/>
      <c r="E689" s="32"/>
      <c r="F689" s="32"/>
      <c r="G689" s="32"/>
      <c r="H689" s="32"/>
      <c r="I689" s="14"/>
      <c r="K689" s="39"/>
    </row>
    <row r="690">
      <c r="A690" s="31"/>
      <c r="B690" s="32"/>
      <c r="E690" s="32"/>
      <c r="F690" s="32"/>
      <c r="G690" s="32"/>
      <c r="H690" s="32"/>
      <c r="I690" s="14"/>
      <c r="K690" s="39"/>
    </row>
    <row r="691">
      <c r="A691" s="31"/>
      <c r="B691" s="32"/>
      <c r="E691" s="32"/>
      <c r="F691" s="32"/>
      <c r="G691" s="32"/>
      <c r="H691" s="32"/>
      <c r="I691" s="14"/>
      <c r="K691" s="39"/>
    </row>
    <row r="692">
      <c r="A692" s="31"/>
      <c r="B692" s="32"/>
      <c r="E692" s="32"/>
      <c r="F692" s="32"/>
      <c r="G692" s="32"/>
      <c r="H692" s="32"/>
      <c r="I692" s="14"/>
      <c r="K692" s="39"/>
    </row>
    <row r="693">
      <c r="A693" s="31"/>
      <c r="B693" s="32"/>
      <c r="E693" s="32"/>
      <c r="F693" s="32"/>
      <c r="G693" s="32"/>
      <c r="H693" s="32"/>
      <c r="I693" s="14"/>
      <c r="K693" s="39"/>
    </row>
    <row r="694">
      <c r="A694" s="31"/>
      <c r="B694" s="32"/>
      <c r="E694" s="32"/>
      <c r="F694" s="32"/>
      <c r="G694" s="32"/>
      <c r="H694" s="32"/>
      <c r="I694" s="14"/>
      <c r="K694" s="39"/>
    </row>
    <row r="695">
      <c r="A695" s="31"/>
      <c r="B695" s="32"/>
      <c r="E695" s="32"/>
      <c r="F695" s="32"/>
      <c r="G695" s="32"/>
      <c r="H695" s="32"/>
      <c r="I695" s="14"/>
      <c r="K695" s="39"/>
    </row>
    <row r="696">
      <c r="A696" s="31"/>
      <c r="B696" s="32"/>
      <c r="E696" s="32"/>
      <c r="F696" s="32"/>
      <c r="G696" s="32"/>
      <c r="H696" s="32"/>
      <c r="I696" s="14"/>
      <c r="K696" s="39"/>
    </row>
    <row r="697">
      <c r="A697" s="31"/>
      <c r="B697" s="32"/>
      <c r="E697" s="32"/>
      <c r="F697" s="32"/>
      <c r="G697" s="32"/>
      <c r="H697" s="32"/>
      <c r="I697" s="14"/>
      <c r="K697" s="39"/>
    </row>
    <row r="698">
      <c r="A698" s="31"/>
      <c r="B698" s="32"/>
      <c r="E698" s="32"/>
      <c r="F698" s="32"/>
      <c r="G698" s="32"/>
      <c r="H698" s="32"/>
      <c r="I698" s="14"/>
      <c r="K698" s="39"/>
    </row>
    <row r="699">
      <c r="A699" s="31"/>
      <c r="B699" s="32"/>
      <c r="E699" s="32"/>
      <c r="F699" s="32"/>
      <c r="G699" s="32"/>
      <c r="H699" s="32"/>
      <c r="I699" s="14"/>
      <c r="K699" s="39"/>
    </row>
    <row r="700">
      <c r="A700" s="31"/>
      <c r="B700" s="32"/>
      <c r="E700" s="32"/>
      <c r="F700" s="32"/>
      <c r="G700" s="32"/>
      <c r="H700" s="32"/>
      <c r="I700" s="14"/>
      <c r="K700" s="39"/>
    </row>
    <row r="701">
      <c r="A701" s="31"/>
      <c r="B701" s="32"/>
      <c r="E701" s="32"/>
      <c r="F701" s="32"/>
      <c r="G701" s="32"/>
      <c r="H701" s="32"/>
      <c r="I701" s="14"/>
      <c r="K701" s="39"/>
    </row>
    <row r="702">
      <c r="A702" s="31"/>
      <c r="B702" s="32"/>
      <c r="E702" s="32"/>
      <c r="F702" s="32"/>
      <c r="G702" s="32"/>
      <c r="H702" s="32"/>
      <c r="I702" s="14"/>
      <c r="K702" s="39"/>
    </row>
    <row r="703">
      <c r="A703" s="31"/>
      <c r="B703" s="32"/>
      <c r="E703" s="32"/>
      <c r="F703" s="32"/>
      <c r="G703" s="32"/>
      <c r="H703" s="32"/>
      <c r="I703" s="14"/>
      <c r="K703" s="39"/>
    </row>
    <row r="704">
      <c r="A704" s="31"/>
      <c r="B704" s="32"/>
      <c r="E704" s="32"/>
      <c r="F704" s="32"/>
      <c r="G704" s="32"/>
      <c r="H704" s="32"/>
      <c r="I704" s="14"/>
      <c r="K704" s="39"/>
    </row>
    <row r="705">
      <c r="A705" s="31"/>
      <c r="B705" s="32"/>
      <c r="E705" s="32"/>
      <c r="F705" s="32"/>
      <c r="G705" s="32"/>
      <c r="H705" s="32"/>
      <c r="I705" s="14"/>
      <c r="K705" s="39"/>
    </row>
    <row r="706">
      <c r="A706" s="31"/>
      <c r="B706" s="32"/>
      <c r="E706" s="32"/>
      <c r="F706" s="32"/>
      <c r="G706" s="32"/>
      <c r="H706" s="32"/>
      <c r="I706" s="14"/>
      <c r="K706" s="39"/>
    </row>
    <row r="707">
      <c r="A707" s="31"/>
      <c r="B707" s="32"/>
      <c r="E707" s="32"/>
      <c r="F707" s="32"/>
      <c r="G707" s="32"/>
      <c r="H707" s="32"/>
      <c r="I707" s="14"/>
      <c r="K707" s="39"/>
    </row>
    <row r="708">
      <c r="A708" s="31"/>
      <c r="B708" s="32"/>
      <c r="E708" s="32"/>
      <c r="F708" s="32"/>
      <c r="G708" s="32"/>
      <c r="H708" s="32"/>
      <c r="I708" s="14"/>
      <c r="K708" s="39"/>
    </row>
    <row r="709">
      <c r="A709" s="31"/>
      <c r="B709" s="32"/>
      <c r="E709" s="32"/>
      <c r="F709" s="32"/>
      <c r="G709" s="32"/>
      <c r="H709" s="32"/>
      <c r="I709" s="14"/>
      <c r="K709" s="39"/>
    </row>
    <row r="710">
      <c r="A710" s="31"/>
      <c r="B710" s="32"/>
      <c r="E710" s="32"/>
      <c r="F710" s="32"/>
      <c r="G710" s="32"/>
      <c r="H710" s="32"/>
      <c r="I710" s="14"/>
      <c r="K710" s="39"/>
    </row>
    <row r="711">
      <c r="A711" s="31"/>
      <c r="B711" s="32"/>
      <c r="E711" s="32"/>
      <c r="F711" s="32"/>
      <c r="G711" s="32"/>
      <c r="H711" s="32"/>
      <c r="I711" s="14"/>
      <c r="K711" s="39"/>
    </row>
    <row r="712">
      <c r="A712" s="31"/>
      <c r="B712" s="32"/>
      <c r="E712" s="32"/>
      <c r="F712" s="32"/>
      <c r="G712" s="32"/>
      <c r="H712" s="32"/>
      <c r="I712" s="14"/>
      <c r="K712" s="39"/>
    </row>
    <row r="713">
      <c r="A713" s="31"/>
      <c r="B713" s="32"/>
      <c r="E713" s="32"/>
      <c r="F713" s="32"/>
      <c r="G713" s="32"/>
      <c r="H713" s="32"/>
      <c r="I713" s="14"/>
      <c r="K713" s="39"/>
    </row>
    <row r="714">
      <c r="A714" s="31"/>
      <c r="B714" s="32"/>
      <c r="E714" s="32"/>
      <c r="F714" s="32"/>
      <c r="G714" s="32"/>
      <c r="H714" s="32"/>
      <c r="I714" s="14"/>
      <c r="K714" s="39"/>
    </row>
    <row r="715">
      <c r="A715" s="31"/>
      <c r="B715" s="32"/>
      <c r="E715" s="32"/>
      <c r="F715" s="32"/>
      <c r="G715" s="32"/>
      <c r="H715" s="32"/>
      <c r="I715" s="14"/>
      <c r="K715" s="39"/>
    </row>
    <row r="716">
      <c r="A716" s="31"/>
      <c r="B716" s="32"/>
      <c r="E716" s="32"/>
      <c r="F716" s="32"/>
      <c r="G716" s="32"/>
      <c r="H716" s="32"/>
      <c r="I716" s="14"/>
      <c r="K716" s="39"/>
    </row>
    <row r="717">
      <c r="A717" s="31"/>
      <c r="B717" s="32"/>
      <c r="E717" s="32"/>
      <c r="F717" s="32"/>
      <c r="G717" s="32"/>
      <c r="H717" s="32"/>
      <c r="I717" s="14"/>
      <c r="K717" s="39"/>
    </row>
    <row r="718">
      <c r="A718" s="31"/>
      <c r="B718" s="32"/>
      <c r="E718" s="32"/>
      <c r="F718" s="32"/>
      <c r="G718" s="32"/>
      <c r="H718" s="32"/>
      <c r="I718" s="14"/>
      <c r="K718" s="39"/>
    </row>
    <row r="719">
      <c r="A719" s="31"/>
      <c r="B719" s="32"/>
      <c r="E719" s="32"/>
      <c r="F719" s="32"/>
      <c r="G719" s="32"/>
      <c r="H719" s="32"/>
      <c r="I719" s="14"/>
      <c r="K719" s="39"/>
    </row>
    <row r="720">
      <c r="A720" s="31"/>
      <c r="B720" s="32"/>
      <c r="E720" s="32"/>
      <c r="F720" s="32"/>
      <c r="G720" s="32"/>
      <c r="H720" s="32"/>
      <c r="I720" s="14"/>
      <c r="K720" s="39"/>
    </row>
    <row r="721">
      <c r="A721" s="31"/>
      <c r="B721" s="32"/>
      <c r="E721" s="32"/>
      <c r="F721" s="32"/>
      <c r="G721" s="32"/>
      <c r="H721" s="32"/>
      <c r="I721" s="14"/>
      <c r="K721" s="39"/>
    </row>
    <row r="722">
      <c r="A722" s="31"/>
      <c r="B722" s="32"/>
      <c r="E722" s="32"/>
      <c r="F722" s="32"/>
      <c r="G722" s="32"/>
      <c r="H722" s="32"/>
      <c r="I722" s="14"/>
      <c r="K722" s="39"/>
    </row>
    <row r="723">
      <c r="A723" s="31"/>
      <c r="B723" s="32"/>
      <c r="E723" s="32"/>
      <c r="F723" s="32"/>
      <c r="G723" s="32"/>
      <c r="H723" s="32"/>
      <c r="I723" s="14"/>
      <c r="K723" s="39"/>
    </row>
    <row r="724">
      <c r="A724" s="31"/>
      <c r="B724" s="32"/>
      <c r="E724" s="32"/>
      <c r="F724" s="32"/>
      <c r="G724" s="32"/>
      <c r="H724" s="32"/>
      <c r="I724" s="14"/>
      <c r="K724" s="39"/>
    </row>
    <row r="725">
      <c r="A725" s="31"/>
      <c r="B725" s="32"/>
      <c r="E725" s="32"/>
      <c r="F725" s="32"/>
      <c r="G725" s="32"/>
      <c r="H725" s="32"/>
      <c r="I725" s="14"/>
      <c r="K725" s="39"/>
    </row>
    <row r="726">
      <c r="A726" s="31"/>
      <c r="B726" s="32"/>
      <c r="E726" s="32"/>
      <c r="F726" s="32"/>
      <c r="G726" s="32"/>
      <c r="H726" s="32"/>
      <c r="I726" s="14"/>
      <c r="K726" s="39"/>
    </row>
    <row r="727">
      <c r="A727" s="31"/>
      <c r="B727" s="32"/>
      <c r="E727" s="32"/>
      <c r="F727" s="32"/>
      <c r="G727" s="32"/>
      <c r="H727" s="32"/>
      <c r="I727" s="14"/>
      <c r="K727" s="39"/>
    </row>
    <row r="728">
      <c r="A728" s="31"/>
      <c r="B728" s="32"/>
      <c r="E728" s="32"/>
      <c r="F728" s="32"/>
      <c r="G728" s="32"/>
      <c r="H728" s="32"/>
      <c r="I728" s="14"/>
      <c r="K728" s="39"/>
    </row>
    <row r="729">
      <c r="A729" s="31"/>
      <c r="B729" s="32"/>
      <c r="E729" s="32"/>
      <c r="F729" s="32"/>
      <c r="G729" s="32"/>
      <c r="H729" s="32"/>
      <c r="I729" s="14"/>
      <c r="K729" s="39"/>
    </row>
    <row r="730">
      <c r="A730" s="31"/>
      <c r="B730" s="32"/>
      <c r="E730" s="32"/>
      <c r="F730" s="32"/>
      <c r="G730" s="32"/>
      <c r="H730" s="32"/>
      <c r="I730" s="14"/>
      <c r="K730" s="39"/>
    </row>
    <row r="731">
      <c r="A731" s="31"/>
      <c r="B731" s="32"/>
      <c r="E731" s="32"/>
      <c r="F731" s="32"/>
      <c r="G731" s="32"/>
      <c r="H731" s="32"/>
      <c r="I731" s="14"/>
      <c r="K731" s="39"/>
    </row>
    <row r="732">
      <c r="A732" s="31"/>
      <c r="B732" s="32"/>
      <c r="E732" s="32"/>
      <c r="F732" s="32"/>
      <c r="G732" s="32"/>
      <c r="H732" s="32"/>
      <c r="I732" s="14"/>
      <c r="K732" s="39"/>
    </row>
    <row r="733">
      <c r="A733" s="31"/>
      <c r="B733" s="32"/>
      <c r="E733" s="32"/>
      <c r="F733" s="32"/>
      <c r="G733" s="32"/>
      <c r="H733" s="32"/>
      <c r="I733" s="14"/>
      <c r="K733" s="39"/>
    </row>
    <row r="734">
      <c r="A734" s="31"/>
      <c r="B734" s="32"/>
      <c r="E734" s="32"/>
      <c r="F734" s="32"/>
      <c r="G734" s="32"/>
      <c r="H734" s="32"/>
      <c r="I734" s="14"/>
      <c r="K734" s="39"/>
    </row>
    <row r="735">
      <c r="A735" s="31"/>
      <c r="B735" s="32"/>
      <c r="E735" s="32"/>
      <c r="F735" s="32"/>
      <c r="G735" s="32"/>
      <c r="H735" s="32"/>
      <c r="I735" s="14"/>
      <c r="K735" s="39"/>
    </row>
    <row r="736">
      <c r="A736" s="31"/>
      <c r="B736" s="32"/>
      <c r="E736" s="32"/>
      <c r="F736" s="32"/>
      <c r="G736" s="32"/>
      <c r="H736" s="32"/>
      <c r="I736" s="14"/>
      <c r="K736" s="39"/>
    </row>
    <row r="737">
      <c r="A737" s="31"/>
      <c r="B737" s="32"/>
      <c r="E737" s="32"/>
      <c r="F737" s="32"/>
      <c r="G737" s="32"/>
      <c r="H737" s="32"/>
      <c r="I737" s="14"/>
      <c r="K737" s="39"/>
    </row>
    <row r="738">
      <c r="A738" s="31"/>
      <c r="B738" s="32"/>
      <c r="E738" s="32"/>
      <c r="F738" s="32"/>
      <c r="G738" s="32"/>
      <c r="H738" s="32"/>
      <c r="I738" s="14"/>
      <c r="K738" s="39"/>
    </row>
    <row r="739">
      <c r="A739" s="31"/>
      <c r="B739" s="32"/>
      <c r="E739" s="32"/>
      <c r="F739" s="32"/>
      <c r="G739" s="32"/>
      <c r="H739" s="32"/>
      <c r="I739" s="14"/>
      <c r="K739" s="39"/>
    </row>
    <row r="740">
      <c r="A740" s="31"/>
      <c r="B740" s="32"/>
      <c r="E740" s="32"/>
      <c r="F740" s="32"/>
      <c r="G740" s="32"/>
      <c r="H740" s="32"/>
      <c r="I740" s="14"/>
      <c r="K740" s="39"/>
    </row>
    <row r="741">
      <c r="A741" s="31"/>
      <c r="B741" s="32"/>
      <c r="E741" s="32"/>
      <c r="F741" s="32"/>
      <c r="G741" s="32"/>
      <c r="H741" s="32"/>
      <c r="I741" s="14"/>
      <c r="K741" s="39"/>
    </row>
    <row r="742">
      <c r="A742" s="31"/>
      <c r="B742" s="32"/>
      <c r="E742" s="32"/>
      <c r="F742" s="32"/>
      <c r="G742" s="32"/>
      <c r="H742" s="32"/>
      <c r="I742" s="14"/>
      <c r="K742" s="39"/>
    </row>
    <row r="743">
      <c r="A743" s="31"/>
      <c r="B743" s="32"/>
      <c r="E743" s="32"/>
      <c r="F743" s="32"/>
      <c r="G743" s="32"/>
      <c r="H743" s="32"/>
      <c r="I743" s="14"/>
      <c r="K743" s="39"/>
    </row>
    <row r="744">
      <c r="A744" s="31"/>
      <c r="B744" s="32"/>
      <c r="E744" s="32"/>
      <c r="F744" s="32"/>
      <c r="G744" s="32"/>
      <c r="H744" s="32"/>
      <c r="I744" s="14"/>
      <c r="K744" s="39"/>
    </row>
    <row r="745">
      <c r="A745" s="31"/>
      <c r="B745" s="32"/>
      <c r="E745" s="32"/>
      <c r="F745" s="32"/>
      <c r="G745" s="32"/>
      <c r="H745" s="32"/>
      <c r="I745" s="14"/>
      <c r="K745" s="39"/>
    </row>
    <row r="746">
      <c r="A746" s="31"/>
      <c r="B746" s="32"/>
      <c r="E746" s="32"/>
      <c r="F746" s="32"/>
      <c r="G746" s="32"/>
      <c r="H746" s="32"/>
      <c r="I746" s="14"/>
      <c r="K746" s="39"/>
    </row>
    <row r="747">
      <c r="A747" s="31"/>
      <c r="B747" s="32"/>
      <c r="E747" s="32"/>
      <c r="F747" s="32"/>
      <c r="G747" s="32"/>
      <c r="H747" s="32"/>
      <c r="I747" s="14"/>
      <c r="K747" s="39"/>
    </row>
    <row r="748">
      <c r="A748" s="31"/>
      <c r="B748" s="32"/>
      <c r="E748" s="32"/>
      <c r="F748" s="32"/>
      <c r="G748" s="32"/>
      <c r="H748" s="32"/>
      <c r="I748" s="14"/>
      <c r="K748" s="39"/>
    </row>
    <row r="749">
      <c r="A749" s="31"/>
      <c r="B749" s="32"/>
      <c r="E749" s="32"/>
      <c r="F749" s="32"/>
      <c r="G749" s="32"/>
      <c r="H749" s="32"/>
      <c r="I749" s="14"/>
      <c r="K749" s="39"/>
    </row>
    <row r="750">
      <c r="A750" s="31"/>
      <c r="B750" s="32"/>
      <c r="E750" s="32"/>
      <c r="F750" s="32"/>
      <c r="G750" s="32"/>
      <c r="H750" s="32"/>
      <c r="I750" s="14"/>
      <c r="K750" s="39"/>
    </row>
    <row r="751">
      <c r="A751" s="31"/>
      <c r="B751" s="32"/>
      <c r="E751" s="32"/>
      <c r="F751" s="32"/>
      <c r="G751" s="32"/>
      <c r="H751" s="32"/>
      <c r="I751" s="14"/>
      <c r="K751" s="39"/>
    </row>
    <row r="752">
      <c r="A752" s="31"/>
      <c r="B752" s="32"/>
      <c r="E752" s="32"/>
      <c r="F752" s="32"/>
      <c r="G752" s="32"/>
      <c r="H752" s="32"/>
      <c r="I752" s="14"/>
      <c r="K752" s="39"/>
    </row>
    <row r="753">
      <c r="A753" s="31"/>
      <c r="B753" s="32"/>
      <c r="E753" s="32"/>
      <c r="F753" s="32"/>
      <c r="G753" s="32"/>
      <c r="H753" s="32"/>
      <c r="I753" s="14"/>
      <c r="K753" s="39"/>
    </row>
    <row r="754">
      <c r="A754" s="31"/>
      <c r="B754" s="32"/>
      <c r="E754" s="32"/>
      <c r="F754" s="32"/>
      <c r="G754" s="32"/>
      <c r="H754" s="32"/>
      <c r="I754" s="14"/>
      <c r="K754" s="39"/>
    </row>
    <row r="755">
      <c r="A755" s="31"/>
      <c r="B755" s="32"/>
      <c r="E755" s="32"/>
      <c r="F755" s="32"/>
      <c r="G755" s="32"/>
      <c r="H755" s="32"/>
      <c r="I755" s="14"/>
      <c r="K755" s="39"/>
    </row>
    <row r="756">
      <c r="A756" s="31"/>
      <c r="B756" s="32"/>
      <c r="E756" s="32"/>
      <c r="F756" s="32"/>
      <c r="G756" s="32"/>
      <c r="H756" s="32"/>
      <c r="I756" s="14"/>
      <c r="K756" s="39"/>
    </row>
    <row r="757">
      <c r="A757" s="31"/>
      <c r="B757" s="32"/>
      <c r="E757" s="32"/>
      <c r="F757" s="32"/>
      <c r="G757" s="32"/>
      <c r="H757" s="32"/>
      <c r="I757" s="14"/>
      <c r="K757" s="39"/>
    </row>
    <row r="758">
      <c r="A758" s="31"/>
      <c r="B758" s="32"/>
      <c r="E758" s="32"/>
      <c r="F758" s="32"/>
      <c r="G758" s="32"/>
      <c r="H758" s="32"/>
      <c r="I758" s="14"/>
      <c r="K758" s="39"/>
    </row>
    <row r="759">
      <c r="A759" s="31"/>
      <c r="B759" s="32"/>
      <c r="E759" s="32"/>
      <c r="F759" s="32"/>
      <c r="G759" s="32"/>
      <c r="H759" s="32"/>
      <c r="I759" s="14"/>
      <c r="K759" s="39"/>
    </row>
    <row r="760">
      <c r="A760" s="31"/>
      <c r="B760" s="32"/>
      <c r="E760" s="32"/>
      <c r="F760" s="32"/>
      <c r="G760" s="32"/>
      <c r="H760" s="32"/>
      <c r="I760" s="14"/>
      <c r="K760" s="39"/>
    </row>
    <row r="761">
      <c r="A761" s="31"/>
      <c r="B761" s="32"/>
      <c r="E761" s="32"/>
      <c r="F761" s="32"/>
      <c r="G761" s="32"/>
      <c r="H761" s="32"/>
      <c r="I761" s="14"/>
      <c r="K761" s="39"/>
    </row>
    <row r="762">
      <c r="A762" s="31"/>
      <c r="B762" s="32"/>
      <c r="E762" s="32"/>
      <c r="F762" s="32"/>
      <c r="G762" s="32"/>
      <c r="H762" s="32"/>
      <c r="I762" s="14"/>
      <c r="K762" s="39"/>
    </row>
    <row r="763">
      <c r="A763" s="31"/>
      <c r="B763" s="32"/>
      <c r="E763" s="32"/>
      <c r="F763" s="32"/>
      <c r="G763" s="32"/>
      <c r="H763" s="32"/>
      <c r="I763" s="14"/>
      <c r="K763" s="39"/>
    </row>
    <row r="764">
      <c r="A764" s="31"/>
      <c r="B764" s="32"/>
      <c r="E764" s="32"/>
      <c r="F764" s="32"/>
      <c r="G764" s="32"/>
      <c r="H764" s="32"/>
      <c r="I764" s="14"/>
      <c r="K764" s="39"/>
    </row>
    <row r="765">
      <c r="A765" s="31"/>
      <c r="B765" s="32"/>
      <c r="E765" s="32"/>
      <c r="F765" s="32"/>
      <c r="G765" s="32"/>
      <c r="H765" s="32"/>
      <c r="I765" s="14"/>
      <c r="K765" s="39"/>
    </row>
    <row r="766">
      <c r="A766" s="31"/>
      <c r="B766" s="32"/>
      <c r="E766" s="32"/>
      <c r="F766" s="32"/>
      <c r="G766" s="32"/>
      <c r="H766" s="32"/>
      <c r="I766" s="14"/>
      <c r="K766" s="39"/>
    </row>
    <row r="767">
      <c r="A767" s="31"/>
      <c r="B767" s="32"/>
      <c r="E767" s="32"/>
      <c r="F767" s="32"/>
      <c r="G767" s="32"/>
      <c r="H767" s="32"/>
      <c r="I767" s="14"/>
      <c r="K767" s="39"/>
    </row>
    <row r="768">
      <c r="A768" s="31"/>
      <c r="B768" s="32"/>
      <c r="E768" s="32"/>
      <c r="F768" s="32"/>
      <c r="G768" s="32"/>
      <c r="H768" s="32"/>
      <c r="I768" s="14"/>
      <c r="K768" s="39"/>
    </row>
    <row r="769">
      <c r="A769" s="31"/>
      <c r="B769" s="32"/>
      <c r="E769" s="32"/>
      <c r="F769" s="32"/>
      <c r="G769" s="32"/>
      <c r="H769" s="32"/>
      <c r="I769" s="14"/>
      <c r="K769" s="39"/>
    </row>
    <row r="770">
      <c r="A770" s="31"/>
      <c r="B770" s="32"/>
      <c r="E770" s="32"/>
      <c r="F770" s="32"/>
      <c r="G770" s="32"/>
      <c r="H770" s="32"/>
      <c r="I770" s="14"/>
      <c r="K770" s="39"/>
    </row>
    <row r="771">
      <c r="A771" s="31"/>
      <c r="B771" s="32"/>
      <c r="E771" s="32"/>
      <c r="F771" s="32"/>
      <c r="G771" s="32"/>
      <c r="H771" s="32"/>
      <c r="I771" s="14"/>
      <c r="K771" s="39"/>
    </row>
    <row r="772">
      <c r="A772" s="31"/>
      <c r="B772" s="32"/>
      <c r="E772" s="32"/>
      <c r="F772" s="32"/>
      <c r="G772" s="32"/>
      <c r="H772" s="32"/>
      <c r="I772" s="14"/>
      <c r="K772" s="39"/>
    </row>
    <row r="773">
      <c r="A773" s="31"/>
      <c r="B773" s="32"/>
      <c r="E773" s="32"/>
      <c r="F773" s="32"/>
      <c r="G773" s="32"/>
      <c r="H773" s="32"/>
      <c r="I773" s="14"/>
      <c r="K773" s="39"/>
    </row>
    <row r="774">
      <c r="A774" s="31"/>
      <c r="B774" s="32"/>
      <c r="E774" s="32"/>
      <c r="F774" s="32"/>
      <c r="G774" s="32"/>
      <c r="H774" s="32"/>
      <c r="I774" s="14"/>
      <c r="K774" s="39"/>
    </row>
    <row r="775">
      <c r="A775" s="31"/>
      <c r="B775" s="32"/>
      <c r="E775" s="32"/>
      <c r="F775" s="32"/>
      <c r="G775" s="32"/>
      <c r="H775" s="32"/>
      <c r="I775" s="14"/>
      <c r="K775" s="39"/>
    </row>
    <row r="776">
      <c r="A776" s="31"/>
      <c r="B776" s="32"/>
      <c r="E776" s="32"/>
      <c r="F776" s="32"/>
      <c r="G776" s="32"/>
      <c r="H776" s="32"/>
      <c r="I776" s="14"/>
      <c r="K776" s="39"/>
    </row>
    <row r="777">
      <c r="A777" s="31"/>
      <c r="B777" s="32"/>
      <c r="E777" s="32"/>
      <c r="F777" s="32"/>
      <c r="G777" s="32"/>
      <c r="H777" s="32"/>
      <c r="I777" s="14"/>
      <c r="K777" s="39"/>
    </row>
    <row r="778">
      <c r="A778" s="31"/>
      <c r="B778" s="32"/>
      <c r="E778" s="32"/>
      <c r="F778" s="32"/>
      <c r="G778" s="32"/>
      <c r="H778" s="32"/>
      <c r="I778" s="14"/>
      <c r="K778" s="39"/>
    </row>
    <row r="779">
      <c r="A779" s="31"/>
      <c r="B779" s="32"/>
      <c r="E779" s="32"/>
      <c r="F779" s="32"/>
      <c r="G779" s="32"/>
      <c r="H779" s="32"/>
      <c r="I779" s="14"/>
      <c r="K779" s="39"/>
    </row>
    <row r="780">
      <c r="A780" s="31"/>
      <c r="B780" s="32"/>
      <c r="E780" s="32"/>
      <c r="F780" s="32"/>
      <c r="G780" s="32"/>
      <c r="H780" s="32"/>
      <c r="I780" s="14"/>
      <c r="K780" s="39"/>
    </row>
    <row r="781">
      <c r="A781" s="31"/>
      <c r="B781" s="32"/>
      <c r="E781" s="32"/>
      <c r="F781" s="32"/>
      <c r="G781" s="32"/>
      <c r="H781" s="32"/>
      <c r="I781" s="14"/>
      <c r="K781" s="39"/>
    </row>
    <row r="782">
      <c r="A782" s="31"/>
      <c r="B782" s="32"/>
      <c r="E782" s="32"/>
      <c r="F782" s="32"/>
      <c r="G782" s="32"/>
      <c r="H782" s="32"/>
      <c r="I782" s="14"/>
      <c r="K782" s="39"/>
    </row>
    <row r="783">
      <c r="A783" s="31"/>
      <c r="B783" s="32"/>
      <c r="E783" s="32"/>
      <c r="F783" s="32"/>
      <c r="G783" s="32"/>
      <c r="H783" s="32"/>
      <c r="I783" s="14"/>
      <c r="K783" s="39"/>
    </row>
    <row r="784">
      <c r="A784" s="31"/>
      <c r="B784" s="32"/>
      <c r="E784" s="32"/>
      <c r="F784" s="32"/>
      <c r="G784" s="32"/>
      <c r="H784" s="32"/>
      <c r="I784" s="14"/>
      <c r="K784" s="39"/>
    </row>
    <row r="785">
      <c r="A785" s="31"/>
      <c r="B785" s="32"/>
      <c r="E785" s="32"/>
      <c r="F785" s="32"/>
      <c r="G785" s="32"/>
      <c r="H785" s="32"/>
      <c r="I785" s="14"/>
      <c r="K785" s="39"/>
    </row>
    <row r="786">
      <c r="A786" s="31"/>
      <c r="B786" s="32"/>
      <c r="E786" s="32"/>
      <c r="F786" s="32"/>
      <c r="G786" s="32"/>
      <c r="H786" s="32"/>
      <c r="I786" s="14"/>
      <c r="K786" s="39"/>
    </row>
    <row r="787">
      <c r="A787" s="31"/>
      <c r="B787" s="32"/>
      <c r="E787" s="32"/>
      <c r="F787" s="32"/>
      <c r="G787" s="32"/>
      <c r="H787" s="32"/>
      <c r="I787" s="14"/>
      <c r="K787" s="39"/>
    </row>
    <row r="788">
      <c r="A788" s="31"/>
      <c r="B788" s="32"/>
      <c r="E788" s="32"/>
      <c r="F788" s="32"/>
      <c r="G788" s="32"/>
      <c r="H788" s="32"/>
      <c r="I788" s="14"/>
      <c r="K788" s="39"/>
    </row>
    <row r="789">
      <c r="A789" s="31"/>
      <c r="B789" s="32"/>
      <c r="E789" s="32"/>
      <c r="F789" s="32"/>
      <c r="G789" s="32"/>
      <c r="H789" s="32"/>
      <c r="I789" s="14"/>
      <c r="K789" s="39"/>
    </row>
    <row r="790">
      <c r="A790" s="31"/>
      <c r="B790" s="32"/>
      <c r="E790" s="32"/>
      <c r="F790" s="32"/>
      <c r="G790" s="32"/>
      <c r="H790" s="32"/>
      <c r="I790" s="14"/>
      <c r="K790" s="39"/>
    </row>
    <row r="791">
      <c r="A791" s="31"/>
      <c r="B791" s="32"/>
      <c r="E791" s="32"/>
      <c r="F791" s="32"/>
      <c r="G791" s="32"/>
      <c r="H791" s="32"/>
      <c r="I791" s="14"/>
      <c r="K791" s="39"/>
    </row>
    <row r="792">
      <c r="A792" s="31"/>
      <c r="B792" s="32"/>
      <c r="E792" s="32"/>
      <c r="F792" s="32"/>
      <c r="G792" s="32"/>
      <c r="H792" s="32"/>
      <c r="I792" s="14"/>
      <c r="K792" s="39"/>
    </row>
    <row r="793">
      <c r="A793" s="31"/>
      <c r="B793" s="32"/>
      <c r="E793" s="32"/>
      <c r="F793" s="32"/>
      <c r="G793" s="32"/>
      <c r="H793" s="32"/>
      <c r="I793" s="14"/>
      <c r="K793" s="39"/>
    </row>
    <row r="794">
      <c r="A794" s="31"/>
      <c r="B794" s="32"/>
      <c r="E794" s="32"/>
      <c r="F794" s="32"/>
      <c r="G794" s="32"/>
      <c r="H794" s="32"/>
      <c r="I794" s="14"/>
      <c r="K794" s="39"/>
    </row>
    <row r="795">
      <c r="A795" s="31"/>
      <c r="B795" s="32"/>
      <c r="E795" s="32"/>
      <c r="F795" s="32"/>
      <c r="G795" s="32"/>
      <c r="H795" s="32"/>
      <c r="I795" s="14"/>
      <c r="K795" s="39"/>
    </row>
    <row r="796">
      <c r="A796" s="31"/>
      <c r="B796" s="32"/>
      <c r="E796" s="32"/>
      <c r="F796" s="32"/>
      <c r="G796" s="32"/>
      <c r="H796" s="32"/>
      <c r="I796" s="14"/>
      <c r="K796" s="39"/>
    </row>
    <row r="797">
      <c r="A797" s="31"/>
      <c r="B797" s="32"/>
      <c r="E797" s="32"/>
      <c r="F797" s="32"/>
      <c r="G797" s="32"/>
      <c r="H797" s="32"/>
      <c r="I797" s="14"/>
      <c r="K797" s="39"/>
    </row>
    <row r="798">
      <c r="A798" s="31"/>
      <c r="B798" s="32"/>
      <c r="E798" s="32"/>
      <c r="F798" s="32"/>
      <c r="G798" s="32"/>
      <c r="H798" s="32"/>
      <c r="I798" s="14"/>
      <c r="K798" s="39"/>
    </row>
    <row r="799">
      <c r="A799" s="31"/>
      <c r="B799" s="32"/>
      <c r="E799" s="32"/>
      <c r="F799" s="32"/>
      <c r="G799" s="32"/>
      <c r="H799" s="32"/>
      <c r="I799" s="14"/>
      <c r="K799" s="39"/>
    </row>
    <row r="800">
      <c r="A800" s="31"/>
      <c r="B800" s="32"/>
      <c r="E800" s="32"/>
      <c r="F800" s="32"/>
      <c r="G800" s="32"/>
      <c r="H800" s="32"/>
      <c r="I800" s="14"/>
      <c r="K800" s="39"/>
    </row>
    <row r="801">
      <c r="A801" s="31"/>
      <c r="B801" s="32"/>
      <c r="E801" s="32"/>
      <c r="F801" s="32"/>
      <c r="G801" s="32"/>
      <c r="H801" s="32"/>
      <c r="I801" s="14"/>
      <c r="K801" s="39"/>
    </row>
    <row r="802">
      <c r="A802" s="31"/>
      <c r="B802" s="32"/>
      <c r="E802" s="32"/>
      <c r="F802" s="32"/>
      <c r="G802" s="32"/>
      <c r="H802" s="32"/>
      <c r="I802" s="14"/>
      <c r="K802" s="39"/>
    </row>
    <row r="803">
      <c r="A803" s="31"/>
      <c r="B803" s="32"/>
      <c r="E803" s="32"/>
      <c r="F803" s="32"/>
      <c r="G803" s="32"/>
      <c r="H803" s="32"/>
      <c r="I803" s="14"/>
      <c r="K803" s="39"/>
    </row>
    <row r="804">
      <c r="A804" s="31"/>
      <c r="B804" s="32"/>
      <c r="E804" s="32"/>
      <c r="F804" s="32"/>
      <c r="G804" s="32"/>
      <c r="H804" s="32"/>
      <c r="I804" s="14"/>
      <c r="K804" s="39"/>
    </row>
    <row r="805">
      <c r="A805" s="31"/>
      <c r="B805" s="32"/>
      <c r="E805" s="32"/>
      <c r="F805" s="32"/>
      <c r="G805" s="32"/>
      <c r="H805" s="32"/>
      <c r="I805" s="14"/>
      <c r="K805" s="39"/>
    </row>
    <row r="806">
      <c r="A806" s="31"/>
      <c r="B806" s="32"/>
      <c r="E806" s="32"/>
      <c r="F806" s="32"/>
      <c r="G806" s="32"/>
      <c r="H806" s="32"/>
      <c r="I806" s="14"/>
      <c r="K806" s="39"/>
    </row>
    <row r="807">
      <c r="A807" s="31"/>
      <c r="B807" s="32"/>
      <c r="E807" s="32"/>
      <c r="F807" s="32"/>
      <c r="G807" s="32"/>
      <c r="H807" s="32"/>
      <c r="I807" s="14"/>
      <c r="K807" s="39"/>
    </row>
    <row r="808">
      <c r="A808" s="31"/>
      <c r="B808" s="32"/>
      <c r="E808" s="32"/>
      <c r="F808" s="32"/>
      <c r="G808" s="32"/>
      <c r="H808" s="32"/>
      <c r="I808" s="14"/>
      <c r="K808" s="39"/>
    </row>
    <row r="809">
      <c r="A809" s="31"/>
      <c r="B809" s="32"/>
      <c r="E809" s="32"/>
      <c r="F809" s="32"/>
      <c r="G809" s="32"/>
      <c r="H809" s="32"/>
      <c r="I809" s="14"/>
      <c r="K809" s="39"/>
    </row>
    <row r="810">
      <c r="A810" s="31"/>
      <c r="B810" s="32"/>
      <c r="E810" s="32"/>
      <c r="F810" s="32"/>
      <c r="G810" s="32"/>
      <c r="H810" s="32"/>
      <c r="I810" s="14"/>
      <c r="K810" s="39"/>
    </row>
    <row r="811">
      <c r="A811" s="31"/>
      <c r="B811" s="32"/>
      <c r="E811" s="32"/>
      <c r="F811" s="32"/>
      <c r="G811" s="32"/>
      <c r="H811" s="32"/>
      <c r="I811" s="14"/>
      <c r="K811" s="39"/>
    </row>
    <row r="812">
      <c r="A812" s="31"/>
      <c r="B812" s="32"/>
      <c r="E812" s="32"/>
      <c r="F812" s="32"/>
      <c r="G812" s="32"/>
      <c r="H812" s="32"/>
      <c r="I812" s="14"/>
      <c r="K812" s="39"/>
    </row>
    <row r="813">
      <c r="A813" s="31"/>
      <c r="B813" s="32"/>
      <c r="E813" s="32"/>
      <c r="F813" s="32"/>
      <c r="G813" s="32"/>
      <c r="H813" s="32"/>
      <c r="I813" s="14"/>
      <c r="K813" s="39"/>
    </row>
    <row r="814">
      <c r="A814" s="31"/>
      <c r="B814" s="32"/>
      <c r="E814" s="32"/>
      <c r="F814" s="32"/>
      <c r="G814" s="32"/>
      <c r="H814" s="32"/>
      <c r="I814" s="14"/>
      <c r="K814" s="39"/>
    </row>
    <row r="815">
      <c r="A815" s="31"/>
      <c r="B815" s="32"/>
      <c r="E815" s="32"/>
      <c r="F815" s="32"/>
      <c r="G815" s="32"/>
      <c r="H815" s="32"/>
      <c r="I815" s="14"/>
      <c r="K815" s="39"/>
    </row>
    <row r="816">
      <c r="A816" s="31"/>
      <c r="B816" s="32"/>
      <c r="E816" s="32"/>
      <c r="F816" s="32"/>
      <c r="G816" s="32"/>
      <c r="H816" s="32"/>
      <c r="I816" s="14"/>
      <c r="K816" s="39"/>
    </row>
    <row r="817">
      <c r="A817" s="31"/>
      <c r="B817" s="32"/>
      <c r="E817" s="32"/>
      <c r="F817" s="32"/>
      <c r="G817" s="32"/>
      <c r="H817" s="32"/>
      <c r="I817" s="14"/>
      <c r="K817" s="39"/>
    </row>
    <row r="818">
      <c r="A818" s="31"/>
      <c r="B818" s="32"/>
      <c r="E818" s="32"/>
      <c r="F818" s="32"/>
      <c r="G818" s="32"/>
      <c r="H818" s="32"/>
      <c r="I818" s="14"/>
      <c r="K818" s="39"/>
    </row>
    <row r="819">
      <c r="A819" s="31"/>
      <c r="B819" s="32"/>
      <c r="E819" s="32"/>
      <c r="F819" s="32"/>
      <c r="G819" s="32"/>
      <c r="H819" s="32"/>
      <c r="I819" s="14"/>
      <c r="K819" s="39"/>
    </row>
    <row r="820">
      <c r="A820" s="31"/>
      <c r="B820" s="32"/>
      <c r="E820" s="32"/>
      <c r="F820" s="32"/>
      <c r="G820" s="32"/>
      <c r="H820" s="32"/>
      <c r="I820" s="14"/>
      <c r="K820" s="39"/>
    </row>
    <row r="821">
      <c r="A821" s="31"/>
      <c r="B821" s="32"/>
      <c r="E821" s="32"/>
      <c r="F821" s="32"/>
      <c r="G821" s="32"/>
      <c r="H821" s="32"/>
      <c r="I821" s="14"/>
      <c r="K821" s="39"/>
    </row>
    <row r="822">
      <c r="A822" s="31"/>
      <c r="B822" s="32"/>
      <c r="E822" s="32"/>
      <c r="F822" s="32"/>
      <c r="G822" s="32"/>
      <c r="H822" s="32"/>
      <c r="I822" s="14"/>
      <c r="K822" s="39"/>
    </row>
    <row r="823">
      <c r="A823" s="31"/>
      <c r="B823" s="32"/>
      <c r="E823" s="32"/>
      <c r="F823" s="32"/>
      <c r="G823" s="32"/>
      <c r="H823" s="32"/>
      <c r="I823" s="14"/>
      <c r="K823" s="39"/>
    </row>
    <row r="824">
      <c r="A824" s="31"/>
      <c r="B824" s="32"/>
      <c r="E824" s="32"/>
      <c r="F824" s="32"/>
      <c r="G824" s="32"/>
      <c r="H824" s="32"/>
      <c r="I824" s="14"/>
      <c r="K824" s="39"/>
    </row>
    <row r="825">
      <c r="A825" s="31"/>
      <c r="B825" s="32"/>
      <c r="E825" s="32"/>
      <c r="F825" s="32"/>
      <c r="G825" s="32"/>
      <c r="H825" s="32"/>
      <c r="I825" s="14"/>
      <c r="K825" s="39"/>
    </row>
    <row r="826">
      <c r="A826" s="31"/>
      <c r="B826" s="32"/>
      <c r="E826" s="32"/>
      <c r="F826" s="32"/>
      <c r="G826" s="32"/>
      <c r="H826" s="32"/>
      <c r="I826" s="14"/>
      <c r="K826" s="39"/>
    </row>
    <row r="827">
      <c r="A827" s="31"/>
      <c r="B827" s="32"/>
      <c r="E827" s="32"/>
      <c r="F827" s="32"/>
      <c r="G827" s="32"/>
      <c r="H827" s="32"/>
      <c r="I827" s="14"/>
      <c r="K827" s="39"/>
    </row>
    <row r="828">
      <c r="A828" s="31"/>
      <c r="B828" s="32"/>
      <c r="E828" s="32"/>
      <c r="F828" s="32"/>
      <c r="G828" s="32"/>
      <c r="H828" s="32"/>
      <c r="I828" s="14"/>
      <c r="K828" s="39"/>
    </row>
    <row r="829">
      <c r="A829" s="31"/>
      <c r="B829" s="32"/>
      <c r="E829" s="32"/>
      <c r="F829" s="32"/>
      <c r="G829" s="32"/>
      <c r="H829" s="32"/>
      <c r="I829" s="14"/>
      <c r="K829" s="39"/>
    </row>
    <row r="830">
      <c r="A830" s="31"/>
      <c r="B830" s="32"/>
      <c r="E830" s="32"/>
      <c r="F830" s="32"/>
      <c r="G830" s="32"/>
      <c r="H830" s="32"/>
      <c r="I830" s="14"/>
      <c r="K830" s="39"/>
    </row>
    <row r="831">
      <c r="A831" s="31"/>
      <c r="B831" s="32"/>
      <c r="E831" s="32"/>
      <c r="F831" s="32"/>
      <c r="G831" s="32"/>
      <c r="H831" s="32"/>
      <c r="I831" s="14"/>
      <c r="K831" s="39"/>
    </row>
    <row r="832">
      <c r="A832" s="31"/>
      <c r="B832" s="32"/>
      <c r="E832" s="32"/>
      <c r="F832" s="32"/>
      <c r="G832" s="32"/>
      <c r="H832" s="32"/>
      <c r="I832" s="14"/>
      <c r="K832" s="39"/>
    </row>
    <row r="833">
      <c r="A833" s="31"/>
      <c r="B833" s="32"/>
      <c r="E833" s="32"/>
      <c r="F833" s="32"/>
      <c r="G833" s="32"/>
      <c r="H833" s="32"/>
      <c r="I833" s="14"/>
      <c r="K833" s="39"/>
    </row>
    <row r="834">
      <c r="A834" s="31"/>
      <c r="B834" s="32"/>
      <c r="E834" s="32"/>
      <c r="F834" s="32"/>
      <c r="G834" s="32"/>
      <c r="H834" s="32"/>
      <c r="I834" s="14"/>
      <c r="K834" s="39"/>
    </row>
    <row r="835">
      <c r="A835" s="31"/>
      <c r="B835" s="32"/>
      <c r="E835" s="32"/>
      <c r="F835" s="32"/>
      <c r="G835" s="32"/>
      <c r="H835" s="32"/>
      <c r="I835" s="14"/>
      <c r="K835" s="39"/>
    </row>
    <row r="836">
      <c r="A836" s="31"/>
      <c r="B836" s="32"/>
      <c r="E836" s="32"/>
      <c r="F836" s="32"/>
      <c r="G836" s="32"/>
      <c r="H836" s="32"/>
      <c r="I836" s="14"/>
      <c r="K836" s="39"/>
    </row>
    <row r="837">
      <c r="A837" s="31"/>
      <c r="B837" s="32"/>
      <c r="E837" s="32"/>
      <c r="F837" s="32"/>
      <c r="G837" s="32"/>
      <c r="H837" s="32"/>
      <c r="I837" s="14"/>
      <c r="K837" s="39"/>
    </row>
    <row r="838">
      <c r="A838" s="31"/>
      <c r="B838" s="32"/>
      <c r="E838" s="32"/>
      <c r="F838" s="32"/>
      <c r="G838" s="32"/>
      <c r="H838" s="32"/>
      <c r="I838" s="14"/>
      <c r="K838" s="39"/>
    </row>
    <row r="839">
      <c r="A839" s="31"/>
      <c r="B839" s="32"/>
      <c r="E839" s="32"/>
      <c r="F839" s="32"/>
      <c r="G839" s="32"/>
      <c r="H839" s="32"/>
      <c r="I839" s="14"/>
      <c r="K839" s="39"/>
    </row>
    <row r="840">
      <c r="A840" s="31"/>
      <c r="B840" s="32"/>
      <c r="E840" s="32"/>
      <c r="F840" s="32"/>
      <c r="G840" s="32"/>
      <c r="H840" s="32"/>
      <c r="I840" s="14"/>
      <c r="K840" s="39"/>
    </row>
    <row r="841">
      <c r="A841" s="31"/>
      <c r="B841" s="32"/>
      <c r="E841" s="32"/>
      <c r="F841" s="32"/>
      <c r="G841" s="32"/>
      <c r="H841" s="32"/>
      <c r="I841" s="14"/>
      <c r="K841" s="39"/>
    </row>
    <row r="842">
      <c r="A842" s="31"/>
      <c r="B842" s="32"/>
      <c r="E842" s="32"/>
      <c r="F842" s="32"/>
      <c r="G842" s="32"/>
      <c r="H842" s="32"/>
      <c r="I842" s="14"/>
      <c r="K842" s="39"/>
    </row>
    <row r="843">
      <c r="A843" s="31"/>
      <c r="B843" s="32"/>
      <c r="E843" s="32"/>
      <c r="F843" s="32"/>
      <c r="G843" s="32"/>
      <c r="H843" s="32"/>
      <c r="I843" s="14"/>
      <c r="K843" s="39"/>
    </row>
    <row r="844">
      <c r="A844" s="31"/>
      <c r="B844" s="32"/>
      <c r="E844" s="32"/>
      <c r="F844" s="32"/>
      <c r="G844" s="32"/>
      <c r="H844" s="32"/>
      <c r="I844" s="14"/>
      <c r="K844" s="39"/>
    </row>
    <row r="845">
      <c r="A845" s="31"/>
      <c r="B845" s="32"/>
      <c r="E845" s="32"/>
      <c r="F845" s="32"/>
      <c r="G845" s="32"/>
      <c r="H845" s="32"/>
      <c r="I845" s="14"/>
      <c r="K845" s="39"/>
    </row>
    <row r="846">
      <c r="A846" s="31"/>
      <c r="B846" s="32"/>
      <c r="E846" s="32"/>
      <c r="F846" s="32"/>
      <c r="G846" s="32"/>
      <c r="H846" s="32"/>
      <c r="I846" s="14"/>
      <c r="K846" s="39"/>
    </row>
    <row r="847">
      <c r="A847" s="31"/>
      <c r="B847" s="32"/>
      <c r="E847" s="32"/>
      <c r="F847" s="32"/>
      <c r="G847" s="32"/>
      <c r="H847" s="32"/>
      <c r="I847" s="14"/>
      <c r="K847" s="39"/>
    </row>
    <row r="848">
      <c r="A848" s="31"/>
      <c r="B848" s="32"/>
      <c r="E848" s="32"/>
      <c r="F848" s="32"/>
      <c r="G848" s="32"/>
      <c r="H848" s="32"/>
      <c r="I848" s="14"/>
      <c r="K848" s="39"/>
    </row>
    <row r="849">
      <c r="A849" s="31"/>
      <c r="B849" s="32"/>
      <c r="E849" s="32"/>
      <c r="F849" s="32"/>
      <c r="G849" s="32"/>
      <c r="H849" s="32"/>
      <c r="I849" s="14"/>
      <c r="K849" s="39"/>
    </row>
    <row r="850">
      <c r="A850" s="31"/>
      <c r="B850" s="32"/>
      <c r="E850" s="32"/>
      <c r="F850" s="32"/>
      <c r="G850" s="32"/>
      <c r="H850" s="32"/>
      <c r="I850" s="14"/>
      <c r="K850" s="39"/>
    </row>
    <row r="851">
      <c r="A851" s="31"/>
      <c r="B851" s="32"/>
      <c r="E851" s="32"/>
      <c r="F851" s="32"/>
      <c r="G851" s="32"/>
      <c r="H851" s="32"/>
      <c r="I851" s="14"/>
      <c r="K851" s="39"/>
    </row>
    <row r="852">
      <c r="A852" s="31"/>
      <c r="B852" s="32"/>
      <c r="E852" s="32"/>
      <c r="F852" s="32"/>
      <c r="G852" s="32"/>
      <c r="H852" s="32"/>
      <c r="I852" s="14"/>
      <c r="K852" s="39"/>
    </row>
    <row r="853">
      <c r="A853" s="31"/>
      <c r="B853" s="32"/>
      <c r="E853" s="32"/>
      <c r="F853" s="32"/>
      <c r="G853" s="32"/>
      <c r="H853" s="32"/>
      <c r="I853" s="14"/>
      <c r="K853" s="39"/>
    </row>
    <row r="854">
      <c r="A854" s="31"/>
      <c r="B854" s="32"/>
      <c r="E854" s="32"/>
      <c r="F854" s="32"/>
      <c r="G854" s="32"/>
      <c r="H854" s="32"/>
      <c r="I854" s="14"/>
      <c r="K854" s="39"/>
    </row>
    <row r="855">
      <c r="A855" s="31"/>
      <c r="B855" s="32"/>
      <c r="E855" s="32"/>
      <c r="F855" s="32"/>
      <c r="G855" s="32"/>
      <c r="H855" s="32"/>
      <c r="I855" s="14"/>
      <c r="K855" s="39"/>
    </row>
    <row r="856">
      <c r="A856" s="31"/>
      <c r="B856" s="32"/>
      <c r="E856" s="32"/>
      <c r="F856" s="32"/>
      <c r="G856" s="32"/>
      <c r="H856" s="32"/>
      <c r="I856" s="14"/>
      <c r="K856" s="39"/>
    </row>
    <row r="857">
      <c r="A857" s="31"/>
      <c r="B857" s="32"/>
      <c r="E857" s="32"/>
      <c r="F857" s="32"/>
      <c r="G857" s="32"/>
      <c r="H857" s="32"/>
      <c r="I857" s="14"/>
      <c r="K857" s="39"/>
    </row>
    <row r="858">
      <c r="A858" s="31"/>
      <c r="B858" s="32"/>
      <c r="E858" s="32"/>
      <c r="F858" s="32"/>
      <c r="G858" s="32"/>
      <c r="H858" s="32"/>
      <c r="I858" s="14"/>
      <c r="K858" s="39"/>
    </row>
    <row r="859">
      <c r="A859" s="31"/>
      <c r="B859" s="32"/>
      <c r="E859" s="32"/>
      <c r="F859" s="32"/>
      <c r="G859" s="32"/>
      <c r="H859" s="32"/>
      <c r="I859" s="14"/>
      <c r="K859" s="39"/>
    </row>
    <row r="860">
      <c r="A860" s="31"/>
      <c r="B860" s="32"/>
      <c r="E860" s="32"/>
      <c r="F860" s="32"/>
      <c r="G860" s="32"/>
      <c r="H860" s="32"/>
      <c r="I860" s="14"/>
      <c r="K860" s="39"/>
    </row>
    <row r="861">
      <c r="A861" s="31"/>
      <c r="B861" s="32"/>
      <c r="E861" s="32"/>
      <c r="F861" s="32"/>
      <c r="G861" s="32"/>
      <c r="H861" s="32"/>
      <c r="I861" s="14"/>
      <c r="K861" s="39"/>
    </row>
    <row r="862">
      <c r="A862" s="31"/>
      <c r="B862" s="32"/>
      <c r="E862" s="32"/>
      <c r="F862" s="32"/>
      <c r="G862" s="32"/>
      <c r="H862" s="32"/>
      <c r="I862" s="14"/>
      <c r="K862" s="39"/>
    </row>
    <row r="863">
      <c r="A863" s="31"/>
      <c r="B863" s="32"/>
      <c r="E863" s="32"/>
      <c r="F863" s="32"/>
      <c r="G863" s="32"/>
      <c r="H863" s="32"/>
      <c r="I863" s="14"/>
      <c r="K863" s="39"/>
    </row>
    <row r="864">
      <c r="A864" s="31"/>
      <c r="B864" s="32"/>
      <c r="E864" s="32"/>
      <c r="F864" s="32"/>
      <c r="G864" s="32"/>
      <c r="H864" s="32"/>
      <c r="I864" s="14"/>
      <c r="K864" s="39"/>
    </row>
    <row r="865">
      <c r="A865" s="31"/>
      <c r="B865" s="32"/>
      <c r="E865" s="32"/>
      <c r="F865" s="32"/>
      <c r="G865" s="32"/>
      <c r="H865" s="32"/>
      <c r="I865" s="14"/>
      <c r="K865" s="39"/>
    </row>
    <row r="866">
      <c r="A866" s="31"/>
      <c r="B866" s="32"/>
      <c r="E866" s="32"/>
      <c r="F866" s="32"/>
      <c r="G866" s="32"/>
      <c r="H866" s="32"/>
      <c r="I866" s="14"/>
      <c r="K866" s="39"/>
    </row>
    <row r="867">
      <c r="A867" s="31"/>
      <c r="B867" s="32"/>
      <c r="E867" s="32"/>
      <c r="F867" s="32"/>
      <c r="G867" s="32"/>
      <c r="H867" s="32"/>
      <c r="I867" s="14"/>
      <c r="K867" s="39"/>
    </row>
    <row r="868">
      <c r="A868" s="31"/>
      <c r="B868" s="32"/>
      <c r="E868" s="32"/>
      <c r="F868" s="32"/>
      <c r="G868" s="32"/>
      <c r="H868" s="32"/>
      <c r="I868" s="14"/>
      <c r="K868" s="39"/>
    </row>
    <row r="869">
      <c r="A869" s="31"/>
      <c r="B869" s="32"/>
      <c r="E869" s="32"/>
      <c r="F869" s="32"/>
      <c r="G869" s="32"/>
      <c r="H869" s="32"/>
      <c r="I869" s="14"/>
      <c r="K869" s="39"/>
    </row>
    <row r="870">
      <c r="A870" s="31"/>
      <c r="B870" s="32"/>
      <c r="E870" s="32"/>
      <c r="F870" s="32"/>
      <c r="G870" s="32"/>
      <c r="H870" s="32"/>
      <c r="I870" s="14"/>
      <c r="K870" s="39"/>
    </row>
    <row r="871">
      <c r="A871" s="31"/>
      <c r="B871" s="32"/>
      <c r="E871" s="32"/>
      <c r="F871" s="32"/>
      <c r="G871" s="32"/>
      <c r="H871" s="32"/>
      <c r="I871" s="14"/>
      <c r="K871" s="39"/>
    </row>
    <row r="872">
      <c r="A872" s="31"/>
      <c r="B872" s="32"/>
      <c r="E872" s="32"/>
      <c r="F872" s="32"/>
      <c r="G872" s="32"/>
      <c r="H872" s="32"/>
      <c r="I872" s="14"/>
      <c r="K872" s="39"/>
    </row>
    <row r="873">
      <c r="A873" s="31"/>
      <c r="B873" s="32"/>
      <c r="E873" s="32"/>
      <c r="F873" s="32"/>
      <c r="G873" s="32"/>
      <c r="H873" s="32"/>
      <c r="I873" s="14"/>
      <c r="K873" s="39"/>
    </row>
    <row r="874">
      <c r="A874" s="31"/>
      <c r="B874" s="32"/>
      <c r="E874" s="32"/>
      <c r="F874" s="32"/>
      <c r="G874" s="32"/>
      <c r="H874" s="32"/>
      <c r="I874" s="14"/>
      <c r="K874" s="39"/>
    </row>
    <row r="875">
      <c r="A875" s="31"/>
      <c r="B875" s="32"/>
      <c r="E875" s="32"/>
      <c r="F875" s="32"/>
      <c r="G875" s="32"/>
      <c r="H875" s="32"/>
      <c r="I875" s="14"/>
      <c r="K875" s="39"/>
    </row>
    <row r="876">
      <c r="A876" s="31"/>
      <c r="B876" s="32"/>
      <c r="E876" s="32"/>
      <c r="F876" s="32"/>
      <c r="G876" s="32"/>
      <c r="H876" s="32"/>
      <c r="I876" s="14"/>
      <c r="K876" s="39"/>
    </row>
    <row r="877">
      <c r="A877" s="31"/>
      <c r="B877" s="32"/>
      <c r="E877" s="32"/>
      <c r="F877" s="32"/>
      <c r="G877" s="32"/>
      <c r="H877" s="32"/>
      <c r="I877" s="14"/>
      <c r="K877" s="39"/>
    </row>
    <row r="878">
      <c r="A878" s="31"/>
      <c r="B878" s="32"/>
      <c r="E878" s="32"/>
      <c r="F878" s="32"/>
      <c r="G878" s="32"/>
      <c r="H878" s="32"/>
      <c r="I878" s="14"/>
      <c r="K878" s="39"/>
    </row>
    <row r="879">
      <c r="A879" s="31"/>
      <c r="B879" s="32"/>
      <c r="E879" s="32"/>
      <c r="F879" s="32"/>
      <c r="G879" s="32"/>
      <c r="H879" s="32"/>
      <c r="I879" s="14"/>
      <c r="K879" s="39"/>
    </row>
    <row r="880">
      <c r="A880" s="31"/>
      <c r="B880" s="32"/>
      <c r="E880" s="32"/>
      <c r="F880" s="32"/>
      <c r="G880" s="32"/>
      <c r="H880" s="32"/>
      <c r="I880" s="14"/>
      <c r="K880" s="39"/>
    </row>
    <row r="881">
      <c r="A881" s="31"/>
      <c r="B881" s="32"/>
      <c r="E881" s="32"/>
      <c r="F881" s="32"/>
      <c r="G881" s="32"/>
      <c r="H881" s="32"/>
      <c r="I881" s="14"/>
      <c r="K881" s="39"/>
    </row>
    <row r="882">
      <c r="A882" s="31"/>
      <c r="B882" s="32"/>
      <c r="E882" s="32"/>
      <c r="F882" s="32"/>
      <c r="G882" s="32"/>
      <c r="H882" s="32"/>
      <c r="I882" s="14"/>
      <c r="K882" s="39"/>
    </row>
    <row r="883">
      <c r="A883" s="31"/>
      <c r="B883" s="32"/>
      <c r="E883" s="32"/>
      <c r="F883" s="32"/>
      <c r="G883" s="32"/>
      <c r="H883" s="32"/>
      <c r="I883" s="14"/>
      <c r="K883" s="39"/>
    </row>
    <row r="884">
      <c r="A884" s="31"/>
      <c r="B884" s="32"/>
      <c r="E884" s="32"/>
      <c r="F884" s="32"/>
      <c r="G884" s="32"/>
      <c r="H884" s="32"/>
      <c r="I884" s="14"/>
      <c r="K884" s="39"/>
    </row>
    <row r="885">
      <c r="A885" s="31"/>
      <c r="B885" s="32"/>
      <c r="E885" s="32"/>
      <c r="F885" s="32"/>
      <c r="G885" s="32"/>
      <c r="H885" s="32"/>
      <c r="I885" s="14"/>
      <c r="K885" s="39"/>
    </row>
    <row r="886">
      <c r="A886" s="31"/>
      <c r="B886" s="32"/>
      <c r="E886" s="32"/>
      <c r="F886" s="32"/>
      <c r="G886" s="32"/>
      <c r="H886" s="32"/>
      <c r="I886" s="14"/>
      <c r="K886" s="39"/>
    </row>
    <row r="887">
      <c r="A887" s="31"/>
      <c r="B887" s="32"/>
      <c r="E887" s="32"/>
      <c r="F887" s="32"/>
      <c r="G887" s="32"/>
      <c r="H887" s="32"/>
      <c r="I887" s="14"/>
      <c r="K887" s="39"/>
    </row>
    <row r="888">
      <c r="A888" s="31"/>
      <c r="B888" s="32"/>
      <c r="E888" s="32"/>
      <c r="F888" s="32"/>
      <c r="G888" s="32"/>
      <c r="H888" s="32"/>
      <c r="I888" s="14"/>
      <c r="K888" s="39"/>
    </row>
    <row r="889">
      <c r="A889" s="31"/>
      <c r="B889" s="32"/>
      <c r="E889" s="32"/>
      <c r="F889" s="32"/>
      <c r="G889" s="32"/>
      <c r="H889" s="32"/>
      <c r="I889" s="14"/>
      <c r="K889" s="39"/>
    </row>
    <row r="890">
      <c r="A890" s="31"/>
      <c r="B890" s="32"/>
      <c r="E890" s="32"/>
      <c r="F890" s="32"/>
      <c r="G890" s="32"/>
      <c r="H890" s="32"/>
      <c r="I890" s="14"/>
      <c r="K890" s="39"/>
    </row>
    <row r="891">
      <c r="A891" s="31"/>
      <c r="B891" s="32"/>
      <c r="E891" s="32"/>
      <c r="F891" s="32"/>
      <c r="G891" s="32"/>
      <c r="H891" s="32"/>
      <c r="I891" s="14"/>
      <c r="K891" s="39"/>
    </row>
    <row r="892">
      <c r="A892" s="31"/>
      <c r="B892" s="32"/>
      <c r="E892" s="32"/>
      <c r="F892" s="32"/>
      <c r="G892" s="32"/>
      <c r="H892" s="32"/>
      <c r="I892" s="14"/>
      <c r="K892" s="39"/>
    </row>
    <row r="893">
      <c r="A893" s="31"/>
      <c r="B893" s="32"/>
      <c r="E893" s="32"/>
      <c r="F893" s="32"/>
      <c r="G893" s="32"/>
      <c r="H893" s="32"/>
      <c r="I893" s="14"/>
      <c r="K893" s="39"/>
    </row>
    <row r="894">
      <c r="A894" s="31"/>
      <c r="B894" s="32"/>
      <c r="E894" s="32"/>
      <c r="F894" s="32"/>
      <c r="G894" s="32"/>
      <c r="H894" s="32"/>
      <c r="I894" s="14"/>
      <c r="K894" s="39"/>
    </row>
    <row r="895">
      <c r="A895" s="31"/>
      <c r="B895" s="32"/>
      <c r="E895" s="32"/>
      <c r="F895" s="32"/>
      <c r="G895" s="32"/>
      <c r="H895" s="32"/>
      <c r="I895" s="14"/>
      <c r="K895" s="39"/>
    </row>
    <row r="896">
      <c r="A896" s="31"/>
      <c r="B896" s="32"/>
      <c r="E896" s="32"/>
      <c r="F896" s="32"/>
      <c r="G896" s="32"/>
      <c r="H896" s="32"/>
      <c r="I896" s="14"/>
      <c r="K896" s="39"/>
    </row>
    <row r="897">
      <c r="A897" s="31"/>
      <c r="B897" s="32"/>
      <c r="E897" s="32"/>
      <c r="F897" s="32"/>
      <c r="G897" s="32"/>
      <c r="H897" s="32"/>
      <c r="I897" s="14"/>
      <c r="K897" s="39"/>
    </row>
    <row r="898">
      <c r="A898" s="31"/>
      <c r="B898" s="32"/>
      <c r="E898" s="32"/>
      <c r="F898" s="32"/>
      <c r="G898" s="32"/>
      <c r="H898" s="32"/>
      <c r="I898" s="14"/>
      <c r="K898" s="39"/>
    </row>
    <row r="899">
      <c r="A899" s="31"/>
      <c r="B899" s="32"/>
      <c r="E899" s="32"/>
      <c r="F899" s="32"/>
      <c r="G899" s="32"/>
      <c r="H899" s="32"/>
      <c r="I899" s="14"/>
      <c r="K899" s="39"/>
    </row>
    <row r="900">
      <c r="A900" s="31"/>
      <c r="B900" s="32"/>
      <c r="E900" s="32"/>
      <c r="F900" s="32"/>
      <c r="G900" s="32"/>
      <c r="H900" s="32"/>
      <c r="I900" s="14"/>
      <c r="K900" s="39"/>
    </row>
    <row r="901">
      <c r="A901" s="31"/>
      <c r="B901" s="32"/>
      <c r="E901" s="32"/>
      <c r="F901" s="32"/>
      <c r="G901" s="32"/>
      <c r="H901" s="32"/>
      <c r="I901" s="14"/>
      <c r="K901" s="39"/>
    </row>
    <row r="902">
      <c r="A902" s="31"/>
      <c r="B902" s="32"/>
      <c r="E902" s="32"/>
      <c r="F902" s="32"/>
      <c r="G902" s="32"/>
      <c r="H902" s="32"/>
      <c r="I902" s="14"/>
      <c r="K902" s="39"/>
    </row>
    <row r="903">
      <c r="A903" s="31"/>
      <c r="B903" s="32"/>
      <c r="E903" s="32"/>
      <c r="F903" s="32"/>
      <c r="G903" s="32"/>
      <c r="H903" s="32"/>
      <c r="I903" s="14"/>
      <c r="K903" s="39"/>
    </row>
    <row r="904">
      <c r="A904" s="31"/>
      <c r="B904" s="32"/>
      <c r="E904" s="32"/>
      <c r="F904" s="32"/>
      <c r="G904" s="32"/>
      <c r="H904" s="32"/>
      <c r="I904" s="14"/>
      <c r="K904" s="39"/>
    </row>
    <row r="905">
      <c r="A905" s="31"/>
      <c r="B905" s="32"/>
      <c r="E905" s="32"/>
      <c r="F905" s="32"/>
      <c r="G905" s="32"/>
      <c r="H905" s="32"/>
      <c r="I905" s="14"/>
      <c r="K905" s="39"/>
    </row>
    <row r="906">
      <c r="A906" s="31"/>
      <c r="B906" s="32"/>
      <c r="E906" s="32"/>
      <c r="F906" s="32"/>
      <c r="G906" s="32"/>
      <c r="H906" s="32"/>
      <c r="I906" s="14"/>
      <c r="K906" s="39"/>
    </row>
    <row r="907">
      <c r="A907" s="31"/>
      <c r="B907" s="32"/>
      <c r="E907" s="32"/>
      <c r="F907" s="32"/>
      <c r="G907" s="32"/>
      <c r="H907" s="32"/>
      <c r="I907" s="14"/>
      <c r="K907" s="39"/>
    </row>
    <row r="908">
      <c r="A908" s="31"/>
      <c r="B908" s="32"/>
      <c r="E908" s="32"/>
      <c r="F908" s="32"/>
      <c r="G908" s="32"/>
      <c r="H908" s="32"/>
      <c r="I908" s="14"/>
      <c r="K908" s="39"/>
    </row>
    <row r="909">
      <c r="A909" s="31"/>
      <c r="B909" s="32"/>
      <c r="E909" s="32"/>
      <c r="F909" s="32"/>
      <c r="G909" s="32"/>
      <c r="H909" s="32"/>
      <c r="I909" s="14"/>
      <c r="K909" s="39"/>
    </row>
    <row r="910">
      <c r="A910" s="31"/>
      <c r="B910" s="32"/>
      <c r="E910" s="32"/>
      <c r="F910" s="32"/>
      <c r="G910" s="32"/>
      <c r="H910" s="32"/>
      <c r="I910" s="14"/>
      <c r="K910" s="39"/>
    </row>
    <row r="911">
      <c r="A911" s="31"/>
      <c r="B911" s="32"/>
      <c r="E911" s="32"/>
      <c r="F911" s="32"/>
      <c r="G911" s="32"/>
      <c r="H911" s="32"/>
      <c r="I911" s="14"/>
      <c r="K911" s="39"/>
    </row>
    <row r="912">
      <c r="A912" s="31"/>
      <c r="B912" s="32"/>
      <c r="E912" s="32"/>
      <c r="F912" s="32"/>
      <c r="G912" s="32"/>
      <c r="H912" s="32"/>
      <c r="I912" s="14"/>
      <c r="K912" s="39"/>
    </row>
    <row r="913">
      <c r="A913" s="31"/>
      <c r="B913" s="32"/>
      <c r="E913" s="32"/>
      <c r="F913" s="32"/>
      <c r="G913" s="32"/>
      <c r="H913" s="32"/>
      <c r="I913" s="14"/>
      <c r="K913" s="39"/>
    </row>
    <row r="914">
      <c r="A914" s="31"/>
      <c r="B914" s="32"/>
      <c r="E914" s="32"/>
      <c r="F914" s="32"/>
      <c r="G914" s="32"/>
      <c r="H914" s="32"/>
      <c r="I914" s="14"/>
      <c r="K914" s="39"/>
    </row>
    <row r="915">
      <c r="A915" s="31"/>
      <c r="B915" s="32"/>
      <c r="E915" s="32"/>
      <c r="F915" s="32"/>
      <c r="G915" s="32"/>
      <c r="H915" s="32"/>
      <c r="I915" s="14"/>
      <c r="K915" s="39"/>
    </row>
    <row r="916">
      <c r="A916" s="31"/>
      <c r="B916" s="32"/>
      <c r="E916" s="32"/>
      <c r="F916" s="32"/>
      <c r="G916" s="32"/>
      <c r="H916" s="32"/>
      <c r="I916" s="14"/>
      <c r="K916" s="39"/>
    </row>
    <row r="917">
      <c r="A917" s="31"/>
      <c r="B917" s="32"/>
      <c r="E917" s="32"/>
      <c r="F917" s="32"/>
      <c r="G917" s="32"/>
      <c r="H917" s="32"/>
      <c r="I917" s="14"/>
      <c r="K917" s="39"/>
    </row>
    <row r="918">
      <c r="A918" s="31"/>
      <c r="B918" s="32"/>
      <c r="E918" s="32"/>
      <c r="F918" s="32"/>
      <c r="G918" s="32"/>
      <c r="H918" s="32"/>
      <c r="I918" s="14"/>
      <c r="K918" s="39"/>
    </row>
    <row r="919">
      <c r="A919" s="31"/>
      <c r="B919" s="32"/>
      <c r="E919" s="32"/>
      <c r="F919" s="32"/>
      <c r="G919" s="32"/>
      <c r="H919" s="32"/>
      <c r="I919" s="14"/>
      <c r="K919" s="39"/>
    </row>
    <row r="920">
      <c r="A920" s="31"/>
      <c r="B920" s="32"/>
      <c r="E920" s="32"/>
      <c r="F920" s="32"/>
      <c r="G920" s="32"/>
      <c r="H920" s="32"/>
      <c r="I920" s="14"/>
      <c r="K920" s="39"/>
    </row>
    <row r="921">
      <c r="A921" s="31"/>
      <c r="B921" s="32"/>
      <c r="E921" s="32"/>
      <c r="F921" s="32"/>
      <c r="G921" s="32"/>
      <c r="H921" s="32"/>
      <c r="I921" s="14"/>
      <c r="K921" s="39"/>
    </row>
    <row r="922">
      <c r="A922" s="31"/>
      <c r="B922" s="32"/>
      <c r="E922" s="32"/>
      <c r="F922" s="32"/>
      <c r="G922" s="32"/>
      <c r="H922" s="32"/>
      <c r="I922" s="14"/>
      <c r="K922" s="39"/>
    </row>
    <row r="923">
      <c r="A923" s="31"/>
      <c r="B923" s="32"/>
      <c r="E923" s="32"/>
      <c r="F923" s="32"/>
      <c r="G923" s="32"/>
      <c r="H923" s="32"/>
      <c r="I923" s="14"/>
      <c r="K923" s="39"/>
    </row>
    <row r="924">
      <c r="A924" s="31"/>
      <c r="B924" s="32"/>
      <c r="E924" s="32"/>
      <c r="F924" s="32"/>
      <c r="G924" s="32"/>
      <c r="H924" s="32"/>
      <c r="I924" s="14"/>
      <c r="K924" s="39"/>
    </row>
    <row r="925">
      <c r="A925" s="31"/>
      <c r="B925" s="32"/>
      <c r="E925" s="32"/>
      <c r="F925" s="32"/>
      <c r="G925" s="32"/>
      <c r="H925" s="32"/>
      <c r="I925" s="14"/>
      <c r="K925" s="39"/>
    </row>
    <row r="926">
      <c r="A926" s="31"/>
      <c r="B926" s="32"/>
      <c r="E926" s="32"/>
      <c r="F926" s="32"/>
      <c r="G926" s="32"/>
      <c r="H926" s="32"/>
      <c r="I926" s="14"/>
      <c r="K926" s="39"/>
    </row>
    <row r="927">
      <c r="A927" s="31"/>
      <c r="B927" s="32"/>
      <c r="E927" s="32"/>
      <c r="F927" s="32"/>
      <c r="G927" s="32"/>
      <c r="H927" s="32"/>
      <c r="I927" s="14"/>
      <c r="K927" s="39"/>
    </row>
    <row r="928">
      <c r="A928" s="31"/>
      <c r="B928" s="32"/>
      <c r="E928" s="32"/>
      <c r="F928" s="32"/>
      <c r="G928" s="32"/>
      <c r="H928" s="32"/>
      <c r="I928" s="14"/>
      <c r="K928" s="39"/>
    </row>
    <row r="929">
      <c r="A929" s="31"/>
      <c r="B929" s="32"/>
      <c r="E929" s="32"/>
      <c r="F929" s="32"/>
      <c r="G929" s="32"/>
      <c r="H929" s="32"/>
      <c r="I929" s="14"/>
      <c r="K929" s="39"/>
    </row>
    <row r="930">
      <c r="A930" s="31"/>
      <c r="B930" s="32"/>
      <c r="E930" s="32"/>
      <c r="F930" s="32"/>
      <c r="G930" s="32"/>
      <c r="H930" s="32"/>
      <c r="I930" s="14"/>
      <c r="K930" s="39"/>
    </row>
    <row r="931">
      <c r="A931" s="31"/>
      <c r="B931" s="32"/>
      <c r="E931" s="32"/>
      <c r="F931" s="32"/>
      <c r="G931" s="32"/>
      <c r="H931" s="32"/>
      <c r="I931" s="14"/>
      <c r="K931" s="39"/>
    </row>
    <row r="932">
      <c r="A932" s="31"/>
      <c r="B932" s="32"/>
      <c r="E932" s="32"/>
      <c r="F932" s="32"/>
      <c r="G932" s="32"/>
      <c r="H932" s="32"/>
      <c r="I932" s="14"/>
      <c r="K932" s="39"/>
    </row>
    <row r="933">
      <c r="A933" s="31"/>
      <c r="B933" s="32"/>
      <c r="E933" s="32"/>
      <c r="F933" s="32"/>
      <c r="G933" s="32"/>
      <c r="H933" s="32"/>
      <c r="I933" s="14"/>
      <c r="K933" s="39"/>
    </row>
    <row r="934">
      <c r="A934" s="31"/>
      <c r="B934" s="32"/>
      <c r="E934" s="32"/>
      <c r="F934" s="32"/>
      <c r="G934" s="32"/>
      <c r="H934" s="32"/>
      <c r="I934" s="14"/>
      <c r="K934" s="39"/>
    </row>
    <row r="935">
      <c r="A935" s="31"/>
      <c r="B935" s="32"/>
      <c r="E935" s="32"/>
      <c r="F935" s="32"/>
      <c r="G935" s="32"/>
      <c r="H935" s="32"/>
      <c r="I935" s="14"/>
      <c r="K935" s="39"/>
    </row>
    <row r="936">
      <c r="A936" s="31"/>
      <c r="B936" s="32"/>
      <c r="E936" s="32"/>
      <c r="F936" s="32"/>
      <c r="G936" s="32"/>
      <c r="H936" s="32"/>
      <c r="I936" s="14"/>
      <c r="K936" s="39"/>
    </row>
    <row r="937">
      <c r="A937" s="31"/>
      <c r="B937" s="32"/>
      <c r="E937" s="32"/>
      <c r="F937" s="32"/>
      <c r="G937" s="32"/>
      <c r="H937" s="32"/>
      <c r="I937" s="14"/>
      <c r="K937" s="39"/>
    </row>
    <row r="938">
      <c r="A938" s="31"/>
      <c r="B938" s="32"/>
      <c r="E938" s="32"/>
      <c r="F938" s="32"/>
      <c r="G938" s="32"/>
      <c r="H938" s="32"/>
      <c r="I938" s="14"/>
      <c r="K938" s="39"/>
    </row>
    <row r="939">
      <c r="A939" s="31"/>
      <c r="B939" s="32"/>
      <c r="E939" s="32"/>
      <c r="F939" s="32"/>
      <c r="G939" s="32"/>
      <c r="H939" s="32"/>
      <c r="I939" s="14"/>
      <c r="K939" s="39"/>
    </row>
    <row r="940">
      <c r="A940" s="31"/>
      <c r="B940" s="32"/>
      <c r="E940" s="32"/>
      <c r="F940" s="32"/>
      <c r="G940" s="32"/>
      <c r="H940" s="32"/>
      <c r="I940" s="14"/>
      <c r="K940" s="39"/>
    </row>
    <row r="941">
      <c r="A941" s="31"/>
      <c r="B941" s="32"/>
      <c r="E941" s="32"/>
      <c r="F941" s="32"/>
      <c r="G941" s="32"/>
      <c r="H941" s="32"/>
      <c r="I941" s="14"/>
      <c r="K941" s="39"/>
    </row>
    <row r="942">
      <c r="A942" s="31"/>
      <c r="B942" s="32"/>
      <c r="E942" s="32"/>
      <c r="F942" s="32"/>
      <c r="G942" s="32"/>
      <c r="H942" s="32"/>
      <c r="I942" s="14"/>
      <c r="K942" s="39"/>
    </row>
    <row r="943">
      <c r="A943" s="31"/>
      <c r="B943" s="32"/>
      <c r="E943" s="32"/>
      <c r="F943" s="32"/>
      <c r="G943" s="32"/>
      <c r="H943" s="32"/>
      <c r="I943" s="14"/>
      <c r="K943" s="39"/>
    </row>
    <row r="944">
      <c r="A944" s="31"/>
      <c r="B944" s="32"/>
      <c r="E944" s="32"/>
      <c r="F944" s="32"/>
      <c r="G944" s="32"/>
      <c r="H944" s="32"/>
      <c r="I944" s="14"/>
      <c r="K944" s="39"/>
    </row>
    <row r="945">
      <c r="A945" s="31"/>
      <c r="B945" s="32"/>
      <c r="E945" s="32"/>
      <c r="F945" s="32"/>
      <c r="G945" s="32"/>
      <c r="H945" s="32"/>
      <c r="I945" s="14"/>
      <c r="K945" s="39"/>
    </row>
    <row r="946">
      <c r="A946" s="31"/>
      <c r="B946" s="32"/>
      <c r="E946" s="32"/>
      <c r="F946" s="32"/>
      <c r="G946" s="32"/>
      <c r="H946" s="32"/>
      <c r="I946" s="14"/>
      <c r="K946" s="39"/>
    </row>
    <row r="947">
      <c r="A947" s="31"/>
      <c r="B947" s="32"/>
      <c r="E947" s="32"/>
      <c r="F947" s="32"/>
      <c r="G947" s="32"/>
      <c r="H947" s="32"/>
      <c r="I947" s="14"/>
      <c r="K947" s="39"/>
    </row>
    <row r="948">
      <c r="A948" s="31"/>
      <c r="B948" s="32"/>
      <c r="E948" s="32"/>
      <c r="F948" s="32"/>
      <c r="G948" s="32"/>
      <c r="H948" s="32"/>
      <c r="I948" s="14"/>
      <c r="K948" s="39"/>
    </row>
    <row r="949">
      <c r="A949" s="31"/>
      <c r="B949" s="32"/>
      <c r="E949" s="32"/>
      <c r="F949" s="32"/>
      <c r="G949" s="32"/>
      <c r="H949" s="32"/>
      <c r="I949" s="14"/>
      <c r="K949" s="39"/>
    </row>
    <row r="950">
      <c r="A950" s="31"/>
      <c r="B950" s="32"/>
      <c r="E950" s="32"/>
      <c r="F950" s="32"/>
      <c r="G950" s="32"/>
      <c r="H950" s="32"/>
      <c r="I950" s="14"/>
      <c r="K950" s="39"/>
    </row>
    <row r="951">
      <c r="A951" s="31"/>
      <c r="B951" s="32"/>
      <c r="E951" s="32"/>
      <c r="F951" s="32"/>
      <c r="G951" s="32"/>
      <c r="H951" s="32"/>
      <c r="I951" s="14"/>
      <c r="K951" s="39"/>
    </row>
    <row r="952">
      <c r="A952" s="31"/>
      <c r="B952" s="32"/>
      <c r="E952" s="32"/>
      <c r="F952" s="32"/>
      <c r="G952" s="32"/>
      <c r="H952" s="32"/>
      <c r="I952" s="14"/>
      <c r="K952" s="39"/>
    </row>
    <row r="953">
      <c r="A953" s="31"/>
      <c r="B953" s="32"/>
      <c r="E953" s="32"/>
      <c r="F953" s="32"/>
      <c r="G953" s="32"/>
      <c r="H953" s="32"/>
      <c r="I953" s="14"/>
      <c r="K953" s="39"/>
    </row>
    <row r="954">
      <c r="A954" s="31"/>
      <c r="B954" s="32"/>
      <c r="E954" s="32"/>
      <c r="F954" s="32"/>
      <c r="G954" s="32"/>
      <c r="H954" s="32"/>
      <c r="I954" s="14"/>
      <c r="K954" s="39"/>
    </row>
    <row r="955">
      <c r="A955" s="31"/>
      <c r="B955" s="32"/>
      <c r="E955" s="32"/>
      <c r="F955" s="32"/>
      <c r="G955" s="32"/>
      <c r="H955" s="32"/>
      <c r="I955" s="14"/>
      <c r="K955" s="39"/>
    </row>
    <row r="956">
      <c r="A956" s="31"/>
      <c r="B956" s="32"/>
      <c r="E956" s="32"/>
      <c r="F956" s="32"/>
      <c r="G956" s="32"/>
      <c r="H956" s="32"/>
      <c r="I956" s="14"/>
      <c r="K956" s="39"/>
    </row>
    <row r="957">
      <c r="A957" s="31"/>
      <c r="B957" s="32"/>
      <c r="E957" s="32"/>
      <c r="F957" s="32"/>
      <c r="G957" s="32"/>
      <c r="H957" s="32"/>
      <c r="I957" s="14"/>
      <c r="K957" s="39"/>
    </row>
    <row r="958">
      <c r="A958" s="31"/>
      <c r="B958" s="32"/>
      <c r="E958" s="32"/>
      <c r="F958" s="32"/>
      <c r="G958" s="32"/>
      <c r="H958" s="32"/>
      <c r="I958" s="14"/>
      <c r="K958" s="39"/>
    </row>
    <row r="959">
      <c r="A959" s="31"/>
      <c r="B959" s="32"/>
      <c r="E959" s="32"/>
      <c r="F959" s="32"/>
      <c r="G959" s="32"/>
      <c r="H959" s="32"/>
      <c r="I959" s="14"/>
      <c r="K959" s="39"/>
    </row>
    <row r="960">
      <c r="A960" s="31"/>
      <c r="B960" s="32"/>
      <c r="E960" s="32"/>
      <c r="F960" s="32"/>
      <c r="G960" s="32"/>
      <c r="H960" s="32"/>
      <c r="I960" s="14"/>
      <c r="K960" s="39"/>
    </row>
    <row r="961">
      <c r="A961" s="31"/>
      <c r="B961" s="32"/>
      <c r="E961" s="32"/>
      <c r="F961" s="32"/>
      <c r="G961" s="32"/>
      <c r="H961" s="32"/>
      <c r="I961" s="14"/>
      <c r="K961" s="39"/>
    </row>
    <row r="962">
      <c r="A962" s="31"/>
      <c r="B962" s="32"/>
      <c r="E962" s="32"/>
      <c r="F962" s="32"/>
      <c r="G962" s="32"/>
      <c r="H962" s="32"/>
      <c r="I962" s="14"/>
      <c r="K962" s="39"/>
    </row>
    <row r="963">
      <c r="A963" s="31"/>
      <c r="B963" s="32"/>
      <c r="E963" s="32"/>
      <c r="F963" s="32"/>
      <c r="G963" s="32"/>
      <c r="H963" s="32"/>
      <c r="I963" s="14"/>
      <c r="K963" s="39"/>
    </row>
    <row r="964">
      <c r="A964" s="31"/>
      <c r="B964" s="32"/>
      <c r="E964" s="32"/>
      <c r="F964" s="32"/>
      <c r="G964" s="32"/>
      <c r="H964" s="32"/>
      <c r="I964" s="14"/>
      <c r="K964" s="39"/>
    </row>
    <row r="965">
      <c r="A965" s="31"/>
      <c r="B965" s="32"/>
      <c r="E965" s="32"/>
      <c r="F965" s="32"/>
      <c r="G965" s="32"/>
      <c r="H965" s="32"/>
      <c r="I965" s="14"/>
      <c r="K965" s="39"/>
    </row>
    <row r="966">
      <c r="A966" s="31"/>
      <c r="B966" s="32"/>
      <c r="E966" s="32"/>
      <c r="F966" s="32"/>
      <c r="G966" s="32"/>
      <c r="H966" s="32"/>
      <c r="I966" s="14"/>
      <c r="K966" s="39"/>
    </row>
    <row r="967">
      <c r="A967" s="31"/>
      <c r="B967" s="32"/>
      <c r="E967" s="32"/>
      <c r="F967" s="32"/>
      <c r="G967" s="32"/>
      <c r="H967" s="32"/>
      <c r="I967" s="14"/>
      <c r="K967" s="39"/>
    </row>
    <row r="968">
      <c r="A968" s="31"/>
      <c r="B968" s="32"/>
      <c r="E968" s="32"/>
      <c r="F968" s="32"/>
      <c r="G968" s="32"/>
      <c r="H968" s="32"/>
      <c r="I968" s="14"/>
      <c r="K968" s="39"/>
    </row>
    <row r="969">
      <c r="A969" s="31"/>
      <c r="B969" s="32"/>
      <c r="E969" s="32"/>
      <c r="F969" s="32"/>
      <c r="G969" s="32"/>
      <c r="H969" s="32"/>
      <c r="I969" s="14"/>
      <c r="K969" s="39"/>
    </row>
    <row r="970">
      <c r="A970" s="31"/>
      <c r="B970" s="32"/>
      <c r="E970" s="32"/>
      <c r="F970" s="32"/>
      <c r="G970" s="32"/>
      <c r="H970" s="32"/>
      <c r="I970" s="14"/>
      <c r="K970" s="39"/>
    </row>
    <row r="971">
      <c r="A971" s="31"/>
      <c r="B971" s="32"/>
      <c r="E971" s="32"/>
      <c r="F971" s="32"/>
      <c r="G971" s="32"/>
      <c r="H971" s="32"/>
      <c r="I971" s="14"/>
      <c r="K971" s="39"/>
    </row>
    <row r="972">
      <c r="A972" s="31"/>
      <c r="B972" s="32"/>
      <c r="E972" s="32"/>
      <c r="F972" s="32"/>
      <c r="G972" s="32"/>
      <c r="H972" s="32"/>
      <c r="I972" s="14"/>
      <c r="K972" s="39"/>
    </row>
    <row r="973">
      <c r="A973" s="31"/>
      <c r="B973" s="32"/>
      <c r="E973" s="32"/>
      <c r="F973" s="32"/>
      <c r="G973" s="32"/>
      <c r="H973" s="32"/>
      <c r="I973" s="14"/>
      <c r="K973" s="39"/>
    </row>
    <row r="974">
      <c r="A974" s="31"/>
      <c r="B974" s="32"/>
      <c r="E974" s="32"/>
      <c r="F974" s="32"/>
      <c r="G974" s="32"/>
      <c r="H974" s="32"/>
      <c r="I974" s="14"/>
      <c r="K974" s="39"/>
    </row>
    <row r="975">
      <c r="A975" s="31"/>
      <c r="B975" s="32"/>
      <c r="E975" s="32"/>
      <c r="F975" s="32"/>
      <c r="G975" s="32"/>
      <c r="H975" s="32"/>
      <c r="I975" s="14"/>
      <c r="K975" s="39"/>
    </row>
    <row r="976">
      <c r="A976" s="31"/>
      <c r="B976" s="32"/>
      <c r="E976" s="32"/>
      <c r="F976" s="32"/>
      <c r="G976" s="32"/>
      <c r="H976" s="32"/>
      <c r="I976" s="14"/>
      <c r="K976" s="39"/>
    </row>
    <row r="977">
      <c r="A977" s="31"/>
      <c r="B977" s="32"/>
      <c r="E977" s="32"/>
      <c r="F977" s="32"/>
      <c r="G977" s="32"/>
      <c r="H977" s="32"/>
      <c r="I977" s="14"/>
      <c r="K977" s="39"/>
    </row>
    <row r="978">
      <c r="A978" s="31"/>
      <c r="B978" s="32"/>
      <c r="E978" s="32"/>
      <c r="F978" s="32"/>
      <c r="G978" s="32"/>
      <c r="H978" s="32"/>
      <c r="I978" s="14"/>
      <c r="K978" s="39"/>
    </row>
    <row r="979">
      <c r="A979" s="31"/>
      <c r="B979" s="32"/>
      <c r="E979" s="32"/>
      <c r="F979" s="32"/>
      <c r="G979" s="32"/>
      <c r="H979" s="32"/>
      <c r="I979" s="14"/>
      <c r="K979" s="39"/>
    </row>
    <row r="980">
      <c r="A980" s="31"/>
      <c r="B980" s="32"/>
      <c r="E980" s="32"/>
      <c r="F980" s="32"/>
      <c r="G980" s="32"/>
      <c r="H980" s="32"/>
      <c r="I980" s="14"/>
      <c r="K980" s="39"/>
    </row>
    <row r="981">
      <c r="A981" s="31"/>
      <c r="B981" s="32"/>
      <c r="E981" s="32"/>
      <c r="F981" s="32"/>
      <c r="G981" s="32"/>
      <c r="H981" s="32"/>
      <c r="I981" s="14"/>
      <c r="K981" s="39"/>
    </row>
    <row r="982">
      <c r="A982" s="31"/>
      <c r="B982" s="32"/>
      <c r="E982" s="32"/>
      <c r="F982" s="32"/>
      <c r="G982" s="32"/>
      <c r="H982" s="32"/>
      <c r="I982" s="14"/>
      <c r="K982" s="39"/>
    </row>
    <row r="983">
      <c r="A983" s="31"/>
      <c r="B983" s="32"/>
      <c r="E983" s="32"/>
      <c r="F983" s="32"/>
      <c r="G983" s="32"/>
      <c r="H983" s="32"/>
      <c r="I983" s="14"/>
      <c r="K983" s="39"/>
    </row>
    <row r="984">
      <c r="A984" s="31"/>
      <c r="B984" s="32"/>
      <c r="E984" s="32"/>
      <c r="F984" s="32"/>
      <c r="G984" s="32"/>
      <c r="H984" s="32"/>
      <c r="I984" s="14"/>
      <c r="K984" s="39"/>
    </row>
    <row r="985">
      <c r="A985" s="31"/>
      <c r="B985" s="32"/>
      <c r="E985" s="32"/>
      <c r="F985" s="32"/>
      <c r="G985" s="32"/>
      <c r="H985" s="32"/>
      <c r="I985" s="14"/>
      <c r="K985" s="39"/>
    </row>
    <row r="986">
      <c r="A986" s="31"/>
      <c r="B986" s="32"/>
      <c r="E986" s="32"/>
      <c r="F986" s="32"/>
      <c r="G986" s="32"/>
      <c r="H986" s="32"/>
      <c r="I986" s="14"/>
      <c r="K986" s="39"/>
    </row>
    <row r="987">
      <c r="A987" s="31"/>
      <c r="B987" s="32"/>
      <c r="E987" s="32"/>
      <c r="F987" s="32"/>
      <c r="G987" s="32"/>
      <c r="H987" s="32"/>
      <c r="I987" s="14"/>
      <c r="K987" s="39"/>
    </row>
    <row r="988">
      <c r="A988" s="31"/>
      <c r="B988" s="32"/>
      <c r="E988" s="32"/>
      <c r="F988" s="32"/>
      <c r="G988" s="32"/>
      <c r="H988" s="32"/>
      <c r="I988" s="14"/>
      <c r="K988" s="39"/>
    </row>
    <row r="989">
      <c r="A989" s="31"/>
      <c r="B989" s="32"/>
      <c r="E989" s="32"/>
      <c r="F989" s="32"/>
      <c r="G989" s="32"/>
      <c r="H989" s="32"/>
      <c r="I989" s="14"/>
      <c r="K989" s="39"/>
    </row>
    <row r="990">
      <c r="A990" s="31"/>
      <c r="B990" s="32"/>
      <c r="E990" s="32"/>
      <c r="F990" s="32"/>
      <c r="G990" s="32"/>
      <c r="H990" s="32"/>
      <c r="I990" s="14"/>
      <c r="K990" s="39"/>
    </row>
    <row r="991">
      <c r="A991" s="31"/>
      <c r="B991" s="32"/>
      <c r="E991" s="32"/>
      <c r="F991" s="32"/>
      <c r="G991" s="32"/>
      <c r="H991" s="32"/>
      <c r="I991" s="14"/>
      <c r="K991" s="39"/>
    </row>
    <row r="992">
      <c r="A992" s="31"/>
      <c r="B992" s="32"/>
      <c r="E992" s="32"/>
      <c r="F992" s="32"/>
      <c r="G992" s="32"/>
      <c r="H992" s="32"/>
      <c r="I992" s="14"/>
      <c r="K992" s="39"/>
    </row>
    <row r="993">
      <c r="A993" s="31"/>
      <c r="B993" s="32"/>
      <c r="E993" s="32"/>
      <c r="F993" s="32"/>
      <c r="G993" s="32"/>
      <c r="H993" s="32"/>
      <c r="I993" s="14"/>
      <c r="K993" s="39"/>
    </row>
    <row r="994">
      <c r="A994" s="31"/>
      <c r="B994" s="32"/>
      <c r="E994" s="32"/>
      <c r="F994" s="32"/>
      <c r="G994" s="32"/>
      <c r="H994" s="32"/>
      <c r="I994" s="14"/>
      <c r="K994" s="39"/>
    </row>
    <row r="995">
      <c r="A995" s="31"/>
      <c r="B995" s="32"/>
      <c r="E995" s="32"/>
      <c r="F995" s="32"/>
      <c r="G995" s="32"/>
      <c r="H995" s="32"/>
      <c r="I995" s="14"/>
      <c r="K995" s="39"/>
    </row>
    <row r="996">
      <c r="A996" s="31"/>
      <c r="B996" s="32"/>
      <c r="E996" s="32"/>
      <c r="F996" s="32"/>
      <c r="G996" s="32"/>
      <c r="H996" s="32"/>
      <c r="I996" s="14"/>
      <c r="K996" s="39"/>
    </row>
    <row r="997">
      <c r="A997" s="31"/>
      <c r="B997" s="32"/>
      <c r="E997" s="32"/>
      <c r="F997" s="32"/>
      <c r="G997" s="32"/>
      <c r="H997" s="32"/>
      <c r="I997" s="14"/>
      <c r="K997" s="39"/>
    </row>
    <row r="998">
      <c r="A998" s="31"/>
      <c r="B998" s="32"/>
      <c r="E998" s="32"/>
      <c r="F998" s="32"/>
      <c r="G998" s="32"/>
      <c r="H998" s="32"/>
      <c r="I998" s="14"/>
      <c r="K998" s="39"/>
    </row>
    <row r="999">
      <c r="A999" s="31"/>
      <c r="B999" s="32"/>
      <c r="E999" s="32"/>
      <c r="F999" s="32"/>
      <c r="G999" s="32"/>
      <c r="H999" s="32"/>
      <c r="I999" s="14"/>
      <c r="K999" s="39"/>
    </row>
    <row r="1000">
      <c r="A1000" s="31"/>
      <c r="B1000" s="32"/>
      <c r="E1000" s="32"/>
      <c r="F1000" s="32"/>
      <c r="G1000" s="32"/>
      <c r="H1000" s="32"/>
      <c r="I1000" s="14"/>
      <c r="K1000" s="39"/>
    </row>
    <row r="1001">
      <c r="A1001" s="31"/>
      <c r="B1001" s="32"/>
      <c r="E1001" s="32"/>
      <c r="F1001" s="32"/>
      <c r="G1001" s="32"/>
      <c r="H1001" s="32"/>
      <c r="I1001" s="14"/>
      <c r="K1001" s="39"/>
    </row>
    <row r="1002">
      <c r="A1002" s="31"/>
      <c r="B1002" s="32"/>
      <c r="E1002" s="32"/>
      <c r="F1002" s="32"/>
      <c r="G1002" s="32"/>
      <c r="H1002" s="32"/>
      <c r="I1002" s="14"/>
      <c r="K1002" s="39"/>
    </row>
    <row r="1003">
      <c r="A1003" s="31"/>
      <c r="B1003" s="32"/>
      <c r="E1003" s="32"/>
      <c r="F1003" s="32"/>
      <c r="G1003" s="32"/>
      <c r="H1003" s="32"/>
      <c r="I1003" s="14"/>
      <c r="K1003" s="39"/>
    </row>
    <row r="1004">
      <c r="A1004" s="31"/>
      <c r="B1004" s="32"/>
      <c r="E1004" s="32"/>
      <c r="F1004" s="32"/>
      <c r="G1004" s="32"/>
      <c r="H1004" s="32"/>
      <c r="I1004" s="14"/>
      <c r="K1004" s="39"/>
    </row>
    <row r="1005">
      <c r="A1005" s="31"/>
      <c r="B1005" s="32"/>
      <c r="E1005" s="32"/>
      <c r="F1005" s="32"/>
      <c r="G1005" s="32"/>
      <c r="H1005" s="32"/>
      <c r="I1005" s="14"/>
      <c r="K1005" s="39"/>
    </row>
    <row r="1006">
      <c r="A1006" s="31"/>
      <c r="B1006" s="32"/>
      <c r="E1006" s="32"/>
      <c r="F1006" s="32"/>
      <c r="G1006" s="32"/>
      <c r="H1006" s="32"/>
      <c r="I1006" s="14"/>
      <c r="K1006" s="39"/>
    </row>
    <row r="1007">
      <c r="A1007" s="31"/>
      <c r="B1007" s="32"/>
      <c r="E1007" s="32"/>
      <c r="F1007" s="32"/>
      <c r="G1007" s="32"/>
      <c r="H1007" s="32"/>
      <c r="I1007" s="14"/>
      <c r="K1007" s="39"/>
    </row>
    <row r="1008">
      <c r="A1008" s="31"/>
      <c r="B1008" s="32"/>
      <c r="E1008" s="32"/>
      <c r="F1008" s="32"/>
      <c r="G1008" s="32"/>
      <c r="H1008" s="32"/>
      <c r="I1008" s="14"/>
      <c r="K1008" s="39"/>
    </row>
  </sheetData>
  <mergeCells count="1">
    <mergeCell ref="A21:G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4.0"/>
    <col customWidth="1" min="5" max="5" width="22.0"/>
    <col customWidth="1" min="6" max="6" width="26.63"/>
  </cols>
  <sheetData>
    <row r="1">
      <c r="A1" s="40" t="s">
        <v>41</v>
      </c>
      <c r="B1" s="40" t="s">
        <v>42</v>
      </c>
      <c r="C1" s="40" t="s">
        <v>43</v>
      </c>
      <c r="D1" s="40" t="s">
        <v>44</v>
      </c>
      <c r="E1" s="40" t="s">
        <v>45</v>
      </c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>
      <c r="A2" s="42">
        <v>45455.0</v>
      </c>
      <c r="B2" s="43" t="s">
        <v>32</v>
      </c>
      <c r="C2" s="43" t="s">
        <v>46</v>
      </c>
      <c r="D2" s="44">
        <v>2.723</v>
      </c>
      <c r="E2" s="45"/>
    </row>
    <row r="3">
      <c r="A3" s="42">
        <v>45455.0</v>
      </c>
      <c r="B3" s="43" t="s">
        <v>32</v>
      </c>
      <c r="C3" s="43" t="s">
        <v>47</v>
      </c>
      <c r="D3" s="44">
        <v>52.4</v>
      </c>
      <c r="E3" s="43"/>
    </row>
    <row r="4">
      <c r="A4" s="42">
        <v>45481.0</v>
      </c>
      <c r="B4" s="43" t="s">
        <v>32</v>
      </c>
      <c r="C4" s="43" t="s">
        <v>46</v>
      </c>
      <c r="D4" s="44">
        <v>0.745</v>
      </c>
      <c r="E4" s="45"/>
    </row>
    <row r="5">
      <c r="A5" s="42">
        <v>45481.0</v>
      </c>
      <c r="B5" s="43" t="s">
        <v>32</v>
      </c>
      <c r="C5" s="43" t="s">
        <v>47</v>
      </c>
      <c r="D5" s="44">
        <v>9.1</v>
      </c>
      <c r="E5" s="43"/>
    </row>
    <row r="6">
      <c r="A6" s="42">
        <v>45525.0</v>
      </c>
      <c r="B6" s="43" t="s">
        <v>11</v>
      </c>
      <c r="C6" s="43" t="s">
        <v>46</v>
      </c>
      <c r="D6" s="44">
        <v>0.01</v>
      </c>
      <c r="E6" s="45"/>
    </row>
    <row r="7">
      <c r="A7" s="42">
        <v>45525.0</v>
      </c>
      <c r="B7" s="43" t="s">
        <v>11</v>
      </c>
      <c r="C7" s="43" t="s">
        <v>46</v>
      </c>
      <c r="D7" s="44">
        <v>1.99</v>
      </c>
      <c r="E7" s="45"/>
    </row>
    <row r="8">
      <c r="A8" s="42">
        <v>45566.0</v>
      </c>
      <c r="B8" s="43" t="s">
        <v>12</v>
      </c>
      <c r="C8" s="43" t="s">
        <v>46</v>
      </c>
      <c r="D8" s="44">
        <v>4.62</v>
      </c>
      <c r="E8" s="43" t="s">
        <v>48</v>
      </c>
    </row>
    <row r="9">
      <c r="A9" s="42">
        <v>45566.0</v>
      </c>
      <c r="B9" s="43" t="s">
        <v>22</v>
      </c>
      <c r="C9" s="43" t="s">
        <v>46</v>
      </c>
      <c r="D9" s="44">
        <v>6.5193</v>
      </c>
      <c r="E9" s="45"/>
    </row>
    <row r="10">
      <c r="A10" s="42">
        <v>45566.0</v>
      </c>
      <c r="B10" s="43" t="s">
        <v>13</v>
      </c>
      <c r="C10" s="43" t="s">
        <v>46</v>
      </c>
      <c r="D10" s="44">
        <v>5.2</v>
      </c>
      <c r="E10" s="43" t="s">
        <v>49</v>
      </c>
    </row>
    <row r="11">
      <c r="A11" s="42">
        <v>45566.0</v>
      </c>
      <c r="B11" s="43" t="s">
        <v>50</v>
      </c>
      <c r="C11" s="43" t="s">
        <v>47</v>
      </c>
      <c r="D11" s="44">
        <v>17.0</v>
      </c>
      <c r="E11" s="43"/>
    </row>
    <row r="12">
      <c r="A12" s="42">
        <v>45589.0</v>
      </c>
      <c r="B12" s="43" t="s">
        <v>24</v>
      </c>
      <c r="C12" s="43" t="s">
        <v>47</v>
      </c>
      <c r="D12" s="44">
        <v>120.0</v>
      </c>
      <c r="E12" s="43"/>
    </row>
    <row r="13">
      <c r="A13" s="42">
        <v>45605.0</v>
      </c>
      <c r="B13" s="43" t="s">
        <v>13</v>
      </c>
      <c r="C13" s="43" t="s">
        <v>46</v>
      </c>
      <c r="D13" s="44">
        <v>-0.27</v>
      </c>
      <c r="E13" s="43"/>
    </row>
    <row r="14">
      <c r="A14" s="42">
        <v>45640.0</v>
      </c>
      <c r="B14" s="43" t="s">
        <v>13</v>
      </c>
      <c r="C14" s="43" t="s">
        <v>46</v>
      </c>
      <c r="D14" s="44">
        <v>-0.124</v>
      </c>
      <c r="E14" s="43"/>
    </row>
    <row r="15">
      <c r="A15" s="42">
        <v>45717.0</v>
      </c>
      <c r="B15" s="43" t="s">
        <v>50</v>
      </c>
      <c r="C15" s="43" t="s">
        <v>47</v>
      </c>
      <c r="D15" s="44">
        <v>4.608</v>
      </c>
      <c r="E15" s="43"/>
    </row>
    <row r="16">
      <c r="A16" s="42">
        <v>45747.0</v>
      </c>
      <c r="B16" s="43" t="s">
        <v>50</v>
      </c>
      <c r="C16" s="43" t="s">
        <v>47</v>
      </c>
      <c r="D16" s="44">
        <v>5.226</v>
      </c>
      <c r="E16" s="43"/>
    </row>
    <row r="17">
      <c r="A17" s="42">
        <v>45748.0</v>
      </c>
      <c r="B17" s="43" t="s">
        <v>20</v>
      </c>
      <c r="C17" s="43" t="s">
        <v>46</v>
      </c>
      <c r="D17" s="44">
        <v>0.1492</v>
      </c>
      <c r="E17" s="43" t="s">
        <v>51</v>
      </c>
    </row>
    <row r="18">
      <c r="A18" s="42">
        <v>45748.0</v>
      </c>
      <c r="B18" s="43" t="s">
        <v>50</v>
      </c>
      <c r="C18" s="43" t="s">
        <v>46</v>
      </c>
      <c r="D18" s="44">
        <v>0.4483</v>
      </c>
      <c r="E18" s="43" t="s">
        <v>51</v>
      </c>
    </row>
    <row r="19">
      <c r="A19" s="42">
        <v>45748.0</v>
      </c>
      <c r="B19" s="43" t="s">
        <v>24</v>
      </c>
      <c r="C19" s="43" t="s">
        <v>46</v>
      </c>
      <c r="D19" s="44">
        <v>4.121</v>
      </c>
      <c r="E19" s="43" t="s">
        <v>51</v>
      </c>
    </row>
    <row r="20">
      <c r="A20" s="42">
        <v>45803.0</v>
      </c>
      <c r="B20" s="43" t="s">
        <v>52</v>
      </c>
      <c r="C20" s="43" t="s">
        <v>47</v>
      </c>
      <c r="D20" s="44">
        <v>27.01</v>
      </c>
      <c r="E20" s="43" t="s">
        <v>53</v>
      </c>
      <c r="F20" s="46"/>
    </row>
    <row r="21">
      <c r="A21" s="42">
        <v>45803.0</v>
      </c>
      <c r="B21" s="43" t="s">
        <v>54</v>
      </c>
      <c r="C21" s="43" t="s">
        <v>47</v>
      </c>
      <c r="D21" s="44">
        <v>175.0</v>
      </c>
      <c r="E21" s="43"/>
      <c r="F21" s="46"/>
    </row>
    <row r="22">
      <c r="A22" s="42">
        <v>45807.0</v>
      </c>
      <c r="B22" s="43" t="s">
        <v>50</v>
      </c>
      <c r="C22" s="43" t="s">
        <v>47</v>
      </c>
      <c r="D22" s="44">
        <v>3.0466</v>
      </c>
      <c r="E22" s="43"/>
      <c r="F22" s="46"/>
    </row>
    <row r="23">
      <c r="A23" s="42">
        <v>45807.0</v>
      </c>
      <c r="B23" s="43" t="s">
        <v>52</v>
      </c>
      <c r="C23" s="43" t="s">
        <v>47</v>
      </c>
      <c r="D23" s="44">
        <v>32.25</v>
      </c>
      <c r="E23" s="43"/>
      <c r="F23" s="46"/>
    </row>
    <row r="24">
      <c r="A24" s="42">
        <v>45807.0</v>
      </c>
      <c r="B24" s="43" t="s">
        <v>55</v>
      </c>
      <c r="C24" s="43" t="s">
        <v>46</v>
      </c>
      <c r="D24" s="44">
        <v>-0.13</v>
      </c>
      <c r="E24" s="43"/>
      <c r="F24" s="46"/>
    </row>
    <row r="25">
      <c r="A25" s="42">
        <v>45819.0</v>
      </c>
      <c r="B25" s="43" t="s">
        <v>56</v>
      </c>
      <c r="C25" s="43" t="s">
        <v>46</v>
      </c>
      <c r="D25" s="44">
        <v>2.0</v>
      </c>
      <c r="E25" s="43" t="s">
        <v>57</v>
      </c>
      <c r="F25" s="46" t="s">
        <v>58</v>
      </c>
    </row>
    <row r="26">
      <c r="A26" s="42">
        <v>45824.0</v>
      </c>
      <c r="B26" s="43" t="s">
        <v>52</v>
      </c>
      <c r="C26" s="43" t="s">
        <v>59</v>
      </c>
      <c r="D26" s="47">
        <f>134026.75+1700</f>
        <v>135726.75</v>
      </c>
      <c r="E26" s="43"/>
      <c r="F26" s="46"/>
    </row>
    <row r="27">
      <c r="A27" s="42">
        <v>45838.0</v>
      </c>
      <c r="B27" s="43" t="s">
        <v>50</v>
      </c>
      <c r="C27" s="43" t="s">
        <v>47</v>
      </c>
      <c r="D27" s="44">
        <v>2.0</v>
      </c>
      <c r="E27" s="43" t="s">
        <v>60</v>
      </c>
      <c r="F27" s="46"/>
    </row>
    <row r="28">
      <c r="A28" s="42">
        <v>45848.0</v>
      </c>
      <c r="B28" s="43" t="s">
        <v>61</v>
      </c>
      <c r="C28" s="43" t="s">
        <v>59</v>
      </c>
      <c r="D28" s="47">
        <v>109392.0</v>
      </c>
      <c r="E28" s="43" t="s">
        <v>62</v>
      </c>
      <c r="F28" s="46"/>
    </row>
    <row r="29">
      <c r="A29" s="42">
        <v>45848.0</v>
      </c>
      <c r="B29" s="43" t="s">
        <v>63</v>
      </c>
      <c r="C29" s="43" t="s">
        <v>59</v>
      </c>
      <c r="D29" s="47">
        <v>109776.0</v>
      </c>
      <c r="E29" s="43" t="s">
        <v>64</v>
      </c>
      <c r="F29" s="46"/>
    </row>
    <row r="30">
      <c r="A30" s="42">
        <v>45848.0</v>
      </c>
      <c r="B30" s="43" t="s">
        <v>65</v>
      </c>
      <c r="C30" s="43" t="s">
        <v>59</v>
      </c>
      <c r="D30" s="47">
        <v>109333.0</v>
      </c>
      <c r="E30" s="43" t="s">
        <v>66</v>
      </c>
      <c r="F30" s="46"/>
    </row>
    <row r="31">
      <c r="A31" s="42">
        <v>45848.0</v>
      </c>
      <c r="B31" s="43" t="s">
        <v>67</v>
      </c>
      <c r="C31" s="43" t="s">
        <v>59</v>
      </c>
      <c r="D31" s="47">
        <v>255504.0</v>
      </c>
      <c r="E31" s="43" t="s">
        <v>68</v>
      </c>
      <c r="F31" s="46"/>
    </row>
    <row r="32">
      <c r="A32" s="42">
        <v>45849.0</v>
      </c>
      <c r="B32" s="43" t="s">
        <v>56</v>
      </c>
      <c r="C32" s="43" t="s">
        <v>46</v>
      </c>
      <c r="D32" s="44">
        <v>0.9914</v>
      </c>
      <c r="E32" s="43"/>
      <c r="F32" s="46"/>
    </row>
    <row r="33">
      <c r="A33" s="42">
        <v>45852.0</v>
      </c>
      <c r="B33" s="43" t="s">
        <v>61</v>
      </c>
      <c r="C33" s="43" t="s">
        <v>59</v>
      </c>
      <c r="D33" s="47">
        <v>109392.0</v>
      </c>
      <c r="E33" s="43"/>
      <c r="F33" s="46"/>
    </row>
    <row r="34">
      <c r="A34" s="42">
        <v>45852.0</v>
      </c>
      <c r="B34" s="43" t="s">
        <v>69</v>
      </c>
      <c r="C34" s="43" t="s">
        <v>59</v>
      </c>
      <c r="D34" s="47">
        <v>109776.0</v>
      </c>
      <c r="E34" s="43"/>
      <c r="F34" s="46"/>
    </row>
    <row r="35">
      <c r="A35" s="42">
        <v>45852.0</v>
      </c>
      <c r="B35" s="43" t="s">
        <v>70</v>
      </c>
      <c r="C35" s="43" t="s">
        <v>59</v>
      </c>
      <c r="D35" s="47">
        <v>109333.0</v>
      </c>
      <c r="E35" s="43"/>
      <c r="F35" s="46"/>
    </row>
    <row r="36">
      <c r="A36" s="42">
        <v>45852.0</v>
      </c>
      <c r="B36" s="43" t="s">
        <v>71</v>
      </c>
      <c r="C36" s="43" t="s">
        <v>59</v>
      </c>
      <c r="D36" s="47">
        <v>255504.0</v>
      </c>
      <c r="E36" s="43"/>
      <c r="F36" s="46"/>
    </row>
    <row r="37">
      <c r="A37" s="42">
        <v>45852.0</v>
      </c>
      <c r="B37" s="43" t="s">
        <v>72</v>
      </c>
      <c r="C37" s="43" t="s">
        <v>59</v>
      </c>
      <c r="D37" s="47">
        <v>273807.0</v>
      </c>
      <c r="E37" s="43" t="s">
        <v>73</v>
      </c>
      <c r="F37" s="46"/>
    </row>
    <row r="38">
      <c r="A38" s="42">
        <v>45855.0</v>
      </c>
      <c r="B38" s="43" t="s">
        <v>74</v>
      </c>
      <c r="C38" s="43" t="s">
        <v>59</v>
      </c>
      <c r="D38" s="47">
        <v>199659.72</v>
      </c>
      <c r="E38" s="43"/>
      <c r="F38" s="46"/>
    </row>
    <row r="39">
      <c r="A39" s="42">
        <v>45855.0</v>
      </c>
      <c r="B39" s="43" t="s">
        <v>52</v>
      </c>
      <c r="C39" s="43" t="s">
        <v>59</v>
      </c>
      <c r="D39" s="47">
        <v>46955.28</v>
      </c>
      <c r="E39" s="43"/>
      <c r="F39" s="46"/>
    </row>
    <row r="40">
      <c r="A40" s="42">
        <v>45861.0</v>
      </c>
      <c r="B40" s="43" t="s">
        <v>75</v>
      </c>
      <c r="C40" s="43" t="s">
        <v>59</v>
      </c>
      <c r="D40" s="47">
        <v>136737.0</v>
      </c>
      <c r="E40" s="43"/>
      <c r="F40" s="46"/>
    </row>
    <row r="41">
      <c r="A41" s="42">
        <v>45861.0</v>
      </c>
      <c r="B41" s="43" t="s">
        <v>76</v>
      </c>
      <c r="C41" s="43" t="s">
        <v>59</v>
      </c>
      <c r="D41" s="47">
        <v>222687.0</v>
      </c>
      <c r="E41" s="43"/>
      <c r="F41" s="46"/>
    </row>
    <row r="42">
      <c r="A42" s="42">
        <v>45861.0</v>
      </c>
      <c r="B42" s="43" t="s">
        <v>77</v>
      </c>
      <c r="C42" s="43" t="s">
        <v>59</v>
      </c>
      <c r="D42" s="47">
        <v>219747.0</v>
      </c>
      <c r="E42" s="43"/>
      <c r="F42" s="46"/>
    </row>
    <row r="43">
      <c r="A43" s="42">
        <v>45862.0</v>
      </c>
      <c r="B43" s="43" t="s">
        <v>78</v>
      </c>
      <c r="C43" s="43" t="s">
        <v>46</v>
      </c>
      <c r="D43" s="48">
        <v>2.115364</v>
      </c>
      <c r="E43" s="43"/>
      <c r="F43" s="46"/>
    </row>
    <row r="44">
      <c r="A44" s="42">
        <v>45863.0</v>
      </c>
      <c r="B44" s="43" t="s">
        <v>13</v>
      </c>
      <c r="C44" s="43" t="s">
        <v>46</v>
      </c>
      <c r="D44" s="47">
        <v>-0.26</v>
      </c>
      <c r="E44" s="43"/>
      <c r="F44" s="46"/>
    </row>
    <row r="45">
      <c r="A45" s="42">
        <v>45868.0</v>
      </c>
      <c r="B45" s="43" t="s">
        <v>79</v>
      </c>
      <c r="C45" s="43" t="s">
        <v>47</v>
      </c>
      <c r="D45" s="47">
        <v>32.0</v>
      </c>
      <c r="E45" s="43"/>
      <c r="F45" s="46"/>
    </row>
    <row r="46">
      <c r="A46" s="42">
        <v>45868.0</v>
      </c>
      <c r="B46" s="43" t="s">
        <v>80</v>
      </c>
      <c r="C46" s="43" t="s">
        <v>47</v>
      </c>
      <c r="D46" s="47">
        <v>-178.37</v>
      </c>
      <c r="E46" s="43"/>
      <c r="F46" s="46"/>
    </row>
    <row r="47">
      <c r="A47" s="42">
        <v>45869.0</v>
      </c>
      <c r="B47" s="43" t="s">
        <v>56</v>
      </c>
      <c r="C47" s="43" t="s">
        <v>46</v>
      </c>
      <c r="D47" s="47">
        <v>0.6</v>
      </c>
      <c r="E47" s="43"/>
      <c r="F47" s="46"/>
    </row>
    <row r="48">
      <c r="A48" s="42">
        <v>45873.0</v>
      </c>
      <c r="B48" s="43" t="s">
        <v>81</v>
      </c>
      <c r="C48" s="43" t="s">
        <v>59</v>
      </c>
      <c r="D48" s="47">
        <v>130000.0</v>
      </c>
      <c r="E48" s="43"/>
      <c r="F48" s="46"/>
    </row>
    <row r="49">
      <c r="A49" s="42">
        <v>45873.0</v>
      </c>
      <c r="B49" s="43" t="s">
        <v>52</v>
      </c>
      <c r="C49" s="43" t="s">
        <v>59</v>
      </c>
      <c r="D49" s="47">
        <v>10000.0</v>
      </c>
      <c r="E49" s="43"/>
      <c r="F49" s="46"/>
    </row>
    <row r="50">
      <c r="A50" s="42">
        <v>45883.0</v>
      </c>
      <c r="B50" s="43" t="s">
        <v>71</v>
      </c>
      <c r="C50" s="43" t="s">
        <v>59</v>
      </c>
      <c r="D50" s="47">
        <v>25900.0</v>
      </c>
      <c r="E50" s="43"/>
      <c r="F50" s="46"/>
    </row>
    <row r="51">
      <c r="A51" s="42">
        <v>45888.0</v>
      </c>
      <c r="B51" s="43" t="s">
        <v>80</v>
      </c>
      <c r="C51" s="43" t="s">
        <v>59</v>
      </c>
      <c r="D51" s="47">
        <v>11370.0</v>
      </c>
      <c r="E51" s="43"/>
      <c r="F51" s="46"/>
    </row>
    <row r="52">
      <c r="A52" s="42">
        <v>45889.0</v>
      </c>
      <c r="B52" s="43" t="s">
        <v>13</v>
      </c>
      <c r="C52" s="43" t="s">
        <v>46</v>
      </c>
      <c r="D52" s="47">
        <v>-0.11</v>
      </c>
      <c r="E52" s="43"/>
      <c r="F52" s="46"/>
    </row>
    <row r="53">
      <c r="C53" s="15"/>
      <c r="D53" s="49"/>
    </row>
    <row r="54">
      <c r="C54" s="15"/>
      <c r="D54" s="49"/>
    </row>
    <row r="55">
      <c r="C55" s="15"/>
      <c r="D55" s="49"/>
    </row>
    <row r="56">
      <c r="C56" s="15"/>
      <c r="D56" s="49"/>
    </row>
    <row r="57">
      <c r="C57" s="15"/>
      <c r="D57" s="49"/>
    </row>
    <row r="58">
      <c r="C58" s="15"/>
      <c r="D58" s="49"/>
    </row>
    <row r="59">
      <c r="C59" s="15"/>
      <c r="D59" s="49"/>
    </row>
    <row r="60">
      <c r="C60" s="15"/>
      <c r="D60" s="49"/>
    </row>
    <row r="61">
      <c r="C61" s="15"/>
      <c r="D61" s="49"/>
    </row>
    <row r="62">
      <c r="C62" s="15"/>
      <c r="D62" s="49"/>
    </row>
    <row r="63">
      <c r="C63" s="15"/>
      <c r="D63" s="49"/>
    </row>
    <row r="64">
      <c r="C64" s="15"/>
      <c r="D64" s="49"/>
    </row>
    <row r="65">
      <c r="C65" s="15"/>
      <c r="D65" s="49"/>
    </row>
    <row r="66">
      <c r="C66" s="15"/>
      <c r="D66" s="49"/>
    </row>
    <row r="67">
      <c r="C67" s="15"/>
      <c r="D67" s="49"/>
    </row>
    <row r="68">
      <c r="C68" s="15"/>
      <c r="D68" s="49"/>
    </row>
    <row r="69">
      <c r="C69" s="15"/>
      <c r="D69" s="49"/>
    </row>
    <row r="70">
      <c r="C70" s="15"/>
      <c r="D70" s="49"/>
    </row>
    <row r="71">
      <c r="C71" s="15"/>
      <c r="D71" s="49"/>
    </row>
    <row r="72">
      <c r="C72" s="15"/>
      <c r="D72" s="49"/>
    </row>
    <row r="73">
      <c r="C73" s="15"/>
      <c r="D73" s="49"/>
    </row>
    <row r="74">
      <c r="C74" s="15"/>
      <c r="D74" s="49"/>
    </row>
    <row r="75">
      <c r="C75" s="15"/>
      <c r="D75" s="49"/>
    </row>
    <row r="76">
      <c r="C76" s="15"/>
      <c r="D76" s="49"/>
    </row>
    <row r="77">
      <c r="C77" s="15"/>
      <c r="D77" s="49"/>
    </row>
    <row r="78">
      <c r="C78" s="15"/>
      <c r="D78" s="49"/>
    </row>
    <row r="79">
      <c r="C79" s="15"/>
      <c r="D79" s="49"/>
    </row>
    <row r="80">
      <c r="C80" s="15"/>
      <c r="D80" s="49"/>
    </row>
    <row r="81">
      <c r="C81" s="15"/>
      <c r="D81" s="49"/>
    </row>
    <row r="82">
      <c r="C82" s="15"/>
      <c r="D82" s="49"/>
    </row>
    <row r="83">
      <c r="C83" s="15"/>
      <c r="D83" s="49"/>
    </row>
    <row r="84">
      <c r="C84" s="15"/>
      <c r="D84" s="49"/>
    </row>
    <row r="85">
      <c r="C85" s="15"/>
      <c r="D85" s="49"/>
    </row>
    <row r="86">
      <c r="C86" s="15"/>
      <c r="D86" s="49"/>
    </row>
    <row r="87">
      <c r="C87" s="15"/>
      <c r="D87" s="49"/>
    </row>
    <row r="88">
      <c r="C88" s="15"/>
      <c r="D88" s="49"/>
    </row>
    <row r="89">
      <c r="C89" s="15"/>
      <c r="D89" s="49"/>
    </row>
    <row r="90">
      <c r="C90" s="15"/>
      <c r="D90" s="49"/>
    </row>
    <row r="91">
      <c r="C91" s="15"/>
      <c r="D91" s="49"/>
    </row>
    <row r="92">
      <c r="C92" s="15"/>
      <c r="D92" s="49"/>
    </row>
    <row r="93">
      <c r="C93" s="15"/>
      <c r="D93" s="49"/>
    </row>
    <row r="94">
      <c r="C94" s="15"/>
      <c r="D94" s="49"/>
    </row>
    <row r="95">
      <c r="C95" s="15"/>
      <c r="D95" s="49"/>
    </row>
    <row r="96">
      <c r="C96" s="15"/>
      <c r="D96" s="49"/>
    </row>
    <row r="97">
      <c r="C97" s="15"/>
      <c r="D97" s="49"/>
    </row>
    <row r="98">
      <c r="C98" s="15"/>
      <c r="D98" s="49"/>
    </row>
    <row r="99">
      <c r="C99" s="15"/>
      <c r="D99" s="49"/>
    </row>
    <row r="100">
      <c r="C100" s="15"/>
      <c r="D100" s="49"/>
    </row>
    <row r="101">
      <c r="C101" s="15"/>
      <c r="D101" s="49"/>
    </row>
    <row r="102">
      <c r="C102" s="15"/>
      <c r="D102" s="49"/>
    </row>
    <row r="103">
      <c r="C103" s="15"/>
      <c r="D103" s="49"/>
    </row>
    <row r="104">
      <c r="C104" s="15"/>
      <c r="D104" s="49"/>
    </row>
    <row r="105">
      <c r="C105" s="15"/>
      <c r="D105" s="49"/>
    </row>
    <row r="106">
      <c r="C106" s="15"/>
      <c r="D106" s="49"/>
    </row>
    <row r="107">
      <c r="C107" s="15"/>
      <c r="D107" s="49"/>
    </row>
    <row r="108">
      <c r="C108" s="15"/>
      <c r="D108" s="49"/>
    </row>
    <row r="109">
      <c r="C109" s="15"/>
      <c r="D109" s="49"/>
    </row>
    <row r="110">
      <c r="C110" s="15"/>
      <c r="D110" s="49"/>
    </row>
    <row r="111">
      <c r="C111" s="15"/>
      <c r="D111" s="49"/>
    </row>
    <row r="112">
      <c r="C112" s="15"/>
      <c r="D112" s="49"/>
    </row>
    <row r="113">
      <c r="C113" s="15"/>
      <c r="D113" s="49"/>
    </row>
    <row r="114">
      <c r="C114" s="15"/>
      <c r="D114" s="49"/>
    </row>
    <row r="115">
      <c r="C115" s="15"/>
      <c r="D115" s="49"/>
    </row>
    <row r="116">
      <c r="C116" s="15"/>
      <c r="D116" s="49"/>
    </row>
    <row r="117">
      <c r="C117" s="15"/>
      <c r="D117" s="49"/>
    </row>
    <row r="118">
      <c r="C118" s="15"/>
      <c r="D118" s="49"/>
    </row>
    <row r="119">
      <c r="C119" s="15"/>
      <c r="D119" s="49"/>
    </row>
    <row r="120">
      <c r="C120" s="15"/>
      <c r="D120" s="49"/>
    </row>
    <row r="121">
      <c r="C121" s="15"/>
      <c r="D121" s="49"/>
    </row>
    <row r="122">
      <c r="C122" s="15"/>
      <c r="D122" s="49"/>
    </row>
    <row r="123">
      <c r="C123" s="15"/>
      <c r="D123" s="49"/>
    </row>
    <row r="124">
      <c r="C124" s="15"/>
      <c r="D124" s="49"/>
    </row>
    <row r="125">
      <c r="C125" s="15"/>
      <c r="D125" s="49"/>
    </row>
    <row r="126">
      <c r="C126" s="15"/>
      <c r="D126" s="49"/>
    </row>
    <row r="127">
      <c r="C127" s="15"/>
      <c r="D127" s="49"/>
    </row>
    <row r="128">
      <c r="C128" s="15"/>
      <c r="D128" s="49"/>
    </row>
    <row r="129">
      <c r="C129" s="15"/>
      <c r="D129" s="49"/>
    </row>
    <row r="130">
      <c r="C130" s="15"/>
      <c r="D130" s="49"/>
    </row>
    <row r="131">
      <c r="C131" s="15"/>
      <c r="D131" s="49"/>
    </row>
    <row r="132">
      <c r="C132" s="15"/>
      <c r="D132" s="49"/>
    </row>
    <row r="133">
      <c r="C133" s="15"/>
      <c r="D133" s="49"/>
    </row>
    <row r="134">
      <c r="C134" s="15"/>
      <c r="D134" s="49"/>
    </row>
    <row r="135">
      <c r="C135" s="15"/>
      <c r="D135" s="49"/>
    </row>
    <row r="136">
      <c r="C136" s="15"/>
      <c r="D136" s="49"/>
    </row>
    <row r="137">
      <c r="C137" s="15"/>
      <c r="D137" s="49"/>
    </row>
    <row r="138">
      <c r="C138" s="15"/>
      <c r="D138" s="49"/>
    </row>
    <row r="139">
      <c r="C139" s="15"/>
      <c r="D139" s="49"/>
    </row>
    <row r="140">
      <c r="C140" s="15"/>
      <c r="D140" s="49"/>
    </row>
    <row r="141">
      <c r="C141" s="15"/>
      <c r="D141" s="49"/>
    </row>
    <row r="142">
      <c r="C142" s="15"/>
      <c r="D142" s="49"/>
    </row>
    <row r="143">
      <c r="C143" s="15"/>
      <c r="D143" s="49"/>
    </row>
    <row r="144">
      <c r="C144" s="15"/>
      <c r="D144" s="49"/>
    </row>
    <row r="145">
      <c r="C145" s="15"/>
      <c r="D145" s="49"/>
    </row>
    <row r="146">
      <c r="C146" s="15"/>
      <c r="D146" s="49"/>
    </row>
    <row r="147">
      <c r="C147" s="15"/>
      <c r="D147" s="49"/>
    </row>
    <row r="148">
      <c r="C148" s="15"/>
      <c r="D148" s="49"/>
    </row>
    <row r="149">
      <c r="C149" s="15"/>
      <c r="D149" s="49"/>
    </row>
    <row r="150">
      <c r="C150" s="15"/>
      <c r="D150" s="49"/>
    </row>
    <row r="151">
      <c r="C151" s="15"/>
      <c r="D151" s="49"/>
    </row>
    <row r="152">
      <c r="C152" s="15"/>
      <c r="D152" s="49"/>
    </row>
    <row r="153">
      <c r="C153" s="15"/>
      <c r="D153" s="49"/>
    </row>
    <row r="154">
      <c r="C154" s="15"/>
      <c r="D154" s="49"/>
    </row>
    <row r="155">
      <c r="C155" s="15"/>
      <c r="D155" s="49"/>
    </row>
    <row r="156">
      <c r="C156" s="15"/>
      <c r="D156" s="49"/>
    </row>
    <row r="157">
      <c r="C157" s="15"/>
      <c r="D157" s="49"/>
    </row>
    <row r="158">
      <c r="C158" s="15"/>
      <c r="D158" s="49"/>
    </row>
    <row r="159">
      <c r="C159" s="15"/>
      <c r="D159" s="49"/>
    </row>
    <row r="160">
      <c r="C160" s="15"/>
      <c r="D160" s="49"/>
    </row>
    <row r="161">
      <c r="C161" s="15"/>
      <c r="D161" s="49"/>
    </row>
    <row r="162">
      <c r="C162" s="15"/>
      <c r="D162" s="49"/>
    </row>
    <row r="163">
      <c r="C163" s="15"/>
      <c r="D163" s="49"/>
    </row>
    <row r="164">
      <c r="C164" s="15"/>
      <c r="D164" s="49"/>
    </row>
    <row r="165">
      <c r="C165" s="15"/>
      <c r="D165" s="49"/>
    </row>
    <row r="166">
      <c r="C166" s="15"/>
      <c r="D166" s="49"/>
    </row>
    <row r="167">
      <c r="C167" s="15"/>
      <c r="D167" s="49"/>
    </row>
    <row r="168">
      <c r="C168" s="15"/>
      <c r="D168" s="49"/>
    </row>
    <row r="169">
      <c r="C169" s="15"/>
      <c r="D169" s="49"/>
    </row>
    <row r="170">
      <c r="C170" s="15"/>
      <c r="D170" s="49"/>
    </row>
    <row r="171">
      <c r="C171" s="15"/>
      <c r="D171" s="49"/>
    </row>
    <row r="172">
      <c r="C172" s="15"/>
      <c r="D172" s="49"/>
    </row>
    <row r="173">
      <c r="C173" s="15"/>
      <c r="D173" s="49"/>
    </row>
    <row r="174">
      <c r="C174" s="15"/>
      <c r="D174" s="49"/>
    </row>
    <row r="175">
      <c r="C175" s="15"/>
      <c r="D175" s="49"/>
    </row>
    <row r="176">
      <c r="C176" s="15"/>
      <c r="D176" s="49"/>
    </row>
    <row r="177">
      <c r="C177" s="15"/>
      <c r="D177" s="49"/>
    </row>
    <row r="178">
      <c r="C178" s="15"/>
      <c r="D178" s="49"/>
    </row>
    <row r="179">
      <c r="C179" s="15"/>
      <c r="D179" s="49"/>
    </row>
    <row r="180">
      <c r="C180" s="15"/>
      <c r="D180" s="49"/>
    </row>
    <row r="181">
      <c r="C181" s="15"/>
      <c r="D181" s="49"/>
    </row>
    <row r="182">
      <c r="C182" s="15"/>
      <c r="D182" s="49"/>
    </row>
    <row r="183">
      <c r="C183" s="15"/>
      <c r="D183" s="49"/>
    </row>
    <row r="184">
      <c r="C184" s="15"/>
      <c r="D184" s="49"/>
    </row>
    <row r="185">
      <c r="C185" s="15"/>
      <c r="D185" s="49"/>
    </row>
    <row r="186">
      <c r="C186" s="15"/>
      <c r="D186" s="49"/>
    </row>
    <row r="187">
      <c r="C187" s="15"/>
      <c r="D187" s="49"/>
    </row>
    <row r="188">
      <c r="C188" s="15"/>
      <c r="D188" s="49"/>
    </row>
    <row r="189">
      <c r="C189" s="15"/>
      <c r="D189" s="49"/>
    </row>
    <row r="190">
      <c r="C190" s="15"/>
      <c r="D190" s="49"/>
    </row>
    <row r="191">
      <c r="C191" s="15"/>
      <c r="D191" s="49"/>
    </row>
    <row r="192">
      <c r="C192" s="15"/>
      <c r="D192" s="49"/>
    </row>
    <row r="193">
      <c r="C193" s="15"/>
      <c r="D193" s="49"/>
    </row>
    <row r="194">
      <c r="C194" s="15"/>
      <c r="D194" s="49"/>
    </row>
    <row r="195">
      <c r="C195" s="15"/>
      <c r="D195" s="49"/>
    </row>
    <row r="196">
      <c r="C196" s="15"/>
      <c r="D196" s="49"/>
    </row>
    <row r="197">
      <c r="C197" s="15"/>
      <c r="D197" s="49"/>
    </row>
    <row r="198">
      <c r="C198" s="15"/>
      <c r="D198" s="49"/>
    </row>
    <row r="199">
      <c r="C199" s="15"/>
      <c r="D199" s="49"/>
    </row>
    <row r="200">
      <c r="C200" s="15"/>
      <c r="D200" s="49"/>
    </row>
    <row r="201">
      <c r="C201" s="15"/>
      <c r="D201" s="49"/>
    </row>
    <row r="202">
      <c r="C202" s="15"/>
      <c r="D202" s="49"/>
    </row>
    <row r="203">
      <c r="C203" s="15"/>
      <c r="D203" s="49"/>
    </row>
    <row r="204">
      <c r="C204" s="15"/>
      <c r="D204" s="49"/>
    </row>
    <row r="205">
      <c r="C205" s="15"/>
      <c r="D205" s="49"/>
    </row>
    <row r="206">
      <c r="C206" s="15"/>
      <c r="D206" s="49"/>
    </row>
    <row r="207">
      <c r="C207" s="15"/>
      <c r="D207" s="49"/>
    </row>
    <row r="208">
      <c r="C208" s="15"/>
      <c r="D208" s="49"/>
    </row>
    <row r="209">
      <c r="C209" s="15"/>
      <c r="D209" s="49"/>
    </row>
    <row r="210">
      <c r="C210" s="15"/>
      <c r="D210" s="49"/>
    </row>
    <row r="211">
      <c r="C211" s="15"/>
      <c r="D211" s="49"/>
    </row>
    <row r="212">
      <c r="C212" s="15"/>
      <c r="D212" s="49"/>
    </row>
    <row r="213">
      <c r="C213" s="15"/>
      <c r="D213" s="49"/>
    </row>
    <row r="214">
      <c r="C214" s="15"/>
      <c r="D214" s="49"/>
    </row>
    <row r="215">
      <c r="C215" s="15"/>
      <c r="D215" s="49"/>
    </row>
    <row r="216">
      <c r="C216" s="15"/>
      <c r="D216" s="49"/>
    </row>
    <row r="217">
      <c r="C217" s="15"/>
      <c r="D217" s="49"/>
    </row>
    <row r="218">
      <c r="C218" s="15"/>
      <c r="D218" s="49"/>
    </row>
    <row r="219">
      <c r="C219" s="15"/>
      <c r="D219" s="49"/>
    </row>
    <row r="220">
      <c r="C220" s="15"/>
      <c r="D220" s="49"/>
    </row>
    <row r="221">
      <c r="C221" s="15"/>
      <c r="D221" s="49"/>
    </row>
    <row r="222">
      <c r="C222" s="15"/>
      <c r="D222" s="49"/>
    </row>
    <row r="223">
      <c r="C223" s="15"/>
      <c r="D223" s="49"/>
    </row>
    <row r="224">
      <c r="C224" s="15"/>
      <c r="D224" s="49"/>
    </row>
    <row r="225">
      <c r="C225" s="15"/>
      <c r="D225" s="49"/>
    </row>
    <row r="226">
      <c r="C226" s="15"/>
      <c r="D226" s="49"/>
    </row>
    <row r="227">
      <c r="C227" s="15"/>
      <c r="D227" s="49"/>
    </row>
    <row r="228">
      <c r="C228" s="15"/>
      <c r="D228" s="49"/>
    </row>
    <row r="229">
      <c r="C229" s="15"/>
      <c r="D229" s="49"/>
    </row>
    <row r="230">
      <c r="C230" s="15"/>
      <c r="D230" s="49"/>
    </row>
    <row r="231">
      <c r="C231" s="15"/>
      <c r="D231" s="49"/>
    </row>
    <row r="232">
      <c r="C232" s="15"/>
      <c r="D232" s="49"/>
    </row>
    <row r="233">
      <c r="C233" s="15"/>
      <c r="D233" s="49"/>
    </row>
    <row r="234">
      <c r="C234" s="15"/>
      <c r="D234" s="49"/>
    </row>
    <row r="235">
      <c r="C235" s="15"/>
      <c r="D235" s="49"/>
    </row>
    <row r="236">
      <c r="C236" s="15"/>
      <c r="D236" s="49"/>
    </row>
    <row r="237">
      <c r="C237" s="15"/>
      <c r="D237" s="49"/>
    </row>
    <row r="238">
      <c r="C238" s="15"/>
      <c r="D238" s="49"/>
    </row>
    <row r="239">
      <c r="C239" s="15"/>
      <c r="D239" s="49"/>
    </row>
    <row r="240">
      <c r="C240" s="15"/>
      <c r="D240" s="49"/>
    </row>
    <row r="241">
      <c r="C241" s="15"/>
      <c r="D241" s="49"/>
    </row>
    <row r="242">
      <c r="C242" s="15"/>
      <c r="D242" s="49"/>
    </row>
    <row r="243">
      <c r="C243" s="15"/>
      <c r="D243" s="49"/>
    </row>
    <row r="244">
      <c r="C244" s="15"/>
      <c r="D244" s="49"/>
    </row>
    <row r="245">
      <c r="C245" s="15"/>
      <c r="D245" s="49"/>
    </row>
    <row r="246">
      <c r="C246" s="15"/>
      <c r="D246" s="49"/>
    </row>
    <row r="247">
      <c r="C247" s="15"/>
      <c r="D247" s="49"/>
    </row>
    <row r="248">
      <c r="C248" s="15"/>
      <c r="D248" s="49"/>
    </row>
    <row r="249">
      <c r="C249" s="15"/>
      <c r="D249" s="49"/>
    </row>
    <row r="250">
      <c r="C250" s="15"/>
      <c r="D250" s="49"/>
    </row>
    <row r="251">
      <c r="C251" s="15"/>
      <c r="D251" s="49"/>
    </row>
    <row r="252">
      <c r="C252" s="15"/>
      <c r="D252" s="49"/>
    </row>
    <row r="253">
      <c r="C253" s="15"/>
      <c r="D253" s="49"/>
    </row>
    <row r="254">
      <c r="C254" s="15"/>
      <c r="D254" s="49"/>
    </row>
    <row r="255">
      <c r="C255" s="15"/>
      <c r="D255" s="49"/>
    </row>
    <row r="256">
      <c r="C256" s="15"/>
      <c r="D256" s="49"/>
    </row>
    <row r="257">
      <c r="C257" s="15"/>
      <c r="D257" s="49"/>
    </row>
    <row r="258">
      <c r="C258" s="15"/>
      <c r="D258" s="49"/>
    </row>
    <row r="259">
      <c r="C259" s="15"/>
      <c r="D259" s="49"/>
    </row>
    <row r="260">
      <c r="C260" s="15"/>
      <c r="D260" s="49"/>
    </row>
    <row r="261">
      <c r="C261" s="15"/>
      <c r="D261" s="49"/>
    </row>
    <row r="262">
      <c r="C262" s="15"/>
      <c r="D262" s="49"/>
    </row>
    <row r="263">
      <c r="C263" s="15"/>
      <c r="D263" s="49"/>
    </row>
    <row r="264">
      <c r="C264" s="15"/>
      <c r="D264" s="49"/>
    </row>
    <row r="265">
      <c r="C265" s="15"/>
      <c r="D265" s="49"/>
    </row>
    <row r="266">
      <c r="C266" s="15"/>
      <c r="D266" s="49"/>
    </row>
    <row r="267">
      <c r="C267" s="15"/>
      <c r="D267" s="49"/>
    </row>
    <row r="268">
      <c r="C268" s="15"/>
      <c r="D268" s="49"/>
    </row>
    <row r="269">
      <c r="C269" s="15"/>
      <c r="D269" s="49"/>
    </row>
    <row r="270">
      <c r="C270" s="15"/>
      <c r="D270" s="49"/>
    </row>
    <row r="271">
      <c r="C271" s="15"/>
      <c r="D271" s="49"/>
    </row>
    <row r="272">
      <c r="C272" s="15"/>
      <c r="D272" s="49"/>
    </row>
    <row r="273">
      <c r="C273" s="15"/>
      <c r="D273" s="49"/>
    </row>
    <row r="274">
      <c r="C274" s="15"/>
      <c r="D274" s="49"/>
    </row>
    <row r="275">
      <c r="C275" s="15"/>
      <c r="D275" s="49"/>
    </row>
    <row r="276">
      <c r="C276" s="15"/>
      <c r="D276" s="49"/>
    </row>
    <row r="277">
      <c r="C277" s="15"/>
      <c r="D277" s="49"/>
    </row>
    <row r="278">
      <c r="C278" s="15"/>
      <c r="D278" s="49"/>
    </row>
    <row r="279">
      <c r="C279" s="15"/>
      <c r="D279" s="49"/>
    </row>
    <row r="280">
      <c r="C280" s="15"/>
      <c r="D280" s="49"/>
    </row>
    <row r="281">
      <c r="C281" s="15"/>
      <c r="D281" s="49"/>
    </row>
    <row r="282">
      <c r="C282" s="15"/>
      <c r="D282" s="49"/>
    </row>
    <row r="283">
      <c r="C283" s="15"/>
      <c r="D283" s="49"/>
    </row>
    <row r="284">
      <c r="C284" s="15"/>
      <c r="D284" s="49"/>
    </row>
    <row r="285">
      <c r="C285" s="15"/>
      <c r="D285" s="49"/>
    </row>
    <row r="286">
      <c r="C286" s="15"/>
      <c r="D286" s="49"/>
    </row>
    <row r="287">
      <c r="C287" s="15"/>
      <c r="D287" s="49"/>
    </row>
    <row r="288">
      <c r="C288" s="15"/>
      <c r="D288" s="49"/>
    </row>
    <row r="289">
      <c r="C289" s="15"/>
      <c r="D289" s="49"/>
    </row>
    <row r="290">
      <c r="C290" s="15"/>
      <c r="D290" s="49"/>
    </row>
    <row r="291">
      <c r="C291" s="15"/>
      <c r="D291" s="49"/>
    </row>
    <row r="292">
      <c r="C292" s="15"/>
      <c r="D292" s="49"/>
    </row>
    <row r="293">
      <c r="C293" s="15"/>
      <c r="D293" s="49"/>
    </row>
    <row r="294">
      <c r="C294" s="15"/>
      <c r="D294" s="49"/>
    </row>
    <row r="295">
      <c r="C295" s="15"/>
      <c r="D295" s="49"/>
    </row>
    <row r="296">
      <c r="C296" s="15"/>
      <c r="D296" s="49"/>
    </row>
    <row r="297">
      <c r="C297" s="15"/>
      <c r="D297" s="49"/>
    </row>
    <row r="298">
      <c r="C298" s="15"/>
      <c r="D298" s="49"/>
    </row>
    <row r="299">
      <c r="C299" s="15"/>
      <c r="D299" s="49"/>
    </row>
    <row r="300">
      <c r="C300" s="15"/>
      <c r="D300" s="49"/>
    </row>
    <row r="301">
      <c r="C301" s="15"/>
      <c r="D301" s="49"/>
    </row>
    <row r="302">
      <c r="C302" s="15"/>
      <c r="D302" s="49"/>
    </row>
    <row r="303">
      <c r="C303" s="15"/>
      <c r="D303" s="49"/>
    </row>
    <row r="304">
      <c r="C304" s="15"/>
      <c r="D304" s="49"/>
    </row>
    <row r="305">
      <c r="C305" s="15"/>
      <c r="D305" s="49"/>
    </row>
    <row r="306">
      <c r="C306" s="15"/>
      <c r="D306" s="49"/>
    </row>
    <row r="307">
      <c r="C307" s="15"/>
      <c r="D307" s="49"/>
    </row>
    <row r="308">
      <c r="C308" s="15"/>
      <c r="D308" s="49"/>
    </row>
    <row r="309">
      <c r="C309" s="15"/>
      <c r="D309" s="49"/>
    </row>
    <row r="310">
      <c r="C310" s="15"/>
      <c r="D310" s="49"/>
    </row>
    <row r="311">
      <c r="C311" s="15"/>
      <c r="D311" s="49"/>
    </row>
    <row r="312">
      <c r="C312" s="15"/>
      <c r="D312" s="49"/>
    </row>
    <row r="313">
      <c r="C313" s="15"/>
      <c r="D313" s="49"/>
    </row>
    <row r="314">
      <c r="C314" s="15"/>
      <c r="D314" s="49"/>
    </row>
    <row r="315">
      <c r="C315" s="15"/>
      <c r="D315" s="49"/>
    </row>
    <row r="316">
      <c r="C316" s="15"/>
      <c r="D316" s="49"/>
    </row>
    <row r="317">
      <c r="C317" s="15"/>
      <c r="D317" s="49"/>
    </row>
    <row r="318">
      <c r="C318" s="15"/>
      <c r="D318" s="49"/>
    </row>
    <row r="319">
      <c r="C319" s="15"/>
      <c r="D319" s="49"/>
    </row>
    <row r="320">
      <c r="C320" s="15"/>
      <c r="D320" s="49"/>
    </row>
    <row r="321">
      <c r="C321" s="15"/>
      <c r="D321" s="49"/>
    </row>
    <row r="322">
      <c r="C322" s="15"/>
      <c r="D322" s="49"/>
    </row>
    <row r="323">
      <c r="C323" s="15"/>
      <c r="D323" s="49"/>
    </row>
    <row r="324">
      <c r="C324" s="15"/>
      <c r="D324" s="49"/>
    </row>
    <row r="325">
      <c r="C325" s="15"/>
      <c r="D325" s="49"/>
    </row>
    <row r="326">
      <c r="C326" s="15"/>
      <c r="D326" s="49"/>
    </row>
    <row r="327">
      <c r="C327" s="15"/>
      <c r="D327" s="49"/>
    </row>
    <row r="328">
      <c r="C328" s="15"/>
      <c r="D328" s="49"/>
    </row>
    <row r="329">
      <c r="C329" s="15"/>
      <c r="D329" s="49"/>
    </row>
    <row r="330">
      <c r="C330" s="15"/>
      <c r="D330" s="49"/>
    </row>
    <row r="331">
      <c r="C331" s="15"/>
      <c r="D331" s="49"/>
    </row>
    <row r="332">
      <c r="C332" s="15"/>
      <c r="D332" s="49"/>
    </row>
    <row r="333">
      <c r="C333" s="15"/>
      <c r="D333" s="49"/>
    </row>
    <row r="334">
      <c r="C334" s="15"/>
      <c r="D334" s="49"/>
    </row>
    <row r="335">
      <c r="C335" s="15"/>
      <c r="D335" s="49"/>
    </row>
    <row r="336">
      <c r="C336" s="15"/>
      <c r="D336" s="49"/>
    </row>
    <row r="337">
      <c r="C337" s="15"/>
      <c r="D337" s="49"/>
    </row>
    <row r="338">
      <c r="C338" s="15"/>
      <c r="D338" s="49"/>
    </row>
    <row r="339">
      <c r="C339" s="15"/>
      <c r="D339" s="49"/>
    </row>
    <row r="340">
      <c r="C340" s="15"/>
      <c r="D340" s="49"/>
    </row>
    <row r="341">
      <c r="C341" s="15"/>
      <c r="D341" s="49"/>
    </row>
    <row r="342">
      <c r="C342" s="15"/>
      <c r="D342" s="49"/>
    </row>
    <row r="343">
      <c r="C343" s="15"/>
      <c r="D343" s="49"/>
    </row>
    <row r="344">
      <c r="C344" s="15"/>
      <c r="D344" s="49"/>
    </row>
    <row r="345">
      <c r="C345" s="15"/>
      <c r="D345" s="49"/>
    </row>
    <row r="346">
      <c r="C346" s="15"/>
      <c r="D346" s="49"/>
    </row>
    <row r="347">
      <c r="C347" s="15"/>
      <c r="D347" s="49"/>
    </row>
    <row r="348">
      <c r="C348" s="15"/>
      <c r="D348" s="49"/>
    </row>
    <row r="349">
      <c r="C349" s="15"/>
      <c r="D349" s="49"/>
    </row>
    <row r="350">
      <c r="C350" s="15"/>
      <c r="D350" s="49"/>
    </row>
    <row r="351">
      <c r="C351" s="15"/>
      <c r="D351" s="49"/>
    </row>
    <row r="352">
      <c r="C352" s="15"/>
      <c r="D352" s="49"/>
    </row>
    <row r="353">
      <c r="C353" s="15"/>
      <c r="D353" s="49"/>
    </row>
    <row r="354">
      <c r="C354" s="15"/>
      <c r="D354" s="49"/>
    </row>
    <row r="355">
      <c r="C355" s="15"/>
      <c r="D355" s="49"/>
    </row>
    <row r="356">
      <c r="C356" s="15"/>
      <c r="D356" s="49"/>
    </row>
    <row r="357">
      <c r="C357" s="15"/>
      <c r="D357" s="49"/>
    </row>
    <row r="358">
      <c r="C358" s="15"/>
      <c r="D358" s="49"/>
    </row>
    <row r="359">
      <c r="C359" s="15"/>
      <c r="D359" s="49"/>
    </row>
    <row r="360">
      <c r="C360" s="15"/>
      <c r="D360" s="49"/>
    </row>
    <row r="361">
      <c r="C361" s="15"/>
      <c r="D361" s="49"/>
    </row>
    <row r="362">
      <c r="C362" s="15"/>
      <c r="D362" s="49"/>
    </row>
    <row r="363">
      <c r="C363" s="15"/>
      <c r="D363" s="49"/>
    </row>
    <row r="364">
      <c r="C364" s="15"/>
      <c r="D364" s="49"/>
    </row>
    <row r="365">
      <c r="C365" s="15"/>
      <c r="D365" s="49"/>
    </row>
    <row r="366">
      <c r="C366" s="15"/>
      <c r="D366" s="49"/>
    </row>
    <row r="367">
      <c r="C367" s="15"/>
      <c r="D367" s="49"/>
    </row>
    <row r="368">
      <c r="C368" s="15"/>
      <c r="D368" s="49"/>
    </row>
    <row r="369">
      <c r="C369" s="15"/>
      <c r="D369" s="49"/>
    </row>
    <row r="370">
      <c r="C370" s="15"/>
      <c r="D370" s="49"/>
    </row>
    <row r="371">
      <c r="C371" s="15"/>
      <c r="D371" s="49"/>
    </row>
    <row r="372">
      <c r="C372" s="15"/>
      <c r="D372" s="49"/>
    </row>
    <row r="373">
      <c r="C373" s="15"/>
      <c r="D373" s="49"/>
    </row>
    <row r="374">
      <c r="C374" s="15"/>
      <c r="D374" s="49"/>
    </row>
    <row r="375">
      <c r="C375" s="15"/>
      <c r="D375" s="49"/>
    </row>
    <row r="376">
      <c r="C376" s="15"/>
      <c r="D376" s="49"/>
    </row>
    <row r="377">
      <c r="C377" s="15"/>
      <c r="D377" s="49"/>
    </row>
    <row r="378">
      <c r="C378" s="15"/>
      <c r="D378" s="49"/>
    </row>
    <row r="379">
      <c r="C379" s="15"/>
      <c r="D379" s="49"/>
    </row>
    <row r="380">
      <c r="C380" s="15"/>
      <c r="D380" s="49"/>
    </row>
    <row r="381">
      <c r="C381" s="15"/>
      <c r="D381" s="49"/>
    </row>
    <row r="382">
      <c r="C382" s="15"/>
      <c r="D382" s="49"/>
    </row>
    <row r="383">
      <c r="C383" s="15"/>
      <c r="D383" s="49"/>
    </row>
    <row r="384">
      <c r="C384" s="15"/>
      <c r="D384" s="49"/>
    </row>
    <row r="385">
      <c r="C385" s="15"/>
      <c r="D385" s="49"/>
    </row>
    <row r="386">
      <c r="C386" s="15"/>
      <c r="D386" s="49"/>
    </row>
    <row r="387">
      <c r="C387" s="15"/>
      <c r="D387" s="49"/>
    </row>
    <row r="388">
      <c r="C388" s="15"/>
      <c r="D388" s="49"/>
    </row>
    <row r="389">
      <c r="C389" s="15"/>
      <c r="D389" s="49"/>
    </row>
    <row r="390">
      <c r="C390" s="15"/>
      <c r="D390" s="49"/>
    </row>
    <row r="391">
      <c r="C391" s="15"/>
      <c r="D391" s="49"/>
    </row>
    <row r="392">
      <c r="C392" s="15"/>
      <c r="D392" s="49"/>
    </row>
    <row r="393">
      <c r="C393" s="15"/>
      <c r="D393" s="49"/>
    </row>
    <row r="394">
      <c r="C394" s="15"/>
      <c r="D394" s="49"/>
    </row>
    <row r="395">
      <c r="C395" s="15"/>
      <c r="D395" s="49"/>
    </row>
    <row r="396">
      <c r="C396" s="15"/>
      <c r="D396" s="49"/>
    </row>
    <row r="397">
      <c r="C397" s="15"/>
      <c r="D397" s="49"/>
    </row>
    <row r="398">
      <c r="C398" s="15"/>
      <c r="D398" s="49"/>
    </row>
    <row r="399">
      <c r="C399" s="15"/>
      <c r="D399" s="49"/>
    </row>
    <row r="400">
      <c r="C400" s="15"/>
      <c r="D400" s="49"/>
    </row>
    <row r="401">
      <c r="C401" s="15"/>
      <c r="D401" s="49"/>
    </row>
    <row r="402">
      <c r="C402" s="15"/>
      <c r="D402" s="49"/>
    </row>
    <row r="403">
      <c r="C403" s="15"/>
      <c r="D403" s="49"/>
    </row>
    <row r="404">
      <c r="C404" s="15"/>
      <c r="D404" s="49"/>
    </row>
    <row r="405">
      <c r="C405" s="15"/>
      <c r="D405" s="49"/>
    </row>
    <row r="406">
      <c r="C406" s="15"/>
      <c r="D406" s="49"/>
    </row>
    <row r="407">
      <c r="C407" s="15"/>
      <c r="D407" s="49"/>
    </row>
    <row r="408">
      <c r="C408" s="15"/>
      <c r="D408" s="49"/>
    </row>
    <row r="409">
      <c r="C409" s="15"/>
      <c r="D409" s="49"/>
    </row>
    <row r="410">
      <c r="C410" s="15"/>
      <c r="D410" s="49"/>
    </row>
    <row r="411">
      <c r="C411" s="15"/>
      <c r="D411" s="49"/>
    </row>
    <row r="412">
      <c r="C412" s="15"/>
      <c r="D412" s="49"/>
    </row>
    <row r="413">
      <c r="C413" s="15"/>
      <c r="D413" s="49"/>
    </row>
    <row r="414">
      <c r="C414" s="15"/>
      <c r="D414" s="49"/>
    </row>
    <row r="415">
      <c r="C415" s="15"/>
      <c r="D415" s="49"/>
    </row>
    <row r="416">
      <c r="C416" s="15"/>
      <c r="D416" s="49"/>
    </row>
    <row r="417">
      <c r="C417" s="15"/>
      <c r="D417" s="49"/>
    </row>
    <row r="418">
      <c r="C418" s="15"/>
      <c r="D418" s="49"/>
    </row>
    <row r="419">
      <c r="C419" s="15"/>
      <c r="D419" s="49"/>
    </row>
    <row r="420">
      <c r="C420" s="15"/>
      <c r="D420" s="49"/>
    </row>
    <row r="421">
      <c r="C421" s="15"/>
      <c r="D421" s="49"/>
    </row>
    <row r="422">
      <c r="C422" s="15"/>
      <c r="D422" s="49"/>
    </row>
    <row r="423">
      <c r="C423" s="15"/>
      <c r="D423" s="49"/>
    </row>
    <row r="424">
      <c r="C424" s="15"/>
      <c r="D424" s="49"/>
    </row>
    <row r="425">
      <c r="C425" s="15"/>
      <c r="D425" s="49"/>
    </row>
    <row r="426">
      <c r="C426" s="15"/>
      <c r="D426" s="49"/>
    </row>
    <row r="427">
      <c r="C427" s="15"/>
      <c r="D427" s="49"/>
    </row>
    <row r="428">
      <c r="C428" s="15"/>
      <c r="D428" s="49"/>
    </row>
    <row r="429">
      <c r="C429" s="15"/>
      <c r="D429" s="49"/>
    </row>
    <row r="430">
      <c r="C430" s="15"/>
      <c r="D430" s="49"/>
    </row>
    <row r="431">
      <c r="C431" s="15"/>
      <c r="D431" s="49"/>
    </row>
    <row r="432">
      <c r="C432" s="15"/>
      <c r="D432" s="49"/>
    </row>
    <row r="433">
      <c r="C433" s="15"/>
      <c r="D433" s="49"/>
    </row>
    <row r="434">
      <c r="C434" s="15"/>
      <c r="D434" s="49"/>
    </row>
    <row r="435">
      <c r="C435" s="15"/>
      <c r="D435" s="49"/>
    </row>
    <row r="436">
      <c r="C436" s="15"/>
      <c r="D436" s="49"/>
    </row>
    <row r="437">
      <c r="C437" s="15"/>
      <c r="D437" s="49"/>
    </row>
    <row r="438">
      <c r="C438" s="15"/>
      <c r="D438" s="49"/>
    </row>
    <row r="439">
      <c r="C439" s="15"/>
      <c r="D439" s="49"/>
    </row>
    <row r="440">
      <c r="C440" s="15"/>
      <c r="D440" s="49"/>
    </row>
    <row r="441">
      <c r="C441" s="15"/>
      <c r="D441" s="49"/>
    </row>
    <row r="442">
      <c r="C442" s="15"/>
      <c r="D442" s="49"/>
    </row>
    <row r="443">
      <c r="C443" s="15"/>
      <c r="D443" s="49"/>
    </row>
    <row r="444">
      <c r="C444" s="15"/>
      <c r="D444" s="49"/>
    </row>
    <row r="445">
      <c r="C445" s="15"/>
      <c r="D445" s="49"/>
    </row>
    <row r="446">
      <c r="C446" s="15"/>
      <c r="D446" s="49"/>
    </row>
    <row r="447">
      <c r="C447" s="15"/>
      <c r="D447" s="49"/>
    </row>
    <row r="448">
      <c r="C448" s="15"/>
      <c r="D448" s="49"/>
    </row>
    <row r="449">
      <c r="C449" s="15"/>
      <c r="D449" s="49"/>
    </row>
    <row r="450">
      <c r="C450" s="15"/>
      <c r="D450" s="49"/>
    </row>
    <row r="451">
      <c r="C451" s="15"/>
      <c r="D451" s="49"/>
    </row>
    <row r="452">
      <c r="C452" s="15"/>
      <c r="D452" s="49"/>
    </row>
    <row r="453">
      <c r="C453" s="15"/>
      <c r="D453" s="49"/>
    </row>
    <row r="454">
      <c r="C454" s="15"/>
      <c r="D454" s="49"/>
    </row>
    <row r="455">
      <c r="C455" s="15"/>
      <c r="D455" s="49"/>
    </row>
    <row r="456">
      <c r="C456" s="15"/>
      <c r="D456" s="49"/>
    </row>
    <row r="457">
      <c r="C457" s="15"/>
      <c r="D457" s="49"/>
    </row>
    <row r="458">
      <c r="C458" s="15"/>
      <c r="D458" s="49"/>
    </row>
    <row r="459">
      <c r="C459" s="15"/>
      <c r="D459" s="49"/>
    </row>
    <row r="460">
      <c r="C460" s="15"/>
      <c r="D460" s="49"/>
    </row>
    <row r="461">
      <c r="C461" s="15"/>
      <c r="D461" s="49"/>
    </row>
    <row r="462">
      <c r="C462" s="15"/>
      <c r="D462" s="49"/>
    </row>
    <row r="463">
      <c r="C463" s="15"/>
      <c r="D463" s="49"/>
    </row>
    <row r="464">
      <c r="C464" s="15"/>
      <c r="D464" s="49"/>
    </row>
    <row r="465">
      <c r="C465" s="15"/>
      <c r="D465" s="49"/>
    </row>
    <row r="466">
      <c r="C466" s="15"/>
      <c r="D466" s="49"/>
    </row>
    <row r="467">
      <c r="C467" s="15"/>
      <c r="D467" s="49"/>
    </row>
    <row r="468">
      <c r="C468" s="15"/>
      <c r="D468" s="49"/>
    </row>
    <row r="469">
      <c r="C469" s="15"/>
      <c r="D469" s="49"/>
    </row>
    <row r="470">
      <c r="C470" s="15"/>
      <c r="D470" s="49"/>
    </row>
    <row r="471">
      <c r="C471" s="15"/>
      <c r="D471" s="49"/>
    </row>
    <row r="472">
      <c r="C472" s="15"/>
      <c r="D472" s="49"/>
    </row>
    <row r="473">
      <c r="C473" s="15"/>
      <c r="D473" s="49"/>
    </row>
    <row r="474">
      <c r="C474" s="15"/>
      <c r="D474" s="49"/>
    </row>
    <row r="475">
      <c r="C475" s="15"/>
      <c r="D475" s="49"/>
    </row>
    <row r="476">
      <c r="C476" s="15"/>
      <c r="D476" s="49"/>
    </row>
    <row r="477">
      <c r="C477" s="15"/>
      <c r="D477" s="49"/>
    </row>
    <row r="478">
      <c r="C478" s="15"/>
      <c r="D478" s="49"/>
    </row>
    <row r="479">
      <c r="C479" s="15"/>
      <c r="D479" s="49"/>
    </row>
    <row r="480">
      <c r="C480" s="15"/>
      <c r="D480" s="49"/>
    </row>
    <row r="481">
      <c r="C481" s="15"/>
      <c r="D481" s="49"/>
    </row>
    <row r="482">
      <c r="C482" s="15"/>
      <c r="D482" s="49"/>
    </row>
    <row r="483">
      <c r="C483" s="15"/>
      <c r="D483" s="49"/>
    </row>
    <row r="484">
      <c r="C484" s="15"/>
      <c r="D484" s="49"/>
    </row>
    <row r="485">
      <c r="C485" s="15"/>
      <c r="D485" s="49"/>
    </row>
    <row r="486">
      <c r="C486" s="15"/>
      <c r="D486" s="49"/>
    </row>
    <row r="487">
      <c r="C487" s="15"/>
      <c r="D487" s="49"/>
    </row>
    <row r="488">
      <c r="C488" s="15"/>
      <c r="D488" s="49"/>
    </row>
    <row r="489">
      <c r="C489" s="15"/>
      <c r="D489" s="49"/>
    </row>
    <row r="490">
      <c r="C490" s="15"/>
      <c r="D490" s="49"/>
    </row>
    <row r="491">
      <c r="C491" s="15"/>
      <c r="D491" s="49"/>
    </row>
    <row r="492">
      <c r="C492" s="15"/>
      <c r="D492" s="49"/>
    </row>
    <row r="493">
      <c r="C493" s="15"/>
      <c r="D493" s="49"/>
    </row>
    <row r="494">
      <c r="C494" s="15"/>
      <c r="D494" s="49"/>
    </row>
    <row r="495">
      <c r="C495" s="15"/>
      <c r="D495" s="49"/>
    </row>
    <row r="496">
      <c r="C496" s="15"/>
      <c r="D496" s="49"/>
    </row>
    <row r="497">
      <c r="C497" s="15"/>
      <c r="D497" s="49"/>
    </row>
    <row r="498">
      <c r="C498" s="15"/>
      <c r="D498" s="49"/>
    </row>
    <row r="499">
      <c r="C499" s="15"/>
      <c r="D499" s="49"/>
    </row>
    <row r="500">
      <c r="C500" s="15"/>
      <c r="D500" s="49"/>
    </row>
    <row r="501">
      <c r="C501" s="15"/>
      <c r="D501" s="49"/>
    </row>
    <row r="502">
      <c r="C502" s="15"/>
      <c r="D502" s="49"/>
    </row>
    <row r="503">
      <c r="C503" s="15"/>
      <c r="D503" s="49"/>
    </row>
    <row r="504">
      <c r="C504" s="15"/>
      <c r="D504" s="49"/>
    </row>
    <row r="505">
      <c r="C505" s="15"/>
      <c r="D505" s="49"/>
    </row>
    <row r="506">
      <c r="C506" s="15"/>
      <c r="D506" s="49"/>
    </row>
    <row r="507">
      <c r="C507" s="15"/>
      <c r="D507" s="49"/>
    </row>
    <row r="508">
      <c r="C508" s="15"/>
      <c r="D508" s="49"/>
    </row>
    <row r="509">
      <c r="C509" s="15"/>
      <c r="D509" s="49"/>
    </row>
    <row r="510">
      <c r="C510" s="15"/>
      <c r="D510" s="49"/>
    </row>
    <row r="511">
      <c r="C511" s="15"/>
      <c r="D511" s="49"/>
    </row>
    <row r="512">
      <c r="C512" s="15"/>
      <c r="D512" s="49"/>
    </row>
    <row r="513">
      <c r="C513" s="15"/>
      <c r="D513" s="49"/>
    </row>
    <row r="514">
      <c r="C514" s="15"/>
      <c r="D514" s="49"/>
    </row>
    <row r="515">
      <c r="C515" s="15"/>
      <c r="D515" s="49"/>
    </row>
    <row r="516">
      <c r="C516" s="15"/>
      <c r="D516" s="49"/>
    </row>
    <row r="517">
      <c r="C517" s="15"/>
      <c r="D517" s="49"/>
    </row>
    <row r="518">
      <c r="C518" s="15"/>
      <c r="D518" s="49"/>
    </row>
    <row r="519">
      <c r="C519" s="15"/>
      <c r="D519" s="49"/>
    </row>
    <row r="520">
      <c r="C520" s="15"/>
      <c r="D520" s="49"/>
    </row>
    <row r="521">
      <c r="C521" s="15"/>
      <c r="D521" s="49"/>
    </row>
    <row r="522">
      <c r="C522" s="15"/>
      <c r="D522" s="49"/>
    </row>
    <row r="523">
      <c r="C523" s="15"/>
      <c r="D523" s="49"/>
    </row>
    <row r="524">
      <c r="C524" s="15"/>
      <c r="D524" s="49"/>
    </row>
    <row r="525">
      <c r="C525" s="15"/>
      <c r="D525" s="49"/>
    </row>
    <row r="526">
      <c r="C526" s="15"/>
      <c r="D526" s="49"/>
    </row>
    <row r="527">
      <c r="C527" s="15"/>
      <c r="D527" s="49"/>
    </row>
    <row r="528">
      <c r="C528" s="15"/>
      <c r="D528" s="49"/>
    </row>
    <row r="529">
      <c r="C529" s="15"/>
      <c r="D529" s="49"/>
    </row>
    <row r="530">
      <c r="C530" s="15"/>
      <c r="D530" s="49"/>
    </row>
    <row r="531">
      <c r="C531" s="15"/>
      <c r="D531" s="49"/>
    </row>
    <row r="532">
      <c r="C532" s="15"/>
      <c r="D532" s="49"/>
    </row>
    <row r="533">
      <c r="C533" s="15"/>
      <c r="D533" s="49"/>
    </row>
    <row r="534">
      <c r="C534" s="15"/>
      <c r="D534" s="49"/>
    </row>
    <row r="535">
      <c r="C535" s="15"/>
      <c r="D535" s="49"/>
    </row>
    <row r="536">
      <c r="C536" s="15"/>
      <c r="D536" s="49"/>
    </row>
    <row r="537">
      <c r="C537" s="15"/>
      <c r="D537" s="49"/>
    </row>
    <row r="538">
      <c r="C538" s="15"/>
      <c r="D538" s="49"/>
    </row>
    <row r="539">
      <c r="C539" s="15"/>
      <c r="D539" s="49"/>
    </row>
    <row r="540">
      <c r="C540" s="15"/>
      <c r="D540" s="49"/>
    </row>
    <row r="541">
      <c r="C541" s="15"/>
      <c r="D541" s="49"/>
    </row>
    <row r="542">
      <c r="C542" s="15"/>
      <c r="D542" s="49"/>
    </row>
    <row r="543">
      <c r="C543" s="15"/>
      <c r="D543" s="49"/>
    </row>
    <row r="544">
      <c r="C544" s="15"/>
      <c r="D544" s="49"/>
    </row>
    <row r="545">
      <c r="C545" s="15"/>
      <c r="D545" s="49"/>
    </row>
    <row r="546">
      <c r="C546" s="15"/>
      <c r="D546" s="49"/>
    </row>
    <row r="547">
      <c r="C547" s="15"/>
      <c r="D547" s="49"/>
    </row>
    <row r="548">
      <c r="C548" s="15"/>
      <c r="D548" s="49"/>
    </row>
    <row r="549">
      <c r="C549" s="15"/>
      <c r="D549" s="49"/>
    </row>
    <row r="550">
      <c r="C550" s="15"/>
      <c r="D550" s="49"/>
    </row>
    <row r="551">
      <c r="C551" s="15"/>
      <c r="D551" s="49"/>
    </row>
    <row r="552">
      <c r="C552" s="15"/>
      <c r="D552" s="49"/>
    </row>
    <row r="553">
      <c r="C553" s="15"/>
      <c r="D553" s="49"/>
    </row>
    <row r="554">
      <c r="C554" s="15"/>
      <c r="D554" s="49"/>
    </row>
    <row r="555">
      <c r="C555" s="15"/>
      <c r="D555" s="49"/>
    </row>
    <row r="556">
      <c r="C556" s="15"/>
      <c r="D556" s="49"/>
    </row>
    <row r="557">
      <c r="C557" s="15"/>
      <c r="D557" s="49"/>
    </row>
    <row r="558">
      <c r="C558" s="15"/>
      <c r="D558" s="49"/>
    </row>
    <row r="559">
      <c r="C559" s="15"/>
      <c r="D559" s="49"/>
    </row>
    <row r="560">
      <c r="C560" s="15"/>
      <c r="D560" s="49"/>
    </row>
    <row r="561">
      <c r="C561" s="15"/>
      <c r="D561" s="49"/>
    </row>
    <row r="562">
      <c r="C562" s="15"/>
      <c r="D562" s="49"/>
    </row>
    <row r="563">
      <c r="C563" s="15"/>
      <c r="D563" s="49"/>
    </row>
    <row r="564">
      <c r="C564" s="15"/>
      <c r="D564" s="49"/>
    </row>
    <row r="565">
      <c r="C565" s="15"/>
      <c r="D565" s="49"/>
    </row>
    <row r="566">
      <c r="C566" s="15"/>
      <c r="D566" s="49"/>
    </row>
    <row r="567">
      <c r="C567" s="15"/>
      <c r="D567" s="49"/>
    </row>
    <row r="568">
      <c r="C568" s="15"/>
      <c r="D568" s="49"/>
    </row>
    <row r="569">
      <c r="C569" s="15"/>
      <c r="D569" s="49"/>
    </row>
    <row r="570">
      <c r="C570" s="15"/>
      <c r="D570" s="49"/>
    </row>
    <row r="571">
      <c r="C571" s="15"/>
      <c r="D571" s="49"/>
    </row>
    <row r="572">
      <c r="C572" s="15"/>
      <c r="D572" s="49"/>
    </row>
    <row r="573">
      <c r="C573" s="15"/>
      <c r="D573" s="49"/>
    </row>
    <row r="574">
      <c r="C574" s="15"/>
      <c r="D574" s="49"/>
    </row>
    <row r="575">
      <c r="C575" s="15"/>
      <c r="D575" s="49"/>
    </row>
    <row r="576">
      <c r="C576" s="15"/>
      <c r="D576" s="49"/>
    </row>
    <row r="577">
      <c r="C577" s="15"/>
      <c r="D577" s="49"/>
    </row>
    <row r="578">
      <c r="C578" s="15"/>
      <c r="D578" s="49"/>
    </row>
    <row r="579">
      <c r="C579" s="15"/>
      <c r="D579" s="49"/>
    </row>
    <row r="580">
      <c r="C580" s="15"/>
      <c r="D580" s="49"/>
    </row>
    <row r="581">
      <c r="C581" s="15"/>
      <c r="D581" s="49"/>
    </row>
    <row r="582">
      <c r="C582" s="15"/>
      <c r="D582" s="49"/>
    </row>
    <row r="583">
      <c r="C583" s="15"/>
      <c r="D583" s="49"/>
    </row>
    <row r="584">
      <c r="C584" s="15"/>
      <c r="D584" s="49"/>
    </row>
    <row r="585">
      <c r="C585" s="15"/>
      <c r="D585" s="49"/>
    </row>
    <row r="586">
      <c r="C586" s="15"/>
      <c r="D586" s="49"/>
    </row>
    <row r="587">
      <c r="C587" s="15"/>
      <c r="D587" s="49"/>
    </row>
    <row r="588">
      <c r="C588" s="15"/>
      <c r="D588" s="49"/>
    </row>
    <row r="589">
      <c r="C589" s="15"/>
      <c r="D589" s="49"/>
    </row>
    <row r="590">
      <c r="C590" s="15"/>
      <c r="D590" s="49"/>
    </row>
    <row r="591">
      <c r="C591" s="15"/>
      <c r="D591" s="49"/>
    </row>
    <row r="592">
      <c r="C592" s="15"/>
      <c r="D592" s="49"/>
    </row>
    <row r="593">
      <c r="C593" s="15"/>
      <c r="D593" s="49"/>
    </row>
    <row r="594">
      <c r="C594" s="15"/>
      <c r="D594" s="49"/>
    </row>
    <row r="595">
      <c r="C595" s="15"/>
      <c r="D595" s="49"/>
    </row>
    <row r="596">
      <c r="C596" s="15"/>
      <c r="D596" s="49"/>
    </row>
    <row r="597">
      <c r="C597" s="15"/>
      <c r="D597" s="49"/>
    </row>
    <row r="598">
      <c r="C598" s="15"/>
      <c r="D598" s="49"/>
    </row>
    <row r="599">
      <c r="C599" s="15"/>
      <c r="D599" s="49"/>
    </row>
    <row r="600">
      <c r="C600" s="15"/>
      <c r="D600" s="49"/>
    </row>
    <row r="601">
      <c r="C601" s="15"/>
      <c r="D601" s="49"/>
    </row>
    <row r="602">
      <c r="C602" s="15"/>
      <c r="D602" s="49"/>
    </row>
    <row r="603">
      <c r="C603" s="15"/>
      <c r="D603" s="49"/>
    </row>
    <row r="604">
      <c r="C604" s="15"/>
      <c r="D604" s="49"/>
    </row>
    <row r="605">
      <c r="C605" s="15"/>
      <c r="D605" s="49"/>
    </row>
    <row r="606">
      <c r="C606" s="15"/>
      <c r="D606" s="49"/>
    </row>
    <row r="607">
      <c r="C607" s="15"/>
      <c r="D607" s="49"/>
    </row>
    <row r="608">
      <c r="C608" s="15"/>
      <c r="D608" s="49"/>
    </row>
    <row r="609">
      <c r="C609" s="15"/>
      <c r="D609" s="49"/>
    </row>
    <row r="610">
      <c r="C610" s="15"/>
      <c r="D610" s="49"/>
    </row>
    <row r="611">
      <c r="C611" s="15"/>
      <c r="D611" s="49"/>
    </row>
    <row r="612">
      <c r="C612" s="15"/>
      <c r="D612" s="49"/>
    </row>
    <row r="613">
      <c r="C613" s="15"/>
      <c r="D613" s="49"/>
    </row>
    <row r="614">
      <c r="C614" s="15"/>
      <c r="D614" s="49"/>
    </row>
    <row r="615">
      <c r="C615" s="15"/>
      <c r="D615" s="49"/>
    </row>
    <row r="616">
      <c r="C616" s="15"/>
      <c r="D616" s="49"/>
    </row>
    <row r="617">
      <c r="C617" s="15"/>
      <c r="D617" s="49"/>
    </row>
    <row r="618">
      <c r="C618" s="15"/>
      <c r="D618" s="49"/>
    </row>
    <row r="619">
      <c r="C619" s="15"/>
      <c r="D619" s="49"/>
    </row>
    <row r="620">
      <c r="C620" s="15"/>
      <c r="D620" s="49"/>
    </row>
    <row r="621">
      <c r="C621" s="15"/>
      <c r="D621" s="49"/>
    </row>
    <row r="622">
      <c r="C622" s="15"/>
      <c r="D622" s="49"/>
    </row>
    <row r="623">
      <c r="C623" s="15"/>
      <c r="D623" s="49"/>
    </row>
    <row r="624">
      <c r="C624" s="15"/>
      <c r="D624" s="49"/>
    </row>
    <row r="625">
      <c r="C625" s="15"/>
      <c r="D625" s="49"/>
    </row>
    <row r="626">
      <c r="C626" s="15"/>
      <c r="D626" s="49"/>
    </row>
    <row r="627">
      <c r="C627" s="15"/>
      <c r="D627" s="49"/>
    </row>
    <row r="628">
      <c r="C628" s="15"/>
      <c r="D628" s="49"/>
    </row>
    <row r="629">
      <c r="C629" s="15"/>
      <c r="D629" s="49"/>
    </row>
    <row r="630">
      <c r="C630" s="15"/>
      <c r="D630" s="49"/>
    </row>
    <row r="631">
      <c r="C631" s="15"/>
      <c r="D631" s="49"/>
    </row>
    <row r="632">
      <c r="C632" s="15"/>
      <c r="D632" s="49"/>
    </row>
    <row r="633">
      <c r="C633" s="15"/>
      <c r="D633" s="49"/>
    </row>
    <row r="634">
      <c r="C634" s="15"/>
      <c r="D634" s="49"/>
    </row>
    <row r="635">
      <c r="C635" s="15"/>
      <c r="D635" s="49"/>
    </row>
    <row r="636">
      <c r="C636" s="15"/>
      <c r="D636" s="49"/>
    </row>
    <row r="637">
      <c r="C637" s="15"/>
      <c r="D637" s="49"/>
    </row>
    <row r="638">
      <c r="C638" s="15"/>
      <c r="D638" s="49"/>
    </row>
    <row r="639">
      <c r="C639" s="15"/>
      <c r="D639" s="49"/>
    </row>
    <row r="640">
      <c r="C640" s="15"/>
      <c r="D640" s="49"/>
    </row>
    <row r="641">
      <c r="C641" s="15"/>
      <c r="D641" s="49"/>
    </row>
    <row r="642">
      <c r="C642" s="15"/>
      <c r="D642" s="49"/>
    </row>
    <row r="643">
      <c r="C643" s="15"/>
      <c r="D643" s="49"/>
    </row>
    <row r="644">
      <c r="C644" s="15"/>
      <c r="D644" s="49"/>
    </row>
    <row r="645">
      <c r="C645" s="15"/>
      <c r="D645" s="49"/>
    </row>
    <row r="646">
      <c r="C646" s="15"/>
      <c r="D646" s="49"/>
    </row>
    <row r="647">
      <c r="C647" s="15"/>
      <c r="D647" s="49"/>
    </row>
    <row r="648">
      <c r="C648" s="15"/>
      <c r="D648" s="49"/>
    </row>
    <row r="649">
      <c r="C649" s="15"/>
      <c r="D649" s="49"/>
    </row>
    <row r="650">
      <c r="C650" s="15"/>
      <c r="D650" s="49"/>
    </row>
    <row r="651">
      <c r="C651" s="15"/>
      <c r="D651" s="49"/>
    </row>
    <row r="652">
      <c r="C652" s="15"/>
      <c r="D652" s="49"/>
    </row>
    <row r="653">
      <c r="C653" s="15"/>
      <c r="D653" s="49"/>
    </row>
    <row r="654">
      <c r="C654" s="15"/>
      <c r="D654" s="49"/>
    </row>
    <row r="655">
      <c r="C655" s="15"/>
      <c r="D655" s="49"/>
    </row>
    <row r="656">
      <c r="C656" s="15"/>
      <c r="D656" s="49"/>
    </row>
    <row r="657">
      <c r="C657" s="15"/>
      <c r="D657" s="49"/>
    </row>
    <row r="658">
      <c r="C658" s="15"/>
      <c r="D658" s="49"/>
    </row>
    <row r="659">
      <c r="C659" s="15"/>
      <c r="D659" s="49"/>
    </row>
    <row r="660">
      <c r="C660" s="15"/>
      <c r="D660" s="49"/>
    </row>
    <row r="661">
      <c r="C661" s="15"/>
      <c r="D661" s="49"/>
    </row>
    <row r="662">
      <c r="C662" s="15"/>
      <c r="D662" s="49"/>
    </row>
    <row r="663">
      <c r="C663" s="15"/>
      <c r="D663" s="49"/>
    </row>
    <row r="664">
      <c r="C664" s="15"/>
      <c r="D664" s="49"/>
    </row>
    <row r="665">
      <c r="C665" s="15"/>
      <c r="D665" s="49"/>
    </row>
    <row r="666">
      <c r="C666" s="15"/>
      <c r="D666" s="49"/>
    </row>
    <row r="667">
      <c r="C667" s="15"/>
      <c r="D667" s="49"/>
    </row>
    <row r="668">
      <c r="C668" s="15"/>
      <c r="D668" s="49"/>
    </row>
    <row r="669">
      <c r="C669" s="15"/>
      <c r="D669" s="49"/>
    </row>
    <row r="670">
      <c r="C670" s="15"/>
      <c r="D670" s="49"/>
    </row>
    <row r="671">
      <c r="C671" s="15"/>
      <c r="D671" s="49"/>
    </row>
    <row r="672">
      <c r="C672" s="15"/>
      <c r="D672" s="49"/>
    </row>
    <row r="673">
      <c r="C673" s="15"/>
      <c r="D673" s="49"/>
    </row>
    <row r="674">
      <c r="C674" s="15"/>
      <c r="D674" s="49"/>
    </row>
    <row r="675">
      <c r="C675" s="15"/>
      <c r="D675" s="49"/>
    </row>
    <row r="676">
      <c r="C676" s="15"/>
      <c r="D676" s="49"/>
    </row>
    <row r="677">
      <c r="C677" s="15"/>
      <c r="D677" s="49"/>
    </row>
    <row r="678">
      <c r="C678" s="15"/>
      <c r="D678" s="49"/>
    </row>
    <row r="679">
      <c r="C679" s="15"/>
      <c r="D679" s="49"/>
    </row>
    <row r="680">
      <c r="C680" s="15"/>
      <c r="D680" s="49"/>
    </row>
    <row r="681">
      <c r="C681" s="15"/>
      <c r="D681" s="49"/>
    </row>
    <row r="682">
      <c r="C682" s="15"/>
      <c r="D682" s="49"/>
    </row>
    <row r="683">
      <c r="C683" s="15"/>
      <c r="D683" s="49"/>
    </row>
    <row r="684">
      <c r="C684" s="15"/>
      <c r="D684" s="49"/>
    </row>
    <row r="685">
      <c r="C685" s="15"/>
      <c r="D685" s="49"/>
    </row>
    <row r="686">
      <c r="C686" s="15"/>
      <c r="D686" s="49"/>
    </row>
    <row r="687">
      <c r="C687" s="15"/>
      <c r="D687" s="49"/>
    </row>
    <row r="688">
      <c r="C688" s="15"/>
      <c r="D688" s="49"/>
    </row>
    <row r="689">
      <c r="C689" s="15"/>
      <c r="D689" s="49"/>
    </row>
    <row r="690">
      <c r="C690" s="15"/>
      <c r="D690" s="49"/>
    </row>
    <row r="691">
      <c r="C691" s="15"/>
      <c r="D691" s="49"/>
    </row>
    <row r="692">
      <c r="C692" s="15"/>
      <c r="D692" s="49"/>
    </row>
    <row r="693">
      <c r="C693" s="15"/>
      <c r="D693" s="49"/>
    </row>
    <row r="694">
      <c r="C694" s="15"/>
      <c r="D694" s="49"/>
    </row>
    <row r="695">
      <c r="C695" s="15"/>
      <c r="D695" s="49"/>
    </row>
    <row r="696">
      <c r="C696" s="15"/>
      <c r="D696" s="49"/>
    </row>
    <row r="697">
      <c r="C697" s="15"/>
      <c r="D697" s="49"/>
    </row>
    <row r="698">
      <c r="C698" s="15"/>
      <c r="D698" s="49"/>
    </row>
    <row r="699">
      <c r="C699" s="15"/>
      <c r="D699" s="49"/>
    </row>
    <row r="700">
      <c r="C700" s="15"/>
      <c r="D700" s="49"/>
    </row>
    <row r="701">
      <c r="C701" s="15"/>
      <c r="D701" s="49"/>
    </row>
    <row r="702">
      <c r="C702" s="15"/>
      <c r="D702" s="49"/>
    </row>
    <row r="703">
      <c r="C703" s="15"/>
      <c r="D703" s="49"/>
    </row>
    <row r="704">
      <c r="C704" s="15"/>
      <c r="D704" s="49"/>
    </row>
    <row r="705">
      <c r="C705" s="15"/>
      <c r="D705" s="49"/>
    </row>
    <row r="706">
      <c r="C706" s="15"/>
      <c r="D706" s="49"/>
    </row>
    <row r="707">
      <c r="C707" s="15"/>
      <c r="D707" s="49"/>
    </row>
    <row r="708">
      <c r="C708" s="15"/>
      <c r="D708" s="49"/>
    </row>
    <row r="709">
      <c r="C709" s="15"/>
      <c r="D709" s="49"/>
    </row>
    <row r="710">
      <c r="C710" s="15"/>
      <c r="D710" s="49"/>
    </row>
    <row r="711">
      <c r="C711" s="15"/>
      <c r="D711" s="49"/>
    </row>
    <row r="712">
      <c r="C712" s="15"/>
      <c r="D712" s="49"/>
    </row>
    <row r="713">
      <c r="C713" s="15"/>
      <c r="D713" s="49"/>
    </row>
    <row r="714">
      <c r="C714" s="15"/>
      <c r="D714" s="49"/>
    </row>
    <row r="715">
      <c r="C715" s="15"/>
      <c r="D715" s="49"/>
    </row>
    <row r="716">
      <c r="C716" s="15"/>
      <c r="D716" s="49"/>
    </row>
    <row r="717">
      <c r="C717" s="15"/>
      <c r="D717" s="49"/>
    </row>
    <row r="718">
      <c r="C718" s="15"/>
      <c r="D718" s="49"/>
    </row>
    <row r="719">
      <c r="C719" s="15"/>
      <c r="D719" s="49"/>
    </row>
    <row r="720">
      <c r="C720" s="15"/>
      <c r="D720" s="49"/>
    </row>
    <row r="721">
      <c r="C721" s="15"/>
      <c r="D721" s="49"/>
    </row>
    <row r="722">
      <c r="C722" s="15"/>
      <c r="D722" s="49"/>
    </row>
    <row r="723">
      <c r="C723" s="15"/>
      <c r="D723" s="49"/>
    </row>
    <row r="724">
      <c r="C724" s="15"/>
      <c r="D724" s="49"/>
    </row>
    <row r="725">
      <c r="C725" s="15"/>
      <c r="D725" s="49"/>
    </row>
    <row r="726">
      <c r="C726" s="15"/>
      <c r="D726" s="49"/>
    </row>
    <row r="727">
      <c r="C727" s="15"/>
      <c r="D727" s="49"/>
    </row>
    <row r="728">
      <c r="C728" s="15"/>
      <c r="D728" s="49"/>
    </row>
    <row r="729">
      <c r="C729" s="15"/>
      <c r="D729" s="49"/>
    </row>
    <row r="730">
      <c r="C730" s="15"/>
      <c r="D730" s="49"/>
    </row>
    <row r="731">
      <c r="C731" s="15"/>
      <c r="D731" s="49"/>
    </row>
    <row r="732">
      <c r="C732" s="15"/>
      <c r="D732" s="49"/>
    </row>
    <row r="733">
      <c r="C733" s="15"/>
      <c r="D733" s="49"/>
    </row>
    <row r="734">
      <c r="C734" s="15"/>
      <c r="D734" s="49"/>
    </row>
    <row r="735">
      <c r="C735" s="15"/>
      <c r="D735" s="49"/>
    </row>
    <row r="736">
      <c r="C736" s="15"/>
      <c r="D736" s="49"/>
    </row>
    <row r="737">
      <c r="C737" s="15"/>
      <c r="D737" s="49"/>
    </row>
    <row r="738">
      <c r="C738" s="15"/>
      <c r="D738" s="49"/>
    </row>
    <row r="739">
      <c r="C739" s="15"/>
      <c r="D739" s="49"/>
    </row>
    <row r="740">
      <c r="C740" s="15"/>
      <c r="D740" s="49"/>
    </row>
    <row r="741">
      <c r="C741" s="15"/>
      <c r="D741" s="49"/>
    </row>
    <row r="742">
      <c r="C742" s="15"/>
      <c r="D742" s="49"/>
    </row>
    <row r="743">
      <c r="C743" s="15"/>
      <c r="D743" s="49"/>
    </row>
    <row r="744">
      <c r="C744" s="15"/>
      <c r="D744" s="49"/>
    </row>
    <row r="745">
      <c r="C745" s="15"/>
      <c r="D745" s="49"/>
    </row>
    <row r="746">
      <c r="C746" s="15"/>
      <c r="D746" s="49"/>
    </row>
    <row r="747">
      <c r="C747" s="15"/>
      <c r="D747" s="49"/>
    </row>
    <row r="748">
      <c r="C748" s="15"/>
      <c r="D748" s="49"/>
    </row>
    <row r="749">
      <c r="C749" s="15"/>
      <c r="D749" s="49"/>
    </row>
    <row r="750">
      <c r="C750" s="15"/>
      <c r="D750" s="49"/>
    </row>
    <row r="751">
      <c r="C751" s="15"/>
      <c r="D751" s="49"/>
    </row>
    <row r="752">
      <c r="C752" s="15"/>
      <c r="D752" s="49"/>
    </row>
    <row r="753">
      <c r="C753" s="15"/>
      <c r="D753" s="49"/>
    </row>
    <row r="754">
      <c r="C754" s="15"/>
      <c r="D754" s="49"/>
    </row>
    <row r="755">
      <c r="C755" s="15"/>
      <c r="D755" s="49"/>
    </row>
    <row r="756">
      <c r="C756" s="15"/>
      <c r="D756" s="49"/>
    </row>
    <row r="757">
      <c r="C757" s="15"/>
      <c r="D757" s="49"/>
    </row>
    <row r="758">
      <c r="C758" s="15"/>
      <c r="D758" s="49"/>
    </row>
    <row r="759">
      <c r="C759" s="15"/>
      <c r="D759" s="49"/>
    </row>
    <row r="760">
      <c r="C760" s="15"/>
      <c r="D760" s="49"/>
    </row>
    <row r="761">
      <c r="C761" s="15"/>
      <c r="D761" s="49"/>
    </row>
    <row r="762">
      <c r="C762" s="15"/>
      <c r="D762" s="49"/>
    </row>
    <row r="763">
      <c r="C763" s="15"/>
      <c r="D763" s="49"/>
    </row>
    <row r="764">
      <c r="C764" s="15"/>
      <c r="D764" s="49"/>
    </row>
    <row r="765">
      <c r="C765" s="15"/>
      <c r="D765" s="49"/>
    </row>
    <row r="766">
      <c r="C766" s="15"/>
      <c r="D766" s="49"/>
    </row>
    <row r="767">
      <c r="C767" s="15"/>
      <c r="D767" s="49"/>
    </row>
    <row r="768">
      <c r="C768" s="15"/>
      <c r="D768" s="49"/>
    </row>
    <row r="769">
      <c r="C769" s="15"/>
      <c r="D769" s="49"/>
    </row>
    <row r="770">
      <c r="C770" s="15"/>
      <c r="D770" s="49"/>
    </row>
    <row r="771">
      <c r="C771" s="15"/>
      <c r="D771" s="49"/>
    </row>
    <row r="772">
      <c r="C772" s="15"/>
      <c r="D772" s="49"/>
    </row>
    <row r="773">
      <c r="C773" s="15"/>
      <c r="D773" s="49"/>
    </row>
    <row r="774">
      <c r="C774" s="15"/>
      <c r="D774" s="49"/>
    </row>
    <row r="775">
      <c r="C775" s="15"/>
      <c r="D775" s="49"/>
    </row>
    <row r="776">
      <c r="C776" s="15"/>
      <c r="D776" s="49"/>
    </row>
    <row r="777">
      <c r="C777" s="15"/>
      <c r="D777" s="49"/>
    </row>
    <row r="778">
      <c r="C778" s="15"/>
      <c r="D778" s="49"/>
    </row>
    <row r="779">
      <c r="C779" s="15"/>
      <c r="D779" s="49"/>
    </row>
    <row r="780">
      <c r="C780" s="15"/>
      <c r="D780" s="49"/>
    </row>
    <row r="781">
      <c r="C781" s="15"/>
      <c r="D781" s="49"/>
    </row>
    <row r="782">
      <c r="C782" s="15"/>
      <c r="D782" s="49"/>
    </row>
    <row r="783">
      <c r="C783" s="15"/>
      <c r="D783" s="49"/>
    </row>
    <row r="784">
      <c r="C784" s="15"/>
      <c r="D784" s="49"/>
    </row>
    <row r="785">
      <c r="C785" s="15"/>
      <c r="D785" s="49"/>
    </row>
    <row r="786">
      <c r="C786" s="15"/>
      <c r="D786" s="49"/>
    </row>
    <row r="787">
      <c r="C787" s="15"/>
      <c r="D787" s="49"/>
    </row>
    <row r="788">
      <c r="C788" s="15"/>
      <c r="D788" s="49"/>
    </row>
    <row r="789">
      <c r="C789" s="15"/>
      <c r="D789" s="49"/>
    </row>
    <row r="790">
      <c r="C790" s="15"/>
      <c r="D790" s="49"/>
    </row>
    <row r="791">
      <c r="C791" s="15"/>
      <c r="D791" s="49"/>
    </row>
    <row r="792">
      <c r="C792" s="15"/>
      <c r="D792" s="49"/>
    </row>
    <row r="793">
      <c r="C793" s="15"/>
      <c r="D793" s="49"/>
    </row>
    <row r="794">
      <c r="C794" s="15"/>
      <c r="D794" s="49"/>
    </row>
    <row r="795">
      <c r="C795" s="15"/>
      <c r="D795" s="49"/>
    </row>
    <row r="796">
      <c r="C796" s="15"/>
      <c r="D796" s="49"/>
    </row>
    <row r="797">
      <c r="C797" s="15"/>
      <c r="D797" s="49"/>
    </row>
    <row r="798">
      <c r="C798" s="15"/>
      <c r="D798" s="49"/>
    </row>
    <row r="799">
      <c r="C799" s="15"/>
      <c r="D799" s="49"/>
    </row>
    <row r="800">
      <c r="C800" s="15"/>
      <c r="D800" s="49"/>
    </row>
    <row r="801">
      <c r="C801" s="15"/>
      <c r="D801" s="49"/>
    </row>
    <row r="802">
      <c r="C802" s="15"/>
      <c r="D802" s="49"/>
    </row>
    <row r="803">
      <c r="C803" s="15"/>
      <c r="D803" s="49"/>
    </row>
    <row r="804">
      <c r="C804" s="15"/>
      <c r="D804" s="49"/>
    </row>
    <row r="805">
      <c r="C805" s="15"/>
      <c r="D805" s="49"/>
    </row>
    <row r="806">
      <c r="C806" s="15"/>
      <c r="D806" s="49"/>
    </row>
    <row r="807">
      <c r="C807" s="15"/>
      <c r="D807" s="49"/>
    </row>
    <row r="808">
      <c r="C808" s="15"/>
      <c r="D808" s="49"/>
    </row>
    <row r="809">
      <c r="C809" s="15"/>
      <c r="D809" s="49"/>
    </row>
    <row r="810">
      <c r="C810" s="15"/>
      <c r="D810" s="49"/>
    </row>
    <row r="811">
      <c r="C811" s="15"/>
      <c r="D811" s="49"/>
    </row>
    <row r="812">
      <c r="C812" s="15"/>
      <c r="D812" s="49"/>
    </row>
    <row r="813">
      <c r="C813" s="15"/>
      <c r="D813" s="49"/>
    </row>
    <row r="814">
      <c r="C814" s="15"/>
      <c r="D814" s="49"/>
    </row>
    <row r="815">
      <c r="C815" s="15"/>
      <c r="D815" s="49"/>
    </row>
    <row r="816">
      <c r="C816" s="15"/>
      <c r="D816" s="49"/>
    </row>
    <row r="817">
      <c r="C817" s="15"/>
      <c r="D817" s="49"/>
    </row>
    <row r="818">
      <c r="C818" s="15"/>
      <c r="D818" s="49"/>
    </row>
    <row r="819">
      <c r="C819" s="15"/>
      <c r="D819" s="49"/>
    </row>
    <row r="820">
      <c r="C820" s="15"/>
      <c r="D820" s="49"/>
    </row>
    <row r="821">
      <c r="C821" s="15"/>
      <c r="D821" s="49"/>
    </row>
    <row r="822">
      <c r="C822" s="15"/>
      <c r="D822" s="49"/>
    </row>
    <row r="823">
      <c r="C823" s="15"/>
      <c r="D823" s="49"/>
    </row>
    <row r="824">
      <c r="C824" s="15"/>
      <c r="D824" s="49"/>
    </row>
    <row r="825">
      <c r="C825" s="15"/>
      <c r="D825" s="49"/>
    </row>
    <row r="826">
      <c r="C826" s="15"/>
      <c r="D826" s="49"/>
    </row>
    <row r="827">
      <c r="C827" s="15"/>
      <c r="D827" s="49"/>
    </row>
    <row r="828">
      <c r="C828" s="15"/>
      <c r="D828" s="49"/>
    </row>
    <row r="829">
      <c r="C829" s="15"/>
      <c r="D829" s="49"/>
    </row>
    <row r="830">
      <c r="C830" s="15"/>
      <c r="D830" s="49"/>
    </row>
    <row r="831">
      <c r="C831" s="15"/>
      <c r="D831" s="49"/>
    </row>
    <row r="832">
      <c r="C832" s="15"/>
      <c r="D832" s="49"/>
    </row>
    <row r="833">
      <c r="C833" s="15"/>
      <c r="D833" s="49"/>
    </row>
    <row r="834">
      <c r="C834" s="15"/>
      <c r="D834" s="49"/>
    </row>
    <row r="835">
      <c r="C835" s="15"/>
      <c r="D835" s="49"/>
    </row>
    <row r="836">
      <c r="C836" s="15"/>
      <c r="D836" s="49"/>
    </row>
    <row r="837">
      <c r="C837" s="15"/>
      <c r="D837" s="49"/>
    </row>
    <row r="838">
      <c r="C838" s="15"/>
      <c r="D838" s="49"/>
    </row>
    <row r="839">
      <c r="C839" s="15"/>
      <c r="D839" s="49"/>
    </row>
    <row r="840">
      <c r="C840" s="15"/>
      <c r="D840" s="49"/>
    </row>
    <row r="841">
      <c r="C841" s="15"/>
      <c r="D841" s="49"/>
    </row>
    <row r="842">
      <c r="C842" s="15"/>
      <c r="D842" s="49"/>
    </row>
    <row r="843">
      <c r="C843" s="15"/>
      <c r="D843" s="49"/>
    </row>
    <row r="844">
      <c r="C844" s="15"/>
      <c r="D844" s="49"/>
    </row>
    <row r="845">
      <c r="C845" s="15"/>
      <c r="D845" s="49"/>
    </row>
    <row r="846">
      <c r="C846" s="15"/>
      <c r="D846" s="49"/>
    </row>
    <row r="847">
      <c r="C847" s="15"/>
      <c r="D847" s="49"/>
    </row>
    <row r="848">
      <c r="C848" s="15"/>
      <c r="D848" s="49"/>
    </row>
    <row r="849">
      <c r="C849" s="15"/>
      <c r="D849" s="49"/>
    </row>
    <row r="850">
      <c r="C850" s="15"/>
      <c r="D850" s="49"/>
    </row>
    <row r="851">
      <c r="C851" s="15"/>
      <c r="D851" s="49"/>
    </row>
    <row r="852">
      <c r="C852" s="15"/>
      <c r="D852" s="49"/>
    </row>
    <row r="853">
      <c r="C853" s="15"/>
      <c r="D853" s="49"/>
    </row>
    <row r="854">
      <c r="C854" s="15"/>
      <c r="D854" s="49"/>
    </row>
    <row r="855">
      <c r="C855" s="15"/>
      <c r="D855" s="49"/>
    </row>
    <row r="856">
      <c r="C856" s="15"/>
      <c r="D856" s="49"/>
    </row>
    <row r="857">
      <c r="C857" s="15"/>
      <c r="D857" s="49"/>
    </row>
    <row r="858">
      <c r="C858" s="15"/>
      <c r="D858" s="49"/>
    </row>
    <row r="859">
      <c r="C859" s="15"/>
      <c r="D859" s="49"/>
    </row>
    <row r="860">
      <c r="C860" s="15"/>
      <c r="D860" s="49"/>
    </row>
    <row r="861">
      <c r="C861" s="15"/>
      <c r="D861" s="49"/>
    </row>
    <row r="862">
      <c r="C862" s="15"/>
      <c r="D862" s="49"/>
    </row>
    <row r="863">
      <c r="C863" s="15"/>
      <c r="D863" s="49"/>
    </row>
    <row r="864">
      <c r="C864" s="15"/>
      <c r="D864" s="49"/>
    </row>
    <row r="865">
      <c r="C865" s="15"/>
      <c r="D865" s="49"/>
    </row>
    <row r="866">
      <c r="C866" s="15"/>
      <c r="D866" s="49"/>
    </row>
    <row r="867">
      <c r="C867" s="15"/>
      <c r="D867" s="49"/>
    </row>
    <row r="868">
      <c r="C868" s="15"/>
      <c r="D868" s="49"/>
    </row>
    <row r="869">
      <c r="C869" s="15"/>
      <c r="D869" s="49"/>
    </row>
    <row r="870">
      <c r="C870" s="15"/>
      <c r="D870" s="49"/>
    </row>
    <row r="871">
      <c r="C871" s="15"/>
      <c r="D871" s="49"/>
    </row>
    <row r="872">
      <c r="C872" s="15"/>
      <c r="D872" s="49"/>
    </row>
    <row r="873">
      <c r="C873" s="15"/>
      <c r="D873" s="49"/>
    </row>
    <row r="874">
      <c r="C874" s="15"/>
      <c r="D874" s="49"/>
    </row>
    <row r="875">
      <c r="C875" s="15"/>
      <c r="D875" s="49"/>
    </row>
    <row r="876">
      <c r="C876" s="15"/>
      <c r="D876" s="49"/>
    </row>
    <row r="877">
      <c r="C877" s="15"/>
      <c r="D877" s="49"/>
    </row>
    <row r="878">
      <c r="C878" s="15"/>
      <c r="D878" s="49"/>
    </row>
    <row r="879">
      <c r="C879" s="15"/>
      <c r="D879" s="49"/>
    </row>
    <row r="880">
      <c r="C880" s="15"/>
      <c r="D880" s="49"/>
    </row>
    <row r="881">
      <c r="C881" s="15"/>
      <c r="D881" s="49"/>
    </row>
    <row r="882">
      <c r="C882" s="15"/>
      <c r="D882" s="49"/>
    </row>
    <row r="883">
      <c r="C883" s="15"/>
      <c r="D883" s="49"/>
    </row>
    <row r="884">
      <c r="C884" s="15"/>
      <c r="D884" s="49"/>
    </row>
    <row r="885">
      <c r="C885" s="15"/>
      <c r="D885" s="49"/>
    </row>
    <row r="886">
      <c r="C886" s="15"/>
      <c r="D886" s="49"/>
    </row>
    <row r="887">
      <c r="C887" s="15"/>
      <c r="D887" s="49"/>
    </row>
    <row r="888">
      <c r="C888" s="15"/>
      <c r="D888" s="49"/>
    </row>
    <row r="889">
      <c r="C889" s="15"/>
      <c r="D889" s="49"/>
    </row>
    <row r="890">
      <c r="C890" s="15"/>
      <c r="D890" s="49"/>
    </row>
    <row r="891">
      <c r="C891" s="15"/>
      <c r="D891" s="49"/>
    </row>
    <row r="892">
      <c r="C892" s="15"/>
      <c r="D892" s="49"/>
    </row>
    <row r="893">
      <c r="C893" s="15"/>
      <c r="D893" s="49"/>
    </row>
    <row r="894">
      <c r="C894" s="15"/>
      <c r="D894" s="49"/>
    </row>
    <row r="895">
      <c r="C895" s="15"/>
      <c r="D895" s="49"/>
    </row>
    <row r="896">
      <c r="C896" s="15"/>
      <c r="D896" s="49"/>
    </row>
    <row r="897">
      <c r="C897" s="15"/>
      <c r="D897" s="49"/>
    </row>
    <row r="898">
      <c r="C898" s="15"/>
      <c r="D898" s="49"/>
    </row>
    <row r="899">
      <c r="C899" s="15"/>
      <c r="D899" s="49"/>
    </row>
    <row r="900">
      <c r="C900" s="15"/>
      <c r="D900" s="49"/>
    </row>
    <row r="901">
      <c r="C901" s="15"/>
      <c r="D901" s="49"/>
    </row>
    <row r="902">
      <c r="C902" s="15"/>
      <c r="D902" s="49"/>
    </row>
    <row r="903">
      <c r="C903" s="15"/>
      <c r="D903" s="49"/>
    </row>
    <row r="904">
      <c r="C904" s="15"/>
      <c r="D904" s="49"/>
    </row>
    <row r="905">
      <c r="C905" s="15"/>
      <c r="D905" s="49"/>
    </row>
    <row r="906">
      <c r="C906" s="15"/>
      <c r="D906" s="49"/>
    </row>
    <row r="907">
      <c r="C907" s="15"/>
      <c r="D907" s="49"/>
    </row>
    <row r="908">
      <c r="C908" s="15"/>
      <c r="D908" s="49"/>
    </row>
    <row r="909">
      <c r="C909" s="15"/>
      <c r="D909" s="49"/>
    </row>
    <row r="910">
      <c r="C910" s="15"/>
      <c r="D910" s="49"/>
    </row>
    <row r="911">
      <c r="C911" s="15"/>
      <c r="D911" s="49"/>
    </row>
    <row r="912">
      <c r="C912" s="15"/>
      <c r="D912" s="49"/>
    </row>
    <row r="913">
      <c r="C913" s="15"/>
      <c r="D913" s="49"/>
    </row>
    <row r="914">
      <c r="C914" s="15"/>
      <c r="D914" s="49"/>
    </row>
    <row r="915">
      <c r="C915" s="15"/>
      <c r="D915" s="49"/>
    </row>
    <row r="916">
      <c r="C916" s="15"/>
      <c r="D916" s="49"/>
    </row>
    <row r="917">
      <c r="C917" s="15"/>
      <c r="D917" s="49"/>
    </row>
    <row r="918">
      <c r="C918" s="15"/>
      <c r="D918" s="49"/>
    </row>
    <row r="919">
      <c r="C919" s="15"/>
      <c r="D919" s="49"/>
    </row>
    <row r="920">
      <c r="C920" s="15"/>
      <c r="D920" s="49"/>
    </row>
    <row r="921">
      <c r="C921" s="15"/>
      <c r="D921" s="49"/>
    </row>
    <row r="922">
      <c r="C922" s="15"/>
      <c r="D922" s="49"/>
    </row>
    <row r="923">
      <c r="C923" s="15"/>
      <c r="D923" s="49"/>
    </row>
    <row r="924">
      <c r="C924" s="15"/>
      <c r="D924" s="49"/>
    </row>
    <row r="925">
      <c r="C925" s="15"/>
      <c r="D925" s="49"/>
    </row>
    <row r="926">
      <c r="C926" s="15"/>
      <c r="D926" s="49"/>
    </row>
    <row r="927">
      <c r="C927" s="15"/>
      <c r="D927" s="49"/>
    </row>
    <row r="928">
      <c r="C928" s="15"/>
      <c r="D928" s="49"/>
    </row>
    <row r="929">
      <c r="C929" s="15"/>
      <c r="D929" s="49"/>
    </row>
    <row r="930">
      <c r="C930" s="15"/>
      <c r="D930" s="49"/>
    </row>
    <row r="931">
      <c r="C931" s="15"/>
      <c r="D931" s="49"/>
    </row>
    <row r="932">
      <c r="C932" s="15"/>
      <c r="D932" s="49"/>
    </row>
    <row r="933">
      <c r="C933" s="15"/>
      <c r="D933" s="49"/>
    </row>
    <row r="934">
      <c r="C934" s="15"/>
      <c r="D934" s="49"/>
    </row>
    <row r="935">
      <c r="C935" s="15"/>
      <c r="D935" s="49"/>
    </row>
    <row r="936">
      <c r="C936" s="15"/>
      <c r="D936" s="49"/>
    </row>
    <row r="937">
      <c r="C937" s="15"/>
      <c r="D937" s="49"/>
    </row>
    <row r="938">
      <c r="C938" s="15"/>
      <c r="D938" s="49"/>
    </row>
    <row r="939">
      <c r="C939" s="15"/>
      <c r="D939" s="49"/>
    </row>
    <row r="940">
      <c r="C940" s="15"/>
      <c r="D940" s="49"/>
    </row>
    <row r="941">
      <c r="C941" s="15"/>
      <c r="D941" s="49"/>
    </row>
    <row r="942">
      <c r="C942" s="15"/>
      <c r="D942" s="49"/>
    </row>
    <row r="943">
      <c r="C943" s="15"/>
      <c r="D943" s="49"/>
    </row>
    <row r="944">
      <c r="C944" s="15"/>
      <c r="D944" s="49"/>
    </row>
    <row r="945">
      <c r="C945" s="15"/>
      <c r="D945" s="49"/>
    </row>
    <row r="946">
      <c r="C946" s="15"/>
      <c r="D946" s="49"/>
    </row>
    <row r="947">
      <c r="C947" s="15"/>
      <c r="D947" s="49"/>
    </row>
    <row r="948">
      <c r="C948" s="15"/>
      <c r="D948" s="49"/>
    </row>
    <row r="949">
      <c r="C949" s="15"/>
      <c r="D949" s="49"/>
    </row>
    <row r="950">
      <c r="C950" s="15"/>
      <c r="D950" s="49"/>
    </row>
    <row r="951">
      <c r="C951" s="15"/>
      <c r="D951" s="49"/>
    </row>
    <row r="952">
      <c r="C952" s="15"/>
      <c r="D952" s="49"/>
    </row>
    <row r="953">
      <c r="C953" s="15"/>
      <c r="D953" s="49"/>
    </row>
    <row r="954">
      <c r="C954" s="15"/>
      <c r="D954" s="49"/>
    </row>
    <row r="955">
      <c r="C955" s="15"/>
      <c r="D955" s="49"/>
    </row>
    <row r="956">
      <c r="C956" s="15"/>
      <c r="D956" s="49"/>
    </row>
    <row r="957">
      <c r="C957" s="15"/>
      <c r="D957" s="49"/>
    </row>
    <row r="958">
      <c r="C958" s="15"/>
      <c r="D958" s="49"/>
    </row>
    <row r="959">
      <c r="C959" s="15"/>
      <c r="D959" s="49"/>
    </row>
    <row r="960">
      <c r="C960" s="15"/>
      <c r="D960" s="49"/>
    </row>
    <row r="961">
      <c r="C961" s="15"/>
      <c r="D961" s="49"/>
    </row>
    <row r="962">
      <c r="C962" s="15"/>
      <c r="D962" s="49"/>
    </row>
    <row r="963">
      <c r="C963" s="15"/>
      <c r="D963" s="49"/>
    </row>
    <row r="964">
      <c r="C964" s="15"/>
      <c r="D964" s="49"/>
    </row>
    <row r="965">
      <c r="C965" s="15"/>
      <c r="D965" s="49"/>
    </row>
    <row r="966">
      <c r="C966" s="15"/>
      <c r="D966" s="49"/>
    </row>
    <row r="967">
      <c r="C967" s="15"/>
      <c r="D967" s="49"/>
    </row>
    <row r="968">
      <c r="C968" s="15"/>
      <c r="D968" s="49"/>
    </row>
    <row r="969">
      <c r="C969" s="15"/>
      <c r="D969" s="49"/>
    </row>
    <row r="970">
      <c r="C970" s="15"/>
      <c r="D970" s="49"/>
    </row>
    <row r="971">
      <c r="C971" s="15"/>
      <c r="D971" s="49"/>
    </row>
    <row r="972">
      <c r="C972" s="15"/>
      <c r="D972" s="49"/>
    </row>
    <row r="973">
      <c r="C973" s="15"/>
      <c r="D973" s="49"/>
    </row>
    <row r="974">
      <c r="C974" s="15"/>
      <c r="D974" s="49"/>
    </row>
    <row r="975">
      <c r="C975" s="15"/>
      <c r="D975" s="49"/>
    </row>
    <row r="976">
      <c r="C976" s="15"/>
      <c r="D976" s="49"/>
    </row>
    <row r="977">
      <c r="C977" s="15"/>
      <c r="D977" s="49"/>
    </row>
    <row r="978">
      <c r="C978" s="15"/>
      <c r="D978" s="49"/>
    </row>
    <row r="979">
      <c r="C979" s="15"/>
      <c r="D979" s="49"/>
    </row>
    <row r="980">
      <c r="C980" s="15"/>
      <c r="D980" s="49"/>
    </row>
    <row r="981">
      <c r="C981" s="15"/>
      <c r="D981" s="49"/>
    </row>
    <row r="982">
      <c r="C982" s="15"/>
      <c r="D982" s="49"/>
    </row>
    <row r="983">
      <c r="C983" s="15"/>
      <c r="D983" s="49"/>
    </row>
    <row r="984">
      <c r="C984" s="15"/>
      <c r="D984" s="49"/>
    </row>
    <row r="985">
      <c r="C985" s="15"/>
      <c r="D985" s="49"/>
    </row>
    <row r="986">
      <c r="C986" s="15"/>
      <c r="D986" s="49"/>
    </row>
    <row r="987">
      <c r="C987" s="15"/>
      <c r="D987" s="49"/>
    </row>
    <row r="988">
      <c r="C988" s="15"/>
      <c r="D988" s="49"/>
    </row>
    <row r="989">
      <c r="C989" s="15"/>
      <c r="D989" s="49"/>
    </row>
    <row r="990">
      <c r="C990" s="15"/>
      <c r="D990" s="49"/>
    </row>
    <row r="991">
      <c r="C991" s="15"/>
      <c r="D991" s="49"/>
    </row>
    <row r="992">
      <c r="C992" s="15"/>
      <c r="D992" s="49"/>
    </row>
    <row r="993">
      <c r="C993" s="15"/>
      <c r="D993" s="49"/>
    </row>
    <row r="994">
      <c r="C994" s="15"/>
      <c r="D994" s="49"/>
    </row>
    <row r="995">
      <c r="C995" s="15"/>
      <c r="D995" s="49"/>
    </row>
    <row r="996">
      <c r="C996" s="15"/>
      <c r="D996" s="49"/>
    </row>
    <row r="997">
      <c r="C997" s="15"/>
      <c r="D997" s="49"/>
    </row>
  </sheetData>
  <autoFilter ref="$A$1:$E$997">
    <sortState ref="A1:E997">
      <sortCondition ref="A1:A997"/>
    </sortState>
  </autoFilter>
  <dataValidations>
    <dataValidation type="list" allowBlank="1" showErrorMessage="1" sqref="C2:C997">
      <formula1>"BTC,ETH,USDT"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13"/>
    <col customWidth="1" min="3" max="3" width="19.5"/>
    <col customWidth="1" min="4" max="4" width="21.5"/>
    <col customWidth="1" min="5" max="5" width="14.38"/>
    <col customWidth="1" min="6" max="6" width="9.75"/>
    <col customWidth="1" min="7" max="7" width="26.25"/>
    <col customWidth="1" min="8" max="8" width="5.0"/>
    <col customWidth="1" min="9" max="9" width="16.5"/>
    <col customWidth="1" min="10" max="10" width="6.75"/>
    <col customWidth="1" min="11" max="16" width="9.25"/>
    <col customWidth="1" min="17" max="17" width="9.38"/>
    <col customWidth="1" min="18" max="19" width="9.25"/>
    <col customWidth="1" min="20" max="23" width="9.38"/>
    <col customWidth="1" min="24" max="24" width="9.25"/>
    <col customWidth="1" min="25" max="25" width="10.25"/>
    <col customWidth="1" min="26" max="26" width="9.25"/>
    <col customWidth="1" min="27" max="27" width="10.25"/>
    <col customWidth="1" min="28" max="28" width="9.25"/>
    <col customWidth="1" min="29" max="29" width="9.63"/>
    <col customWidth="1" min="30" max="30" width="9.75"/>
    <col customWidth="1" min="31" max="32" width="9.88"/>
    <col customWidth="1" min="33" max="33" width="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82</v>
      </c>
      <c r="H1" s="34"/>
      <c r="I1" s="3" t="s">
        <v>7</v>
      </c>
      <c r="J1" s="2" t="s">
        <v>8</v>
      </c>
      <c r="K1" s="5">
        <v>45505.0</v>
      </c>
      <c r="L1" s="4">
        <v>45526.0</v>
      </c>
      <c r="M1" s="5">
        <v>45536.0</v>
      </c>
      <c r="N1" s="5">
        <v>45566.0</v>
      </c>
      <c r="O1" s="5">
        <v>45597.0</v>
      </c>
      <c r="P1" s="4">
        <v>45605.0</v>
      </c>
      <c r="Q1" s="5">
        <v>45627.0</v>
      </c>
      <c r="R1" s="4">
        <v>45640.0</v>
      </c>
      <c r="S1" s="4">
        <v>45640.0</v>
      </c>
      <c r="T1" s="5">
        <v>45658.0</v>
      </c>
      <c r="U1" s="5">
        <v>45689.0</v>
      </c>
      <c r="V1" s="5">
        <v>45717.0</v>
      </c>
      <c r="W1" s="5">
        <v>45748.0</v>
      </c>
      <c r="X1" s="4">
        <v>45763.0</v>
      </c>
      <c r="Y1" s="5">
        <v>45778.0</v>
      </c>
      <c r="Z1" s="4">
        <v>45790.0</v>
      </c>
      <c r="AA1" s="5">
        <v>45809.0</v>
      </c>
      <c r="AB1" s="4">
        <v>45819.0</v>
      </c>
      <c r="AC1" s="5">
        <v>45839.0</v>
      </c>
      <c r="AD1" s="4">
        <v>45849.0</v>
      </c>
      <c r="AE1" s="4">
        <v>45862.0</v>
      </c>
      <c r="AF1" s="4">
        <v>45863.0</v>
      </c>
      <c r="AG1" s="5">
        <v>45869.0</v>
      </c>
      <c r="AH1" s="4">
        <v>45889.0</v>
      </c>
      <c r="AI1" s="4">
        <v>45894.0</v>
      </c>
      <c r="AJ1" s="5">
        <v>45901.0</v>
      </c>
      <c r="AK1" s="50"/>
      <c r="AL1" s="50"/>
      <c r="AM1" s="50"/>
      <c r="AN1" s="50"/>
      <c r="AO1" s="50"/>
      <c r="AP1" s="50"/>
      <c r="AQ1" s="50"/>
      <c r="AR1" s="50"/>
    </row>
    <row r="2">
      <c r="A2" s="6">
        <v>45474.0</v>
      </c>
      <c r="B2" s="7">
        <v>3.468</v>
      </c>
      <c r="C2" s="8">
        <v>1.0</v>
      </c>
      <c r="D2" s="9"/>
      <c r="E2" s="9"/>
      <c r="F2" s="9"/>
      <c r="G2" s="46" t="s">
        <v>83</v>
      </c>
      <c r="H2" s="17"/>
      <c r="I2" s="11" t="s">
        <v>10</v>
      </c>
      <c r="J2" s="12">
        <v>0.0</v>
      </c>
      <c r="K2" s="13">
        <f>B2*C3*$J$3</f>
        <v>0.0044</v>
      </c>
      <c r="L2" s="13">
        <f>K2*$C$4*1+K2+(K3*$C$4*$J$3)</f>
        <v>0.00641008596</v>
      </c>
      <c r="M2" s="13">
        <f>L2*$C$6*1+L2+(L3*$C$6*$J$3)+(L4*$C$6*$J$4)</f>
        <v>0.008237591539</v>
      </c>
      <c r="N2" s="13">
        <f>M2*$C$7*1+M2+(M3*$C$7*$J$3)+(M4*$C$7*$J$4)</f>
        <v>0.0137281661</v>
      </c>
      <c r="O2" s="13">
        <f>N2*$C$9*1+N2+(N3*$C$9*$J$3)+(N4*$C$9*$J$4)+(N5*$C$9*$J$5)+(N7*$C$9*$J$7)</f>
        <v>0.02384916392</v>
      </c>
      <c r="P2" s="13">
        <f>O2*$C$10*1+O2+(O3*$C$10*$J$3)+(O4*$C$10*$J$4)+(O5*$C$10*$J$5)+(O7*$C$10*$J$7)</f>
        <v>0.02660373407</v>
      </c>
      <c r="Q2" s="13">
        <f>P2*$C$12*1+P2+(P3*$C$12*$J$3)+(P4*$C$12*$J$4)+(P5*$C$12*$J$5)+(P7*$C$12*$J$7)</f>
        <v>0.0348679577</v>
      </c>
      <c r="R2" s="13">
        <f>Q2*$C$13*1+Q2+(Q3*$C$13*$J$3)+(Q4*$C$13*$J$4)+(Q5*$C$13*$J$5)+(Q7*$C$13*$J$7)</f>
        <v>0.0385537365</v>
      </c>
      <c r="S2" s="13">
        <f t="shared" ref="S2:S3" si="1">R2</f>
        <v>0.0385537365</v>
      </c>
      <c r="T2" s="13">
        <f>S2*$C$16*1+S2+(S3*$C$16*$J$3)+(S4*$C$16*$J$4)+(S5*$C$16*$J$5)+(S7*$C$16*$J$7)</f>
        <v>0.04238061565</v>
      </c>
      <c r="U2" s="13">
        <f>T2*$C$17*1+T2+(T3*$C$17*$J$3)+(T4*$C$17*$J$4)+(T5*$C$17*$J$5)+(T7*$C$17*$J$7)</f>
        <v>0.04680478445</v>
      </c>
      <c r="V2" s="13">
        <f>U2*$C$18*1+U2+(U3*$C$18*$J$3)+(U4*$C$18*$J$4)+(U5*$C$18*$J$5)+(U7*$C$18*$J$7)</f>
        <v>0.04976720381</v>
      </c>
      <c r="W2" s="13">
        <f>V2*$C$19*1+V2+(V3*$C$19*$J$3)+(V4*$C$19*$J$4)+(V5*$C$19*$J$5)+(V7*$C$19*$J$7)</f>
        <v>0.05273822868</v>
      </c>
      <c r="X2" s="13">
        <f>W2*$C$21*1+W2+(W3*$C$21*$J$3)+(W4*$C$21*$J$4)+(W5*$C$21*$J$5)+(W7*$C$21*$J$7)+0.0498</f>
        <v>0.1078056012</v>
      </c>
      <c r="Y2" s="13">
        <f>X2*$C$23*1+X2+(X3*$C$23*$J$3)+(X4*$C$23*$J$4)+(X5*$C$23*$J$5)+(X7*$C$23*$J$7)</f>
        <v>0.115962038</v>
      </c>
      <c r="Z2" s="13">
        <f>Y2*$C$24*1+Y2+(Y3*$C$24*$J$3)+(Y4*$C$24*$J$4)+(Y5*$C$24*$J$5)+(Y7*$C$24*$J$7)</f>
        <v>0.1186892676</v>
      </c>
      <c r="AA2" s="13">
        <f>Z2*$C$27*1+Z2+(Z3*$C$27*$J$3)+(Z4*$C$27*$J$4)+(Z5*$C$27*$J$5)+(Z7*$C$27*$J$7)</f>
        <v>0.1273052622</v>
      </c>
      <c r="AB2" s="13">
        <f>AA2*$C$29*1+AA2+(AA3*$C$29*$J$3)+(AA4*$C$29*$J$4)+(AA5*$C$29*$J$5)+(AA7*$C$29*$J$7)</f>
        <v>0.1327966112</v>
      </c>
      <c r="AC2" s="13">
        <f>AB2*$C$31*1+AB2+(AB3*$C$31*$J$3)+(AB4*$C$31*$J$4)+(AB5*$C$31*$J$5)+(AB7*$C$31*$J$7)+(AB8*$C$31*$J$8)</f>
        <v>0.1346805485</v>
      </c>
      <c r="AD2" s="13">
        <f>AC2*$C$32*1+AC2+(AC3*$C$32*$J$3)+(AC4*$C$32*$J$4)+(AC5*$C$32*$J$5)+(AC7*$C$32*$J$7)+(AC8*$C$32*$J$8)</f>
        <v>0.1433150199</v>
      </c>
      <c r="AE2" s="13">
        <f>AD2*$C$34*1+AD2+(AD3*$C$34*$J$3)+(AD4*$C$34*$J$4)+(AD5*$C$34*$J$5)+(AD6*$C$34*$J$6)+(AD7*$C$34*$J$7)+(AD8*$C$34*$J$8)+(AD9*$C$34*$J$9)+(AD10*$C$34*$J$10)+(AD11*$C$34*$J$11)+(AD12*$C$34*$J$12)</f>
        <v>0.1439824295</v>
      </c>
      <c r="AF2" s="13">
        <f>AE2*$C$36*1+AE2+(AE3*$C$36*$J$3)+(AE4*$C$36*$J$4)+(AE5*$C$36*$J$5)+(AE6*$C$36*$J$6)+(AE7*$C$36*$J$7)+(AE8*$C$36*$J$8)+(AE9*$C$36*$J$9)+(AE10*$C$36*$J$10)+(AE11*$C$36*$J$11)+(AE12*$C$36*$J$12)</f>
        <v>0.1441275222</v>
      </c>
      <c r="AG2" s="13">
        <f>AF2*$C$38*1+AF2+(AF3*$C$38*$J$3)+(AF4*$C$38*$J$4)+(AF5*$C$38*$J$5)+(AF6*$C$38*$J$6)+(AF7*$C$38*$J$7)+(AF8*$C$38*$J$8)+(AF9*$C$38*$J$9)+(AF10*$C$38*$J$10)+(AF11*$C$38*$J$11)+(AF12*$C$38*$J$12)</f>
        <v>0.1458993858</v>
      </c>
      <c r="AH2" s="13">
        <f>AG2*$C$40*1+AG2+(AG3*$C$40*$J$3)+(AG4*$C$40*$J$4)+(AG5*$C$40*$J$5)+(AG6*$C$40*$J$6)+(AG7*$C$40*$J$7)+(AG8*$C$40*$J$8)+(AG9*$C$40*$J$9)+(AG10*$C$40*$J$10)+(AG11*$C$40*$J$11)+(AG12*$C$40*$J$12)</f>
        <v>0.153374335</v>
      </c>
      <c r="AI2" s="13">
        <f>AH2*$C$42*1+AH2+(AH3*$C$42*$J$3)+(AH4*$C$42*$J$4)+(AH5*$C$42*$J$5)+(AH6*$C$42*$J$6)+(AH7*$C$42*$J$7)+(AH8*$C$42*$J$8)+(AH9*$C$42*$J$9)+(AH10*$C$42*$J$10)+(AH11*$C$42*$J$11)+(AH12*$C$42*$J$12)</f>
        <v>0.1547391612</v>
      </c>
      <c r="AJ2" s="13">
        <f>AI2*$C$44*1+AI2+(AI3*$C$44*$J$3)+(AI4*$C$44*$J$4)+(AI5*$C$44*$J$5)+(AI6*$C$44*$J$6)+(AI7*$C$44*$J$7)+(AI8*$C$44*$J$8)+(AI9*$C$44*$J$9)+(AI10*$C$44*$J$10)+(AI11*$C$44*$J$11)+(AI12*$C$44*$J$12)</f>
        <v>0.1561329573</v>
      </c>
      <c r="AK2" s="13"/>
      <c r="AL2" s="13"/>
      <c r="AM2" s="13"/>
      <c r="AN2" s="13"/>
      <c r="AO2" s="13"/>
      <c r="AP2" s="13"/>
      <c r="AQ2" s="13"/>
      <c r="AR2" s="13"/>
    </row>
    <row r="3">
      <c r="A3" s="6">
        <v>45505.0</v>
      </c>
      <c r="B3" s="7">
        <v>3.49</v>
      </c>
      <c r="C3" s="14">
        <f t="shared" ref="C3:C4" si="2">(B3*$C$2/B2)-100%</f>
        <v>0.006343713956</v>
      </c>
      <c r="D3" s="15">
        <f t="shared" ref="D3:D4" si="3">B3-B2</f>
        <v>0.022</v>
      </c>
      <c r="E3" s="14">
        <f t="shared" ref="E3:E4" si="4">C3*0.8</f>
        <v>0.005074971165</v>
      </c>
      <c r="F3" s="16">
        <f t="shared" ref="F3:F4" si="5">C3*12</f>
        <v>0.07612456747</v>
      </c>
      <c r="G3" s="46"/>
      <c r="H3" s="17"/>
      <c r="I3" s="11" t="s">
        <v>32</v>
      </c>
      <c r="J3" s="12">
        <v>0.2</v>
      </c>
      <c r="K3" s="13">
        <f>B2*C3*(1-$J3)+B2</f>
        <v>3.4856</v>
      </c>
      <c r="L3" s="13">
        <f>K3*C4*(1-$J3)+K3</f>
        <v>3.493589914</v>
      </c>
      <c r="M3" s="13">
        <f t="shared" ref="M3:M4" si="6">L3*$C$6*(1-$J3)+L3</f>
        <v>3.498671499</v>
      </c>
      <c r="N3" s="13">
        <f t="shared" ref="N3:N4" si="7">M3*$C$7*(1-$J3)+M3</f>
        <v>3.513910722</v>
      </c>
      <c r="O3" s="13">
        <f t="shared" ref="O3:O7" si="8">N3*$C$9*(1-$J3)+N3</f>
        <v>3.528133843</v>
      </c>
      <c r="P3" s="13">
        <f t="shared" ref="P3:P6" si="9">O3*$C$10*(1-$J3)+O3</f>
        <v>3.531984467</v>
      </c>
      <c r="Q3" s="13">
        <f t="shared" ref="Q3:Q7" si="10">P3*$C$12*(1-$J3)+P3</f>
        <v>3.543676553</v>
      </c>
      <c r="R3" s="13">
        <f t="shared" ref="R3:R6" si="11">Q3*$C$13*(1-$J3)+Q3</f>
        <v>3.548868753</v>
      </c>
      <c r="S3" s="13">
        <f t="shared" si="1"/>
        <v>3.548868753</v>
      </c>
      <c r="T3" s="13">
        <f t="shared" ref="T3:T7" si="12">S3*$C$16*(1-$J3)+S3</f>
        <v>3.563387628</v>
      </c>
      <c r="U3" s="13">
        <f t="shared" ref="U3:U7" si="13">T3*$C$17*(1-$J3)+T3</f>
        <v>3.580091008</v>
      </c>
      <c r="V3" s="13">
        <f t="shared" ref="V3:V7" si="14">U3*$C$18*(1-$J3)+U3</f>
        <v>3.591213621</v>
      </c>
      <c r="W3" s="13">
        <f t="shared" ref="W3:W5" si="15">V3*$C$19*(1-$J3)+V3</f>
        <v>3.602327628</v>
      </c>
      <c r="X3" s="13">
        <f>W3*$C$21*(1-$J3)+W3</f>
        <v>3.621960023</v>
      </c>
      <c r="Y3" s="13">
        <f t="shared" ref="Y3:Y7" si="16">X3*$C$23*(1-$J3)+X3</f>
        <v>3.633033531</v>
      </c>
      <c r="Z3" s="13">
        <f>Y3*$C$24*(1-$J3)+Y3</f>
        <v>3.63672189</v>
      </c>
      <c r="AA3" s="13">
        <f>Z3*$C$27*(1-$J3)+Z3</f>
        <v>3.650364048</v>
      </c>
      <c r="AB3" s="13">
        <f>AA3*$C$29*(1-$J3)+AA3</f>
        <v>3.659079413</v>
      </c>
      <c r="AC3" s="13">
        <f>AB3*$C$31*(1-$J3)+AB3</f>
        <v>3.661530556</v>
      </c>
      <c r="AD3" s="13">
        <f>AC3*$C$32*(1-$J3)+AC3</f>
        <v>3.672755286</v>
      </c>
      <c r="AE3" s="13">
        <f>AD3*$C$34*(1-$J3)+AD3</f>
        <v>3.673550156</v>
      </c>
      <c r="AF3" s="13">
        <f>AE3*$C$36*(1-$J3)+AE3</f>
        <v>3.673709275</v>
      </c>
      <c r="AG3" s="13">
        <f>AF3*$C$38*(1-$J3)+AF3</f>
        <v>3.675671353</v>
      </c>
      <c r="AH3" s="13">
        <f>AG3*$C$40*(1-$J3)+AG3</f>
        <v>3.68358582</v>
      </c>
      <c r="AI3" s="13">
        <f>AH3*$C$42*(1-$J3)+AH3</f>
        <v>3.685032728</v>
      </c>
      <c r="AJ3" s="13">
        <f>AI3*$C$44*(1-$J3)+AI3</f>
        <v>3.686418923</v>
      </c>
      <c r="AK3" s="13"/>
      <c r="AL3" s="13"/>
      <c r="AM3" s="13"/>
      <c r="AN3" s="13"/>
      <c r="AO3" s="13"/>
      <c r="AP3" s="13"/>
      <c r="AQ3" s="13"/>
      <c r="AR3" s="13"/>
    </row>
    <row r="4">
      <c r="A4" s="6">
        <v>45525.0</v>
      </c>
      <c r="B4" s="7">
        <v>3.5</v>
      </c>
      <c r="C4" s="14">
        <f t="shared" si="2"/>
        <v>0.002865329513</v>
      </c>
      <c r="D4" s="15">
        <f t="shared" si="3"/>
        <v>0.01</v>
      </c>
      <c r="E4" s="14">
        <f t="shared" si="4"/>
        <v>0.00229226361</v>
      </c>
      <c r="F4" s="16">
        <f t="shared" si="5"/>
        <v>0.03438395415</v>
      </c>
      <c r="G4" s="46"/>
      <c r="H4" s="17"/>
      <c r="I4" s="11" t="s">
        <v>11</v>
      </c>
      <c r="J4" s="12">
        <v>0.15</v>
      </c>
      <c r="K4" s="38">
        <v>0.0</v>
      </c>
      <c r="L4" s="38">
        <v>2.0</v>
      </c>
      <c r="M4" s="13">
        <f t="shared" si="6"/>
        <v>2.003090909</v>
      </c>
      <c r="N4" s="13">
        <f t="shared" si="7"/>
        <v>2.012361112</v>
      </c>
      <c r="O4" s="13">
        <f t="shared" si="8"/>
        <v>2.021015553</v>
      </c>
      <c r="P4" s="13">
        <f t="shared" si="9"/>
        <v>2.023359159</v>
      </c>
      <c r="Q4" s="13">
        <f t="shared" si="10"/>
        <v>2.030475802</v>
      </c>
      <c r="R4" s="13">
        <f t="shared" si="11"/>
        <v>2.033636799</v>
      </c>
      <c r="S4" s="13">
        <f t="shared" ref="S4:S5" si="17">R4-R4</f>
        <v>0</v>
      </c>
      <c r="T4" s="13">
        <f t="shared" si="12"/>
        <v>0</v>
      </c>
      <c r="U4" s="13">
        <f t="shared" si="13"/>
        <v>0</v>
      </c>
      <c r="V4" s="13">
        <f t="shared" si="14"/>
        <v>0</v>
      </c>
      <c r="W4" s="13">
        <f t="shared" si="15"/>
        <v>0</v>
      </c>
      <c r="X4" s="13">
        <f>W4*$C$21*(1-$J4)+W4+2.101</f>
        <v>2.101</v>
      </c>
      <c r="Y4" s="13">
        <f t="shared" si="16"/>
        <v>2.107824904</v>
      </c>
      <c r="Z4" s="13">
        <f>Y4*$C$24*(1-$J4)+Y4-(Y4*$C$24*(1-$J4)+Y4)</f>
        <v>0</v>
      </c>
      <c r="AA4" s="13">
        <f>Z4*$C$27*(1-$J4)+Z4-(Z4*$C$27*(1-$J4)+Z4)</f>
        <v>0</v>
      </c>
      <c r="AB4" s="13">
        <f>AA4*$C$29*(1-$J4)+AA4-(AA4*$C$29*(1-$J4)+AA4)</f>
        <v>0</v>
      </c>
      <c r="AC4" s="13">
        <f>AB4*$C$31*(1-$J4)+AB4-(AB4*$C$31*(1-$J4)+AB4)</f>
        <v>0</v>
      </c>
      <c r="AD4" s="13">
        <f>AC4*$C$32*(1-$J4)+AC4-(AC4*$C$32*(1-$J4)+AC4)</f>
        <v>0</v>
      </c>
      <c r="AE4" s="13">
        <f>AD4*$C$34*(1-$J4)+AD4-(AD4*$C$34*(1-$J4)+AD4)</f>
        <v>0</v>
      </c>
      <c r="AF4" s="13">
        <f>AE4*$C$36*(1-$J4)+AE4-(AE4*$C$36*(1-$J4)+AE4)</f>
        <v>0</v>
      </c>
      <c r="AG4" s="13">
        <f>AF4*$C$38*(1-$J4)+AF4-(AF4*$C$38*(1-$J4)+AF4)</f>
        <v>0</v>
      </c>
      <c r="AH4" s="13">
        <f>AG4*$C$40*(1-$J4)+AG4-(AG4*$C$40*(1-$J4)+AG4)</f>
        <v>0</v>
      </c>
      <c r="AI4" s="13">
        <f>AH4*$C$42*(1-$J4)+AH4-(AH4*$C$42*(1-$J4)+AH4)</f>
        <v>0</v>
      </c>
      <c r="AJ4" s="13">
        <f>AI4*$C$44*(1-$J4)+AI4-(AI4*$C$44*(1-$J4)+AI4)</f>
        <v>0</v>
      </c>
      <c r="AK4" s="13"/>
      <c r="AL4" s="13"/>
      <c r="AM4" s="13"/>
      <c r="AN4" s="13"/>
      <c r="AO4" s="13"/>
      <c r="AP4" s="13"/>
      <c r="AQ4" s="13"/>
      <c r="AR4" s="13"/>
    </row>
    <row r="5">
      <c r="A5" s="6">
        <v>45526.0</v>
      </c>
      <c r="B5" s="7">
        <f>3.5+2</f>
        <v>5.5</v>
      </c>
      <c r="C5" s="8">
        <v>1.0</v>
      </c>
      <c r="D5" s="9"/>
      <c r="E5" s="9"/>
      <c r="F5" s="9"/>
      <c r="G5" s="46" t="s">
        <v>84</v>
      </c>
      <c r="H5" s="17"/>
      <c r="I5" s="11" t="s">
        <v>12</v>
      </c>
      <c r="J5" s="12">
        <v>0.1</v>
      </c>
      <c r="K5" s="38">
        <v>0.0</v>
      </c>
      <c r="L5" s="38">
        <v>0.0</v>
      </c>
      <c r="M5" s="38">
        <v>0.0</v>
      </c>
      <c r="N5" s="38">
        <v>4.62</v>
      </c>
      <c r="O5" s="38">
        <f t="shared" si="8"/>
        <v>4.641037721</v>
      </c>
      <c r="P5" s="38">
        <f t="shared" si="9"/>
        <v>4.64673613</v>
      </c>
      <c r="Q5" s="38">
        <f t="shared" si="10"/>
        <v>4.664041216</v>
      </c>
      <c r="R5" s="38">
        <f t="shared" si="11"/>
        <v>4.671729196</v>
      </c>
      <c r="S5" s="13">
        <f t="shared" si="17"/>
        <v>0</v>
      </c>
      <c r="T5" s="38">
        <f t="shared" si="12"/>
        <v>0</v>
      </c>
      <c r="U5" s="38">
        <f t="shared" si="13"/>
        <v>0</v>
      </c>
      <c r="V5" s="38">
        <f t="shared" si="14"/>
        <v>0</v>
      </c>
      <c r="W5" s="38">
        <f t="shared" si="15"/>
        <v>0</v>
      </c>
      <c r="X5" s="38">
        <f>W5*$C$21*(1-$J5)+W5+4.8357</f>
        <v>4.8357</v>
      </c>
      <c r="Y5" s="38">
        <f t="shared" si="16"/>
        <v>4.852332344</v>
      </c>
      <c r="Z5" s="38">
        <f t="shared" ref="Z5:Z7" si="18">Y5*$C$24*(1-$J5)+Y5</f>
        <v>4.857874348</v>
      </c>
      <c r="AA5" s="38">
        <f t="shared" ref="AA5:AA6" si="19">Z5*$C$27*(1-$J5)+Z5</f>
        <v>4.878375193</v>
      </c>
      <c r="AB5" s="38">
        <f t="shared" ref="AB5:AB7" si="20">AA5*$C$29*(1-$J5)+AA5</f>
        <v>4.891478386</v>
      </c>
      <c r="AC5" s="38">
        <f t="shared" ref="AC5:AC8" si="21">AB5*$C$31*(1-$J5)+AB5</f>
        <v>4.895164675</v>
      </c>
      <c r="AD5" s="38">
        <f>AC5*$C$32*(1-$J5)+AC5</f>
        <v>4.912047033</v>
      </c>
      <c r="AE5" s="38">
        <f t="shared" ref="AE5:AE11" si="22">AD5*$C$34*(1-$J5)+AD5</f>
        <v>4.913242999</v>
      </c>
      <c r="AF5" s="38">
        <f t="shared" ref="AF5:AF6" si="23">AE5*$C$36*(1-$J5)+AE5</f>
        <v>4.913482417</v>
      </c>
      <c r="AG5" s="38">
        <f t="shared" ref="AG5:AG7" si="24">AF5*$C$38*(1-$J5)+AF5</f>
        <v>4.916434669</v>
      </c>
      <c r="AH5" s="38">
        <f t="shared" ref="AH5:AH6" si="25">AG5*$C$40*(1-$J5)+AG5</f>
        <v>4.928344012</v>
      </c>
      <c r="AI5" s="38">
        <f t="shared" ref="AI5:AI7" si="26">AH5*$C$42*(1-$J5)+AH5</f>
        <v>4.93052184</v>
      </c>
      <c r="AJ5" s="38">
        <f t="shared" ref="AJ5:AJ12" si="27">AI5*$C$44*(1-$J5)+AI5</f>
        <v>4.932608389</v>
      </c>
      <c r="AK5" s="38"/>
      <c r="AL5" s="38"/>
      <c r="AM5" s="38"/>
      <c r="AN5" s="38"/>
      <c r="AO5" s="38"/>
      <c r="AP5" s="38"/>
      <c r="AQ5" s="38"/>
      <c r="AR5" s="38"/>
    </row>
    <row r="6">
      <c r="A6" s="6">
        <v>45536.0</v>
      </c>
      <c r="B6" s="7">
        <v>5.51</v>
      </c>
      <c r="C6" s="14">
        <f>(B6*$C$5/B5)-100%</f>
        <v>0.001818181818</v>
      </c>
      <c r="D6" s="15">
        <f t="shared" ref="D6:D7" si="28">B6-B5</f>
        <v>0.01</v>
      </c>
      <c r="E6" s="14">
        <f t="shared" ref="E6:E7" si="29">C6*0.8</f>
        <v>0.001454545455</v>
      </c>
      <c r="F6" s="16">
        <f t="shared" ref="F6:F7" si="30">C6*12</f>
        <v>0.02181818182</v>
      </c>
      <c r="G6" s="46"/>
      <c r="H6" s="17"/>
      <c r="I6" s="11" t="s">
        <v>22</v>
      </c>
      <c r="J6" s="12">
        <v>0.0</v>
      </c>
      <c r="K6" s="38">
        <v>0.0</v>
      </c>
      <c r="L6" s="38">
        <v>0.0</v>
      </c>
      <c r="M6" s="38">
        <v>0.0</v>
      </c>
      <c r="N6" s="38">
        <v>6.5193</v>
      </c>
      <c r="O6" s="38">
        <f t="shared" si="8"/>
        <v>6.552284899</v>
      </c>
      <c r="P6" s="38">
        <f t="shared" si="9"/>
        <v>6.561223897</v>
      </c>
      <c r="Q6" s="38">
        <f t="shared" si="10"/>
        <v>6.588373789</v>
      </c>
      <c r="R6" s="38">
        <f t="shared" si="11"/>
        <v>6.600440407</v>
      </c>
      <c r="S6" s="13">
        <f>R6</f>
        <v>6.600440407</v>
      </c>
      <c r="T6" s="38">
        <f t="shared" si="12"/>
        <v>6.634194463</v>
      </c>
      <c r="U6" s="38">
        <f t="shared" si="13"/>
        <v>6.673066696</v>
      </c>
      <c r="V6" s="38">
        <f t="shared" si="14"/>
        <v>6.698981518</v>
      </c>
      <c r="W6" s="38">
        <f>(V6*$C$19*(1-$J6)+V6)-(V6*$C$19*(1-$J6)+V6)</f>
        <v>0</v>
      </c>
      <c r="X6" s="38">
        <f>W6*$C$21*(1-$J6)+W6</f>
        <v>0</v>
      </c>
      <c r="Y6" s="38">
        <f t="shared" si="16"/>
        <v>0</v>
      </c>
      <c r="Z6" s="38">
        <f t="shared" si="18"/>
        <v>0</v>
      </c>
      <c r="AA6" s="38">
        <f t="shared" si="19"/>
        <v>0</v>
      </c>
      <c r="AB6" s="38">
        <f t="shared" si="20"/>
        <v>0</v>
      </c>
      <c r="AC6" s="38">
        <f t="shared" si="21"/>
        <v>0</v>
      </c>
      <c r="AD6" s="38">
        <f>AC6*$C$32*(1-$J6)+AC6+6.69</f>
        <v>6.69</v>
      </c>
      <c r="AE6" s="38">
        <f t="shared" si="22"/>
        <v>6.691809839</v>
      </c>
      <c r="AF6" s="38">
        <f t="shared" si="23"/>
        <v>6.692172157</v>
      </c>
      <c r="AG6" s="38">
        <f t="shared" si="24"/>
        <v>6.696639904</v>
      </c>
      <c r="AH6" s="38">
        <f t="shared" si="25"/>
        <v>6.714663937</v>
      </c>
      <c r="AI6" s="38">
        <f t="shared" si="26"/>
        <v>6.717960826</v>
      </c>
      <c r="AJ6" s="38">
        <f t="shared" si="27"/>
        <v>6.721119688</v>
      </c>
      <c r="AK6" s="38"/>
      <c r="AL6" s="38"/>
      <c r="AM6" s="38"/>
      <c r="AN6" s="38"/>
      <c r="AO6" s="38"/>
      <c r="AP6" s="38"/>
      <c r="AQ6" s="38"/>
      <c r="AR6" s="38"/>
    </row>
    <row r="7">
      <c r="A7" s="6">
        <v>45565.0</v>
      </c>
      <c r="B7" s="7">
        <v>5.54</v>
      </c>
      <c r="C7" s="14">
        <f>(B7/B6)-100%</f>
        <v>0.005444646098</v>
      </c>
      <c r="D7" s="15">
        <f t="shared" si="28"/>
        <v>0.03</v>
      </c>
      <c r="E7" s="14">
        <f t="shared" si="29"/>
        <v>0.004355716878</v>
      </c>
      <c r="F7" s="16">
        <f t="shared" si="30"/>
        <v>0.06533575318</v>
      </c>
      <c r="G7" s="46"/>
      <c r="H7" s="17"/>
      <c r="I7" s="11" t="s">
        <v>13</v>
      </c>
      <c r="J7" s="12">
        <v>0.1</v>
      </c>
      <c r="K7" s="38">
        <v>0.0</v>
      </c>
      <c r="L7" s="38">
        <v>0.0</v>
      </c>
      <c r="M7" s="38">
        <v>0.0</v>
      </c>
      <c r="N7" s="38">
        <v>5.2</v>
      </c>
      <c r="O7" s="38">
        <f t="shared" si="8"/>
        <v>5.22367882</v>
      </c>
      <c r="P7" s="38">
        <f>O7*$C$10*(1-$J7)+O7-0.27</f>
        <v>4.960092614</v>
      </c>
      <c r="Q7" s="38">
        <f t="shared" si="10"/>
        <v>4.978564683</v>
      </c>
      <c r="R7" s="38">
        <f>Q7*$C$13*(1-$J7)+Q7-0.124</f>
        <v>4.862771108</v>
      </c>
      <c r="S7" s="13">
        <f>R7-R7</f>
        <v>0</v>
      </c>
      <c r="T7" s="38">
        <f t="shared" si="12"/>
        <v>0</v>
      </c>
      <c r="U7" s="38">
        <f t="shared" si="13"/>
        <v>0</v>
      </c>
      <c r="V7" s="38">
        <f t="shared" si="14"/>
        <v>0</v>
      </c>
      <c r="W7" s="38">
        <f>V7*$C$19*(1-$J7)+V7</f>
        <v>0</v>
      </c>
      <c r="X7" s="38">
        <f>W7*$C$21*(1-$J7)+W7+5.0335</f>
        <v>5.0335</v>
      </c>
      <c r="Y7" s="38">
        <f t="shared" si="16"/>
        <v>5.050812675</v>
      </c>
      <c r="Z7" s="38">
        <f t="shared" si="18"/>
        <v>5.05658137</v>
      </c>
      <c r="AA7" s="38">
        <f>Z7*$C$27*(1-$J7)+Z7-0.13</f>
        <v>4.947920784</v>
      </c>
      <c r="AB7" s="38">
        <f t="shared" si="20"/>
        <v>4.961210774</v>
      </c>
      <c r="AC7" s="38">
        <f t="shared" si="21"/>
        <v>4.964949615</v>
      </c>
      <c r="AD7" s="38">
        <f>AC7*$C$32*(1-$J7)+AC7</f>
        <v>4.982072646</v>
      </c>
      <c r="AE7" s="38">
        <f t="shared" si="22"/>
        <v>4.983285662</v>
      </c>
      <c r="AF7" s="38">
        <f>AE7*$C$36*(1-$J7)+AE7-0.26</f>
        <v>4.723528493</v>
      </c>
      <c r="AG7" s="38">
        <f t="shared" si="24"/>
        <v>4.726366612</v>
      </c>
      <c r="AH7" s="38">
        <f>AG7*$C$40*(1-$J7)+AG7-0.11</f>
        <v>4.627815542</v>
      </c>
      <c r="AI7" s="38">
        <f t="shared" si="26"/>
        <v>4.629860567</v>
      </c>
      <c r="AJ7" s="38">
        <f t="shared" si="27"/>
        <v>4.63181988</v>
      </c>
      <c r="AK7" s="38"/>
      <c r="AL7" s="38"/>
      <c r="AM7" s="38"/>
      <c r="AN7" s="38"/>
      <c r="AO7" s="38"/>
      <c r="AP7" s="38"/>
      <c r="AQ7" s="38"/>
      <c r="AR7" s="38"/>
    </row>
    <row r="8">
      <c r="A8" s="6">
        <v>45566.0</v>
      </c>
      <c r="B8" s="7">
        <f>B7+4.62+6.5193+5.2</f>
        <v>21.8793</v>
      </c>
      <c r="C8" s="8">
        <v>1.0</v>
      </c>
      <c r="D8" s="9"/>
      <c r="E8" s="9"/>
      <c r="F8" s="9"/>
      <c r="G8" s="46" t="s">
        <v>85</v>
      </c>
      <c r="H8" s="17"/>
      <c r="I8" s="11" t="s">
        <v>56</v>
      </c>
      <c r="J8" s="12">
        <v>0.2</v>
      </c>
      <c r="K8" s="38">
        <v>0.0</v>
      </c>
      <c r="L8" s="38">
        <v>0.0</v>
      </c>
      <c r="M8" s="38">
        <v>0.0</v>
      </c>
      <c r="N8" s="38">
        <v>0.0</v>
      </c>
      <c r="O8" s="38">
        <v>0.0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2.0</v>
      </c>
      <c r="AC8" s="38">
        <f t="shared" si="21"/>
        <v>2.001339759</v>
      </c>
      <c r="AD8" s="38">
        <f>AC8*$C$32*(1-$J8)+AC8+0.9914</f>
        <v>2.998875035</v>
      </c>
      <c r="AE8" s="38">
        <f t="shared" si="22"/>
        <v>2.999524062</v>
      </c>
      <c r="AF8" s="38">
        <f t="shared" ref="AF8:AF12" si="31">AE8*$C$36*(1-$J8)+AE8</f>
        <v>2.999653985</v>
      </c>
      <c r="AG8" s="38">
        <f>AF8*$C$38*(1-$J8)+AF8+0.6</f>
        <v>3.601256059</v>
      </c>
      <c r="AH8" s="38">
        <f t="shared" ref="AH8:AH12" si="32">AG8*$C$40*(1-$J8)+AG8</f>
        <v>3.609010295</v>
      </c>
      <c r="AI8" s="38">
        <f>AH8*$C$42*(1-$J8)+AH8+0.9102</f>
        <v>4.52062791</v>
      </c>
      <c r="AJ8" s="38">
        <f t="shared" si="27"/>
        <v>4.522328431</v>
      </c>
      <c r="AK8" s="38"/>
      <c r="AL8" s="38"/>
      <c r="AM8" s="38"/>
      <c r="AN8" s="38"/>
      <c r="AO8" s="38"/>
      <c r="AP8" s="38"/>
      <c r="AQ8" s="38"/>
      <c r="AR8" s="38"/>
    </row>
    <row r="9">
      <c r="A9" s="6">
        <v>45597.0</v>
      </c>
      <c r="B9" s="7">
        <v>21.99</v>
      </c>
      <c r="C9" s="14">
        <f t="shared" ref="C9:C10" si="33">(B9/B8)-100%</f>
        <v>0.00505957686</v>
      </c>
      <c r="D9" s="15">
        <f t="shared" ref="D9:D10" si="34">B9-B8</f>
        <v>0.1107</v>
      </c>
      <c r="E9" s="14">
        <f t="shared" ref="E9:E10" si="35">C9*0.8</f>
        <v>0.004047661488</v>
      </c>
      <c r="F9" s="16">
        <f t="shared" ref="F9:F10" si="36">C9*12</f>
        <v>0.06071492232</v>
      </c>
      <c r="G9" s="46"/>
      <c r="H9" s="17"/>
      <c r="I9" s="11" t="s">
        <v>20</v>
      </c>
      <c r="J9" s="12">
        <v>0.0</v>
      </c>
      <c r="K9" s="38">
        <v>0.0</v>
      </c>
      <c r="L9" s="38">
        <v>0.0</v>
      </c>
      <c r="M9" s="38">
        <v>0.0</v>
      </c>
      <c r="N9" s="38">
        <v>0.0</v>
      </c>
      <c r="O9" s="38">
        <v>0.0</v>
      </c>
      <c r="P9" s="38">
        <v>0.0</v>
      </c>
      <c r="Q9" s="38">
        <v>0.0</v>
      </c>
      <c r="R9" s="38">
        <v>0.0</v>
      </c>
      <c r="S9" s="38">
        <v>0.0</v>
      </c>
      <c r="T9" s="38">
        <v>0.0</v>
      </c>
      <c r="U9" s="38">
        <v>0.0</v>
      </c>
      <c r="V9" s="38">
        <v>0.0</v>
      </c>
      <c r="W9" s="38">
        <v>0.0</v>
      </c>
      <c r="X9" s="38">
        <v>0.0</v>
      </c>
      <c r="Y9" s="38">
        <v>0.0</v>
      </c>
      <c r="Z9" s="38">
        <v>0.0</v>
      </c>
      <c r="AA9" s="38">
        <v>0.0</v>
      </c>
      <c r="AB9" s="38">
        <v>0.0</v>
      </c>
      <c r="AC9" s="38">
        <v>0.0</v>
      </c>
      <c r="AD9" s="38">
        <f>AC9*$C$32*(1-$J9)+AC9+0.1484</f>
        <v>0.1484</v>
      </c>
      <c r="AE9" s="38">
        <f t="shared" si="22"/>
        <v>0.1484401465</v>
      </c>
      <c r="AF9" s="38">
        <f t="shared" si="31"/>
        <v>0.1484481836</v>
      </c>
      <c r="AG9" s="38">
        <f t="shared" ref="AG9:AG12" si="37">AF9*$C$38*(1-$J9)+AF9</f>
        <v>0.1485472888</v>
      </c>
      <c r="AH9" s="38">
        <f t="shared" si="32"/>
        <v>0.1489471044</v>
      </c>
      <c r="AI9" s="38">
        <f t="shared" ref="AI9:AI12" si="38">AH9*$C$42*(1-$J9)+AH9</f>
        <v>0.1490202372</v>
      </c>
      <c r="AJ9" s="38">
        <f t="shared" si="27"/>
        <v>0.1490903082</v>
      </c>
      <c r="AK9" s="19"/>
      <c r="AL9" s="19"/>
      <c r="AM9" s="19"/>
      <c r="AN9" s="19"/>
      <c r="AO9" s="19"/>
      <c r="AP9" s="19"/>
      <c r="AQ9" s="19"/>
      <c r="AR9" s="19"/>
    </row>
    <row r="10">
      <c r="A10" s="6">
        <v>45605.0</v>
      </c>
      <c r="B10" s="7">
        <f>22.02</f>
        <v>22.02</v>
      </c>
      <c r="C10" s="14">
        <f t="shared" si="33"/>
        <v>0.00136425648</v>
      </c>
      <c r="D10" s="15">
        <f t="shared" si="34"/>
        <v>0.03</v>
      </c>
      <c r="E10" s="14">
        <f t="shared" si="35"/>
        <v>0.001091405184</v>
      </c>
      <c r="F10" s="16">
        <f t="shared" si="36"/>
        <v>0.01637107776</v>
      </c>
      <c r="G10" s="46"/>
      <c r="I10" s="11" t="s">
        <v>21</v>
      </c>
      <c r="J10" s="12">
        <v>0.0</v>
      </c>
      <c r="K10" s="38">
        <v>0.0</v>
      </c>
      <c r="L10" s="38">
        <v>0.0</v>
      </c>
      <c r="M10" s="38">
        <v>0.0</v>
      </c>
      <c r="N10" s="38">
        <v>0.0</v>
      </c>
      <c r="O10" s="38">
        <v>0.0</v>
      </c>
      <c r="P10" s="38">
        <v>0.0</v>
      </c>
      <c r="Q10" s="38">
        <v>0.0</v>
      </c>
      <c r="R10" s="38">
        <v>0.0</v>
      </c>
      <c r="S10" s="38">
        <v>0.0</v>
      </c>
      <c r="T10" s="38">
        <v>0.0</v>
      </c>
      <c r="U10" s="38">
        <v>0.0</v>
      </c>
      <c r="V10" s="38">
        <v>0.0</v>
      </c>
      <c r="W10" s="38">
        <v>0.0</v>
      </c>
      <c r="X10" s="38">
        <v>0.0</v>
      </c>
      <c r="Y10" s="38">
        <v>0.0</v>
      </c>
      <c r="Z10" s="38">
        <v>0.0</v>
      </c>
      <c r="AA10" s="38">
        <v>0.0</v>
      </c>
      <c r="AB10" s="38">
        <v>0.0</v>
      </c>
      <c r="AC10" s="38">
        <v>0.0</v>
      </c>
      <c r="AD10" s="38">
        <f>AC10*$C$32*(1-$J10)+AC10+0.446</f>
        <v>0.446</v>
      </c>
      <c r="AE10" s="38">
        <f t="shared" si="22"/>
        <v>0.446120656</v>
      </c>
      <c r="AF10" s="38">
        <f t="shared" si="31"/>
        <v>0.4461448104</v>
      </c>
      <c r="AG10" s="38">
        <f t="shared" si="37"/>
        <v>0.4464426603</v>
      </c>
      <c r="AH10" s="38">
        <f t="shared" si="32"/>
        <v>0.4476442625</v>
      </c>
      <c r="AI10" s="38">
        <f t="shared" si="38"/>
        <v>0.4478640551</v>
      </c>
      <c r="AJ10" s="38">
        <f t="shared" si="27"/>
        <v>0.4480746459</v>
      </c>
    </row>
    <row r="11">
      <c r="A11" s="6">
        <v>45605.0</v>
      </c>
      <c r="B11" s="7">
        <f>B10-0.27</f>
        <v>21.75</v>
      </c>
      <c r="C11" s="8">
        <v>1.0</v>
      </c>
      <c r="D11" s="9"/>
      <c r="E11" s="9"/>
      <c r="F11" s="9"/>
      <c r="G11" s="46" t="s">
        <v>86</v>
      </c>
      <c r="H11" s="17"/>
      <c r="I11" s="11" t="s">
        <v>24</v>
      </c>
      <c r="J11" s="12">
        <v>0.0</v>
      </c>
      <c r="K11" s="38">
        <v>0.0</v>
      </c>
      <c r="L11" s="38">
        <v>0.0</v>
      </c>
      <c r="M11" s="38">
        <v>0.0</v>
      </c>
      <c r="N11" s="38">
        <v>0.0</v>
      </c>
      <c r="O11" s="38">
        <v>0.0</v>
      </c>
      <c r="P11" s="38">
        <v>0.0</v>
      </c>
      <c r="Q11" s="38">
        <v>0.0</v>
      </c>
      <c r="R11" s="38">
        <v>0.0</v>
      </c>
      <c r="S11" s="38">
        <v>0.0</v>
      </c>
      <c r="T11" s="38">
        <v>0.0</v>
      </c>
      <c r="U11" s="38">
        <v>0.0</v>
      </c>
      <c r="V11" s="38">
        <v>0.0</v>
      </c>
      <c r="W11" s="38">
        <v>0.0</v>
      </c>
      <c r="X11" s="38">
        <v>0.0</v>
      </c>
      <c r="Y11" s="38">
        <v>0.0</v>
      </c>
      <c r="Z11" s="38">
        <v>0.0</v>
      </c>
      <c r="AA11" s="38">
        <v>0.0</v>
      </c>
      <c r="AB11" s="38">
        <v>0.0</v>
      </c>
      <c r="AC11" s="38">
        <v>0.0</v>
      </c>
      <c r="AD11" s="38">
        <f>AC11*$C$32*(1-$J11)+AC11+4.0996</f>
        <v>4.0996</v>
      </c>
      <c r="AE11" s="38">
        <f t="shared" si="22"/>
        <v>4.100709061</v>
      </c>
      <c r="AF11" s="38">
        <f t="shared" si="31"/>
        <v>4.100931087</v>
      </c>
      <c r="AG11" s="38">
        <f t="shared" si="37"/>
        <v>4.103668902</v>
      </c>
      <c r="AH11" s="38">
        <f t="shared" si="32"/>
        <v>4.114713943</v>
      </c>
      <c r="AI11" s="38">
        <f t="shared" si="38"/>
        <v>4.11673426</v>
      </c>
      <c r="AJ11" s="38">
        <f t="shared" si="27"/>
        <v>4.118669996</v>
      </c>
      <c r="AK11" s="21"/>
      <c r="AL11" s="21"/>
      <c r="AM11" s="21"/>
      <c r="AN11" s="21"/>
      <c r="AO11" s="21"/>
      <c r="AP11" s="21"/>
      <c r="AQ11" s="21"/>
      <c r="AR11" s="21"/>
    </row>
    <row r="12">
      <c r="A12" s="6">
        <v>45627.0</v>
      </c>
      <c r="B12" s="7">
        <v>21.84</v>
      </c>
      <c r="C12" s="14">
        <f t="shared" ref="C12:C13" si="39">(B12/B11)-100%</f>
        <v>0.004137931034</v>
      </c>
      <c r="D12" s="15">
        <f t="shared" ref="D12:D13" si="40">B12-B11</f>
        <v>0.09</v>
      </c>
      <c r="E12" s="14">
        <f t="shared" ref="E12:E13" si="41">C12*0.8</f>
        <v>0.003310344828</v>
      </c>
      <c r="F12" s="16">
        <f t="shared" ref="F12:F13" si="42">C12*12</f>
        <v>0.04965517241</v>
      </c>
      <c r="G12" s="46"/>
      <c r="I12" s="11" t="s">
        <v>78</v>
      </c>
      <c r="J12" s="12">
        <v>0.1</v>
      </c>
      <c r="K12" s="38">
        <v>0.0</v>
      </c>
      <c r="L12" s="38">
        <v>0.0</v>
      </c>
      <c r="M12" s="38">
        <v>0.0</v>
      </c>
      <c r="N12" s="38">
        <v>0.0</v>
      </c>
      <c r="O12" s="38">
        <v>0.0</v>
      </c>
      <c r="P12" s="38">
        <v>0.0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38">
        <v>0.0</v>
      </c>
      <c r="AE12" s="38">
        <f>AD12*$C$34*(1-$J12)+AD12+2.115364</f>
        <v>2.115364</v>
      </c>
      <c r="AF12" s="38">
        <f t="shared" si="31"/>
        <v>2.11546708</v>
      </c>
      <c r="AG12" s="38">
        <f t="shared" si="37"/>
        <v>2.116738152</v>
      </c>
      <c r="AH12" s="38">
        <f t="shared" si="32"/>
        <v>2.12186564</v>
      </c>
      <c r="AI12" s="38">
        <f t="shared" si="38"/>
        <v>2.12280329</v>
      </c>
      <c r="AJ12" s="38">
        <f t="shared" si="27"/>
        <v>2.123701639</v>
      </c>
      <c r="AK12" s="21"/>
      <c r="AL12" s="21"/>
      <c r="AM12" s="21"/>
      <c r="AN12" s="21"/>
      <c r="AO12" s="21"/>
      <c r="AP12" s="21"/>
      <c r="AQ12" s="21"/>
      <c r="AR12" s="21"/>
    </row>
    <row r="13">
      <c r="A13" s="29">
        <v>45640.0</v>
      </c>
      <c r="B13" s="7">
        <v>21.88</v>
      </c>
      <c r="C13" s="14">
        <f t="shared" si="39"/>
        <v>0.001831501832</v>
      </c>
      <c r="D13" s="15">
        <f t="shared" si="40"/>
        <v>0.04</v>
      </c>
      <c r="E13" s="14">
        <f t="shared" si="41"/>
        <v>0.001465201465</v>
      </c>
      <c r="F13" s="16">
        <f t="shared" si="42"/>
        <v>0.02197802198</v>
      </c>
      <c r="G13" s="46"/>
      <c r="I13" s="11" t="s">
        <v>14</v>
      </c>
      <c r="J13" s="18"/>
      <c r="K13" s="19">
        <f t="shared" ref="K13:AJ13" si="43">SUM(K2:K12)</f>
        <v>3.49</v>
      </c>
      <c r="L13" s="19">
        <f t="shared" si="43"/>
        <v>5.5</v>
      </c>
      <c r="M13" s="19">
        <f t="shared" si="43"/>
        <v>5.51</v>
      </c>
      <c r="N13" s="19">
        <f t="shared" si="43"/>
        <v>21.8793</v>
      </c>
      <c r="O13" s="19">
        <f t="shared" si="43"/>
        <v>21.99</v>
      </c>
      <c r="P13" s="19">
        <f t="shared" si="43"/>
        <v>21.75</v>
      </c>
      <c r="Q13" s="19">
        <f t="shared" si="43"/>
        <v>21.84</v>
      </c>
      <c r="R13" s="19">
        <f t="shared" si="43"/>
        <v>21.756</v>
      </c>
      <c r="S13" s="19">
        <f t="shared" si="43"/>
        <v>10.1878629</v>
      </c>
      <c r="T13" s="19">
        <f t="shared" si="43"/>
        <v>10.23996271</v>
      </c>
      <c r="U13" s="19">
        <f t="shared" si="43"/>
        <v>10.29996249</v>
      </c>
      <c r="V13" s="19">
        <f t="shared" si="43"/>
        <v>10.33996234</v>
      </c>
      <c r="W13" s="19">
        <f t="shared" si="43"/>
        <v>3.655065857</v>
      </c>
      <c r="X13" s="19">
        <f t="shared" si="43"/>
        <v>15.69996562</v>
      </c>
      <c r="Y13" s="19">
        <f t="shared" si="43"/>
        <v>15.75996549</v>
      </c>
      <c r="Z13" s="19">
        <f t="shared" si="43"/>
        <v>13.66986688</v>
      </c>
      <c r="AA13" s="19">
        <f t="shared" si="43"/>
        <v>13.60396529</v>
      </c>
      <c r="AB13" s="19">
        <f t="shared" si="43"/>
        <v>15.64456518</v>
      </c>
      <c r="AC13" s="19">
        <f t="shared" si="43"/>
        <v>15.65766515</v>
      </c>
      <c r="AD13" s="19">
        <f t="shared" si="43"/>
        <v>28.09306502</v>
      </c>
      <c r="AE13" s="19">
        <f t="shared" si="43"/>
        <v>30.21602901</v>
      </c>
      <c r="AF13" s="19">
        <f t="shared" si="43"/>
        <v>29.95766501</v>
      </c>
      <c r="AG13" s="19">
        <f t="shared" si="43"/>
        <v>30.57766499</v>
      </c>
      <c r="AH13" s="19">
        <f t="shared" si="43"/>
        <v>30.54996489</v>
      </c>
      <c r="AI13" s="19">
        <f t="shared" si="43"/>
        <v>31.47516487</v>
      </c>
      <c r="AJ13" s="19">
        <f t="shared" si="43"/>
        <v>31.48996486</v>
      </c>
      <c r="AK13" s="21"/>
      <c r="AL13" s="21"/>
      <c r="AM13" s="21"/>
      <c r="AN13" s="21"/>
      <c r="AO13" s="21"/>
      <c r="AP13" s="21"/>
      <c r="AQ13" s="21"/>
      <c r="AR13" s="21"/>
    </row>
    <row r="14">
      <c r="A14" s="29">
        <v>45640.0</v>
      </c>
      <c r="B14" s="7">
        <f>21.88-0.124</f>
        <v>21.756</v>
      </c>
      <c r="C14" s="8">
        <v>1.0</v>
      </c>
      <c r="D14" s="9"/>
      <c r="E14" s="9"/>
      <c r="F14" s="9"/>
      <c r="G14" s="46" t="s">
        <v>87</v>
      </c>
      <c r="L14" s="32"/>
      <c r="M14" s="14"/>
      <c r="AK14" s="21"/>
      <c r="AL14" s="21"/>
      <c r="AM14" s="21"/>
      <c r="AN14" s="21"/>
      <c r="AO14" s="21"/>
      <c r="AP14" s="21"/>
      <c r="AQ14" s="21"/>
      <c r="AR14" s="21"/>
    </row>
    <row r="15">
      <c r="A15" s="29">
        <v>45640.0</v>
      </c>
      <c r="B15" s="7">
        <f>21.88-0.124-11.5681</f>
        <v>10.1879</v>
      </c>
      <c r="C15" s="8">
        <v>1.0</v>
      </c>
      <c r="D15" s="9"/>
      <c r="E15" s="9"/>
      <c r="F15" s="9"/>
      <c r="G15" s="46" t="s">
        <v>88</v>
      </c>
      <c r="I15" s="11" t="s">
        <v>10</v>
      </c>
      <c r="J15" s="12">
        <v>0.0</v>
      </c>
      <c r="K15" s="21">
        <f t="shared" ref="K15:AJ15" si="44">IFERROR(K2/K$13,"")</f>
        <v>0.001260744986</v>
      </c>
      <c r="L15" s="21">
        <f t="shared" si="44"/>
        <v>0.001165470175</v>
      </c>
      <c r="M15" s="21">
        <f t="shared" si="44"/>
        <v>0.001495025688</v>
      </c>
      <c r="N15" s="21">
        <f t="shared" si="44"/>
        <v>0.0006274499687</v>
      </c>
      <c r="O15" s="21">
        <f t="shared" si="44"/>
        <v>0.001084545881</v>
      </c>
      <c r="P15" s="21">
        <f t="shared" si="44"/>
        <v>0.001223160187</v>
      </c>
      <c r="Q15" s="21">
        <f t="shared" si="44"/>
        <v>0.001596518209</v>
      </c>
      <c r="R15" s="21">
        <f t="shared" si="44"/>
        <v>0.001772096732</v>
      </c>
      <c r="S15" s="21">
        <f t="shared" si="44"/>
        <v>0.00378428105</v>
      </c>
      <c r="T15" s="21">
        <f t="shared" si="44"/>
        <v>0.00413874707</v>
      </c>
      <c r="U15" s="21">
        <f t="shared" si="44"/>
        <v>0.004544170379</v>
      </c>
      <c r="V15" s="21">
        <f t="shared" si="44"/>
        <v>0.004813093332</v>
      </c>
      <c r="W15" s="21">
        <f t="shared" si="44"/>
        <v>0.01442880395</v>
      </c>
      <c r="X15" s="21">
        <f t="shared" si="44"/>
        <v>0.00686661384</v>
      </c>
      <c r="Y15" s="21">
        <f t="shared" si="44"/>
        <v>0.007358013443</v>
      </c>
      <c r="Z15" s="21">
        <f t="shared" si="44"/>
        <v>0.008682547439</v>
      </c>
      <c r="AA15" s="21">
        <f t="shared" si="44"/>
        <v>0.009357952591</v>
      </c>
      <c r="AB15" s="21">
        <f t="shared" si="44"/>
        <v>0.008488354238</v>
      </c>
      <c r="AC15" s="21">
        <f t="shared" si="44"/>
        <v>0.008601572917</v>
      </c>
      <c r="AD15" s="21">
        <f t="shared" si="44"/>
        <v>0.005101437661</v>
      </c>
      <c r="AE15" s="21">
        <f t="shared" si="44"/>
        <v>0.00476510098</v>
      </c>
      <c r="AF15" s="21">
        <f t="shared" si="44"/>
        <v>0.004811039917</v>
      </c>
      <c r="AG15" s="21">
        <f t="shared" si="44"/>
        <v>0.004771436468</v>
      </c>
      <c r="AH15" s="21">
        <f t="shared" si="44"/>
        <v>0.005020442268</v>
      </c>
      <c r="AI15" s="21">
        <f t="shared" si="44"/>
        <v>0.004916230363</v>
      </c>
      <c r="AJ15" s="21">
        <f t="shared" si="44"/>
        <v>0.004958181377</v>
      </c>
      <c r="AK15" s="21"/>
      <c r="AL15" s="21"/>
      <c r="AM15" s="21"/>
      <c r="AN15" s="21"/>
      <c r="AO15" s="21"/>
      <c r="AP15" s="21"/>
      <c r="AQ15" s="21"/>
      <c r="AR15" s="21"/>
    </row>
    <row r="16">
      <c r="A16" s="6">
        <v>45658.0</v>
      </c>
      <c r="B16" s="7">
        <v>10.24</v>
      </c>
      <c r="C16" s="14">
        <f t="shared" ref="C16:C19" si="46">(B16/B15)-100%</f>
        <v>0.005113909638</v>
      </c>
      <c r="D16" s="15">
        <f t="shared" ref="D16:D19" si="47">B16-B15</f>
        <v>0.0521</v>
      </c>
      <c r="E16" s="14">
        <f t="shared" ref="E16:E19" si="48">C16*0.8</f>
        <v>0.00409112771</v>
      </c>
      <c r="F16" s="16">
        <f t="shared" ref="F16:F19" si="49">C16*12</f>
        <v>0.06136691565</v>
      </c>
      <c r="G16" s="46"/>
      <c r="I16" s="11" t="s">
        <v>35</v>
      </c>
      <c r="J16" s="12">
        <v>0.2</v>
      </c>
      <c r="K16" s="21">
        <f t="shared" ref="K16:AJ16" si="45">IFERROR(K3/K$13,"")</f>
        <v>0.998739255</v>
      </c>
      <c r="L16" s="21">
        <f t="shared" si="45"/>
        <v>0.6351981662</v>
      </c>
      <c r="M16" s="21">
        <f t="shared" si="45"/>
        <v>0.6349676042</v>
      </c>
      <c r="N16" s="21">
        <f t="shared" si="45"/>
        <v>0.1606043485</v>
      </c>
      <c r="O16" s="21">
        <f t="shared" si="45"/>
        <v>0.1604426486</v>
      </c>
      <c r="P16" s="21">
        <f t="shared" si="45"/>
        <v>0.1623900904</v>
      </c>
      <c r="Q16" s="21">
        <f t="shared" si="45"/>
        <v>0.1622562524</v>
      </c>
      <c r="R16" s="21">
        <f t="shared" si="45"/>
        <v>0.1631213805</v>
      </c>
      <c r="S16" s="21">
        <f t="shared" si="45"/>
        <v>0.3483428064</v>
      </c>
      <c r="T16" s="21">
        <f t="shared" si="45"/>
        <v>0.3479883404</v>
      </c>
      <c r="U16" s="21">
        <f t="shared" si="45"/>
        <v>0.3475829171</v>
      </c>
      <c r="V16" s="21">
        <f t="shared" si="45"/>
        <v>0.3473139942</v>
      </c>
      <c r="W16" s="21">
        <f t="shared" si="45"/>
        <v>0.985571196</v>
      </c>
      <c r="X16" s="21">
        <f t="shared" si="45"/>
        <v>0.2306985958</v>
      </c>
      <c r="Y16" s="21">
        <f t="shared" si="45"/>
        <v>0.2305229369</v>
      </c>
      <c r="Z16" s="21">
        <f t="shared" si="45"/>
        <v>0.2660393055</v>
      </c>
      <c r="AA16" s="21">
        <f t="shared" si="45"/>
        <v>0.2683308852</v>
      </c>
      <c r="AB16" s="21">
        <f t="shared" si="45"/>
        <v>0.2338882142</v>
      </c>
      <c r="AC16" s="21">
        <f t="shared" si="45"/>
        <v>0.2338490777</v>
      </c>
      <c r="AD16" s="21">
        <f t="shared" si="45"/>
        <v>0.1307353001</v>
      </c>
      <c r="AE16" s="21">
        <f t="shared" si="45"/>
        <v>0.1215762056</v>
      </c>
      <c r="AF16" s="21">
        <f t="shared" si="45"/>
        <v>0.1226300272</v>
      </c>
      <c r="AG16" s="21">
        <f t="shared" si="45"/>
        <v>0.1202077188</v>
      </c>
      <c r="AH16" s="21">
        <f t="shared" si="45"/>
        <v>0.1205757792</v>
      </c>
      <c r="AI16" s="21">
        <f t="shared" si="45"/>
        <v>0.1170774718</v>
      </c>
      <c r="AJ16" s="21">
        <f t="shared" si="45"/>
        <v>0.1170664667</v>
      </c>
      <c r="AK16" s="21"/>
      <c r="AL16" s="21"/>
      <c r="AM16" s="21"/>
      <c r="AN16" s="21"/>
      <c r="AO16" s="21"/>
      <c r="AP16" s="21"/>
      <c r="AQ16" s="21"/>
      <c r="AR16" s="21"/>
    </row>
    <row r="17">
      <c r="A17" s="6">
        <v>45689.0</v>
      </c>
      <c r="B17" s="7">
        <v>10.3</v>
      </c>
      <c r="C17" s="14">
        <f t="shared" si="46"/>
        <v>0.005859375</v>
      </c>
      <c r="D17" s="15">
        <f t="shared" si="47"/>
        <v>0.06</v>
      </c>
      <c r="E17" s="14">
        <f t="shared" si="48"/>
        <v>0.0046875</v>
      </c>
      <c r="F17" s="16">
        <f t="shared" si="49"/>
        <v>0.0703125</v>
      </c>
      <c r="I17" s="11" t="s">
        <v>16</v>
      </c>
      <c r="J17" s="12">
        <v>0.15</v>
      </c>
      <c r="K17" s="21">
        <f t="shared" ref="K17:AJ17" si="50">IFERROR(K4/K$13,"")</f>
        <v>0</v>
      </c>
      <c r="L17" s="21">
        <f t="shared" si="50"/>
        <v>0.3636363636</v>
      </c>
      <c r="M17" s="21">
        <f t="shared" si="50"/>
        <v>0.3635373701</v>
      </c>
      <c r="N17" s="21">
        <f t="shared" si="50"/>
        <v>0.09197557107</v>
      </c>
      <c r="O17" s="21">
        <f t="shared" si="50"/>
        <v>0.09190611884</v>
      </c>
      <c r="P17" s="21">
        <f t="shared" si="50"/>
        <v>0.09302800733</v>
      </c>
      <c r="Q17" s="21">
        <f t="shared" si="50"/>
        <v>0.09297050375</v>
      </c>
      <c r="R17" s="21">
        <f t="shared" si="50"/>
        <v>0.09347475635</v>
      </c>
      <c r="S17" s="21">
        <f t="shared" si="50"/>
        <v>0</v>
      </c>
      <c r="T17" s="21">
        <f t="shared" si="50"/>
        <v>0</v>
      </c>
      <c r="U17" s="21">
        <f t="shared" si="50"/>
        <v>0</v>
      </c>
      <c r="V17" s="21">
        <f t="shared" si="50"/>
        <v>0</v>
      </c>
      <c r="W17" s="21">
        <f t="shared" si="50"/>
        <v>0</v>
      </c>
      <c r="X17" s="21">
        <f t="shared" si="50"/>
        <v>0.1338219491</v>
      </c>
      <c r="Y17" s="21">
        <f t="shared" si="50"/>
        <v>0.1337455279</v>
      </c>
      <c r="Z17" s="21">
        <f t="shared" si="50"/>
        <v>0</v>
      </c>
      <c r="AA17" s="21">
        <f t="shared" si="50"/>
        <v>0</v>
      </c>
      <c r="AB17" s="21">
        <f t="shared" si="50"/>
        <v>0</v>
      </c>
      <c r="AC17" s="21">
        <f t="shared" si="50"/>
        <v>0</v>
      </c>
      <c r="AD17" s="21">
        <f t="shared" si="50"/>
        <v>0</v>
      </c>
      <c r="AE17" s="21">
        <f t="shared" si="50"/>
        <v>0</v>
      </c>
      <c r="AF17" s="21">
        <f t="shared" si="50"/>
        <v>0</v>
      </c>
      <c r="AG17" s="21">
        <f t="shared" si="50"/>
        <v>0</v>
      </c>
      <c r="AH17" s="21">
        <f t="shared" si="50"/>
        <v>0</v>
      </c>
      <c r="AI17" s="21">
        <f t="shared" si="50"/>
        <v>0</v>
      </c>
      <c r="AJ17" s="21">
        <f t="shared" si="50"/>
        <v>0</v>
      </c>
      <c r="AK17" s="21"/>
      <c r="AL17" s="21"/>
      <c r="AM17" s="21"/>
      <c r="AN17" s="21"/>
      <c r="AO17" s="21"/>
      <c r="AP17" s="21"/>
      <c r="AQ17" s="21"/>
      <c r="AR17" s="21"/>
    </row>
    <row r="18">
      <c r="A18" s="6">
        <v>45717.0</v>
      </c>
      <c r="B18" s="7">
        <v>10.34</v>
      </c>
      <c r="C18" s="14">
        <f t="shared" si="46"/>
        <v>0.003883495146</v>
      </c>
      <c r="D18" s="15">
        <f t="shared" si="47"/>
        <v>0.04</v>
      </c>
      <c r="E18" s="14">
        <f t="shared" si="48"/>
        <v>0.003106796117</v>
      </c>
      <c r="F18" s="16">
        <f t="shared" si="49"/>
        <v>0.04660194175</v>
      </c>
      <c r="I18" s="11" t="s">
        <v>19</v>
      </c>
      <c r="J18" s="12">
        <v>0.1</v>
      </c>
      <c r="K18" s="21">
        <f t="shared" ref="K18:AJ18" si="51">IFERROR(K5/K$13,"")</f>
        <v>0</v>
      </c>
      <c r="L18" s="21">
        <f t="shared" si="51"/>
        <v>0</v>
      </c>
      <c r="M18" s="21">
        <f t="shared" si="51"/>
        <v>0</v>
      </c>
      <c r="N18" s="21">
        <f t="shared" si="51"/>
        <v>0.2111584923</v>
      </c>
      <c r="O18" s="21">
        <f t="shared" si="51"/>
        <v>0.2110521928</v>
      </c>
      <c r="P18" s="21">
        <f t="shared" si="51"/>
        <v>0.2136430405</v>
      </c>
      <c r="Q18" s="21">
        <f t="shared" si="51"/>
        <v>0.2135550007</v>
      </c>
      <c r="R18" s="21">
        <f t="shared" si="51"/>
        <v>0.2147329103</v>
      </c>
      <c r="S18" s="21">
        <f t="shared" si="51"/>
        <v>0</v>
      </c>
      <c r="T18" s="21">
        <f t="shared" si="51"/>
        <v>0</v>
      </c>
      <c r="U18" s="21">
        <f t="shared" si="51"/>
        <v>0</v>
      </c>
      <c r="V18" s="21">
        <f t="shared" si="51"/>
        <v>0</v>
      </c>
      <c r="W18" s="21">
        <f t="shared" si="51"/>
        <v>0</v>
      </c>
      <c r="X18" s="21">
        <f t="shared" si="51"/>
        <v>0.3080070438</v>
      </c>
      <c r="Y18" s="21">
        <f t="shared" si="51"/>
        <v>0.3078897823</v>
      </c>
      <c r="Z18" s="21">
        <f t="shared" si="51"/>
        <v>0.3553710063</v>
      </c>
      <c r="AA18" s="21">
        <f t="shared" si="51"/>
        <v>0.3585995032</v>
      </c>
      <c r="AB18" s="21">
        <f t="shared" si="51"/>
        <v>0.3126631088</v>
      </c>
      <c r="AC18" s="21">
        <f t="shared" si="51"/>
        <v>0.3126369498</v>
      </c>
      <c r="AD18" s="21">
        <f t="shared" si="51"/>
        <v>0.1748490964</v>
      </c>
      <c r="AE18" s="21">
        <f t="shared" si="51"/>
        <v>0.1626038616</v>
      </c>
      <c r="AF18" s="21">
        <f t="shared" si="51"/>
        <v>0.1640141986</v>
      </c>
      <c r="AG18" s="21">
        <f t="shared" si="51"/>
        <v>0.1607851571</v>
      </c>
      <c r="AH18" s="21">
        <f t="shared" si="51"/>
        <v>0.161320775</v>
      </c>
      <c r="AI18" s="21">
        <f t="shared" si="51"/>
        <v>0.1566480068</v>
      </c>
      <c r="AJ18" s="21">
        <f t="shared" si="51"/>
        <v>0.1566406445</v>
      </c>
      <c r="AK18" s="28"/>
      <c r="AL18" s="28"/>
      <c r="AM18" s="28"/>
      <c r="AN18" s="28"/>
      <c r="AO18" s="28"/>
      <c r="AP18" s="28"/>
      <c r="AQ18" s="28"/>
      <c r="AR18" s="28"/>
    </row>
    <row r="19">
      <c r="A19" s="6">
        <v>45747.0</v>
      </c>
      <c r="B19" s="7">
        <v>10.38</v>
      </c>
      <c r="C19" s="14">
        <f t="shared" si="46"/>
        <v>0.003868471954</v>
      </c>
      <c r="D19" s="15">
        <f t="shared" si="47"/>
        <v>0.04</v>
      </c>
      <c r="E19" s="14">
        <f t="shared" si="48"/>
        <v>0.003094777563</v>
      </c>
      <c r="F19" s="16">
        <f t="shared" si="49"/>
        <v>0.04642166344</v>
      </c>
      <c r="I19" s="11" t="s">
        <v>22</v>
      </c>
      <c r="J19" s="12">
        <v>0.0</v>
      </c>
      <c r="K19" s="21">
        <f t="shared" ref="K19:AJ19" si="52">IFERROR(K6/K$13,"")</f>
        <v>0</v>
      </c>
      <c r="L19" s="21">
        <f t="shared" si="52"/>
        <v>0</v>
      </c>
      <c r="M19" s="21">
        <f t="shared" si="52"/>
        <v>0</v>
      </c>
      <c r="N19" s="21">
        <f t="shared" si="52"/>
        <v>0.2979665711</v>
      </c>
      <c r="O19" s="21">
        <f t="shared" si="52"/>
        <v>0.2979665711</v>
      </c>
      <c r="P19" s="21">
        <f t="shared" si="52"/>
        <v>0.3016654665</v>
      </c>
      <c r="Q19" s="21">
        <f t="shared" si="52"/>
        <v>0.3016654665</v>
      </c>
      <c r="R19" s="21">
        <f t="shared" si="52"/>
        <v>0.3033848321</v>
      </c>
      <c r="S19" s="21">
        <f t="shared" si="52"/>
        <v>0.6478729125</v>
      </c>
      <c r="T19" s="21">
        <f t="shared" si="52"/>
        <v>0.6478729125</v>
      </c>
      <c r="U19" s="21">
        <f t="shared" si="52"/>
        <v>0.6478729125</v>
      </c>
      <c r="V19" s="21">
        <f t="shared" si="52"/>
        <v>0.6478729125</v>
      </c>
      <c r="W19" s="21">
        <f t="shared" si="52"/>
        <v>0</v>
      </c>
      <c r="X19" s="21">
        <f t="shared" si="52"/>
        <v>0</v>
      </c>
      <c r="Y19" s="21">
        <f t="shared" si="52"/>
        <v>0</v>
      </c>
      <c r="Z19" s="21">
        <f t="shared" si="52"/>
        <v>0</v>
      </c>
      <c r="AA19" s="21">
        <f t="shared" si="52"/>
        <v>0</v>
      </c>
      <c r="AB19" s="21">
        <f t="shared" si="52"/>
        <v>0</v>
      </c>
      <c r="AC19" s="21">
        <f t="shared" si="52"/>
        <v>0</v>
      </c>
      <c r="AD19" s="21">
        <f t="shared" si="52"/>
        <v>0.2381370632</v>
      </c>
      <c r="AE19" s="21">
        <f t="shared" si="52"/>
        <v>0.2214655618</v>
      </c>
      <c r="AF19" s="21">
        <f t="shared" si="52"/>
        <v>0.2233876423</v>
      </c>
      <c r="AG19" s="21">
        <f t="shared" si="52"/>
        <v>0.2190042931</v>
      </c>
      <c r="AH19" s="21">
        <f t="shared" si="52"/>
        <v>0.2197928528</v>
      </c>
      <c r="AI19" s="21">
        <f t="shared" si="52"/>
        <v>0.2134368748</v>
      </c>
      <c r="AJ19" s="21">
        <f t="shared" si="52"/>
        <v>0.2134368748</v>
      </c>
    </row>
    <row r="20">
      <c r="A20" s="6">
        <v>45747.0</v>
      </c>
      <c r="B20" s="7">
        <f>B19-6.7249</f>
        <v>3.6551</v>
      </c>
      <c r="C20" s="8">
        <v>1.0</v>
      </c>
      <c r="D20" s="9"/>
      <c r="E20" s="9"/>
      <c r="F20" s="9"/>
      <c r="G20" s="46" t="s">
        <v>89</v>
      </c>
      <c r="I20" s="11" t="s">
        <v>13</v>
      </c>
      <c r="J20" s="12">
        <v>0.1</v>
      </c>
      <c r="K20" s="21">
        <f t="shared" ref="K20:AJ20" si="53">IFERROR(K7/K$13,"")</f>
        <v>0</v>
      </c>
      <c r="L20" s="21">
        <f t="shared" si="53"/>
        <v>0</v>
      </c>
      <c r="M20" s="21">
        <f t="shared" si="53"/>
        <v>0</v>
      </c>
      <c r="N20" s="21">
        <f t="shared" si="53"/>
        <v>0.2376675671</v>
      </c>
      <c r="O20" s="21">
        <f t="shared" si="53"/>
        <v>0.2375479227</v>
      </c>
      <c r="P20" s="21">
        <f t="shared" si="53"/>
        <v>0.2280502351</v>
      </c>
      <c r="Q20" s="21">
        <f t="shared" si="53"/>
        <v>0.2279562584</v>
      </c>
      <c r="R20" s="21">
        <f t="shared" si="53"/>
        <v>0.2235140241</v>
      </c>
      <c r="S20" s="21">
        <f t="shared" si="53"/>
        <v>0</v>
      </c>
      <c r="T20" s="21">
        <f t="shared" si="53"/>
        <v>0</v>
      </c>
      <c r="U20" s="21">
        <f t="shared" si="53"/>
        <v>0</v>
      </c>
      <c r="V20" s="21">
        <f t="shared" si="53"/>
        <v>0</v>
      </c>
      <c r="W20" s="21">
        <f t="shared" si="53"/>
        <v>0</v>
      </c>
      <c r="X20" s="21">
        <f t="shared" si="53"/>
        <v>0.3206057975</v>
      </c>
      <c r="Y20" s="21">
        <f t="shared" si="53"/>
        <v>0.3204837395</v>
      </c>
      <c r="Z20" s="21">
        <f t="shared" si="53"/>
        <v>0.3699071407</v>
      </c>
      <c r="AA20" s="21">
        <f t="shared" si="53"/>
        <v>0.363711659</v>
      </c>
      <c r="AB20" s="21">
        <f t="shared" si="53"/>
        <v>0.3171204003</v>
      </c>
      <c r="AC20" s="21">
        <f t="shared" si="53"/>
        <v>0.3170938685</v>
      </c>
      <c r="AD20" s="21">
        <f t="shared" si="53"/>
        <v>0.1773417262</v>
      </c>
      <c r="AE20" s="21">
        <f t="shared" si="53"/>
        <v>0.1649219247</v>
      </c>
      <c r="AF20" s="21">
        <f t="shared" si="53"/>
        <v>0.1576734532</v>
      </c>
      <c r="AG20" s="21">
        <f t="shared" si="53"/>
        <v>0.1545692457</v>
      </c>
      <c r="AH20" s="21">
        <f t="shared" si="53"/>
        <v>0.1514834979</v>
      </c>
      <c r="AI20" s="21">
        <f t="shared" si="53"/>
        <v>0.1470956732</v>
      </c>
      <c r="AJ20" s="21">
        <f t="shared" si="53"/>
        <v>0.1470887599</v>
      </c>
      <c r="AK20" s="18"/>
      <c r="AL20" s="18"/>
      <c r="AM20" s="18"/>
      <c r="AN20" s="18"/>
      <c r="AO20" s="18"/>
      <c r="AP20" s="18"/>
      <c r="AQ20" s="18"/>
      <c r="AR20" s="18"/>
    </row>
    <row r="21">
      <c r="A21" s="6">
        <v>45763.0</v>
      </c>
      <c r="B21" s="7">
        <v>3.68</v>
      </c>
      <c r="C21" s="14">
        <f>(B21/B20)-100%</f>
        <v>0.006812399114</v>
      </c>
      <c r="D21" s="15">
        <f>B21-B20</f>
        <v>0.0249</v>
      </c>
      <c r="E21" s="14">
        <f>C21*0.8</f>
        <v>0.005449919291</v>
      </c>
      <c r="F21" s="16">
        <f>C21*12</f>
        <v>0.08174878936</v>
      </c>
      <c r="I21" s="11" t="s">
        <v>56</v>
      </c>
      <c r="J21" s="12">
        <v>0.2</v>
      </c>
      <c r="K21" s="21">
        <f t="shared" ref="K21:AJ21" si="54">IFERROR(K8/K$13,"")</f>
        <v>0</v>
      </c>
      <c r="L21" s="21">
        <f t="shared" si="54"/>
        <v>0</v>
      </c>
      <c r="M21" s="21">
        <f t="shared" si="54"/>
        <v>0</v>
      </c>
      <c r="N21" s="21">
        <f t="shared" si="54"/>
        <v>0</v>
      </c>
      <c r="O21" s="21">
        <f t="shared" si="54"/>
        <v>0</v>
      </c>
      <c r="P21" s="21">
        <f t="shared" si="54"/>
        <v>0</v>
      </c>
      <c r="Q21" s="21">
        <f t="shared" si="54"/>
        <v>0</v>
      </c>
      <c r="R21" s="21">
        <f t="shared" si="54"/>
        <v>0</v>
      </c>
      <c r="S21" s="21">
        <f t="shared" si="54"/>
        <v>0</v>
      </c>
      <c r="T21" s="21">
        <f t="shared" si="54"/>
        <v>0</v>
      </c>
      <c r="U21" s="21">
        <f t="shared" si="54"/>
        <v>0</v>
      </c>
      <c r="V21" s="21">
        <f t="shared" si="54"/>
        <v>0</v>
      </c>
      <c r="W21" s="21">
        <f t="shared" si="54"/>
        <v>0</v>
      </c>
      <c r="X21" s="21">
        <f t="shared" si="54"/>
        <v>0</v>
      </c>
      <c r="Y21" s="21">
        <f t="shared" si="54"/>
        <v>0</v>
      </c>
      <c r="Z21" s="21">
        <f t="shared" si="54"/>
        <v>0</v>
      </c>
      <c r="AA21" s="21">
        <f t="shared" si="54"/>
        <v>0</v>
      </c>
      <c r="AB21" s="21">
        <f t="shared" si="54"/>
        <v>0.1278399225</v>
      </c>
      <c r="AC21" s="21">
        <f t="shared" si="54"/>
        <v>0.127818531</v>
      </c>
      <c r="AD21" s="21">
        <f t="shared" si="54"/>
        <v>0.1067478765</v>
      </c>
      <c r="AE21" s="21">
        <f t="shared" si="54"/>
        <v>0.09926930042</v>
      </c>
      <c r="AF21" s="21">
        <f t="shared" si="54"/>
        <v>0.1001297659</v>
      </c>
      <c r="AG21" s="21">
        <f t="shared" si="54"/>
        <v>0.1177740701</v>
      </c>
      <c r="AH21" s="21">
        <f t="shared" si="54"/>
        <v>0.118134679</v>
      </c>
      <c r="AI21" s="21">
        <f t="shared" si="54"/>
        <v>0.1436252337</v>
      </c>
      <c r="AJ21" s="21">
        <f t="shared" si="54"/>
        <v>0.1436117332</v>
      </c>
    </row>
    <row r="22">
      <c r="A22" s="6">
        <v>45763.0</v>
      </c>
      <c r="B22" s="7">
        <f>B21+12.02</f>
        <v>15.7</v>
      </c>
      <c r="C22" s="8">
        <v>1.0</v>
      </c>
      <c r="D22" s="9"/>
      <c r="E22" s="9"/>
      <c r="F22" s="9"/>
      <c r="G22" s="46" t="s">
        <v>90</v>
      </c>
      <c r="I22" s="11" t="s">
        <v>20</v>
      </c>
      <c r="J22" s="12">
        <v>0.0</v>
      </c>
      <c r="K22" s="21">
        <f t="shared" ref="K22:AJ22" si="55">IFERROR(K9/K$13,"")</f>
        <v>0</v>
      </c>
      <c r="L22" s="21">
        <f t="shared" si="55"/>
        <v>0</v>
      </c>
      <c r="M22" s="21">
        <f t="shared" si="55"/>
        <v>0</v>
      </c>
      <c r="N22" s="21">
        <f t="shared" si="55"/>
        <v>0</v>
      </c>
      <c r="O22" s="21">
        <f t="shared" si="55"/>
        <v>0</v>
      </c>
      <c r="P22" s="21">
        <f t="shared" si="55"/>
        <v>0</v>
      </c>
      <c r="Q22" s="21">
        <f t="shared" si="55"/>
        <v>0</v>
      </c>
      <c r="R22" s="21">
        <f t="shared" si="55"/>
        <v>0</v>
      </c>
      <c r="S22" s="21">
        <f t="shared" si="55"/>
        <v>0</v>
      </c>
      <c r="T22" s="21">
        <f t="shared" si="55"/>
        <v>0</v>
      </c>
      <c r="U22" s="21">
        <f t="shared" si="55"/>
        <v>0</v>
      </c>
      <c r="V22" s="21">
        <f t="shared" si="55"/>
        <v>0</v>
      </c>
      <c r="W22" s="21">
        <f t="shared" si="55"/>
        <v>0</v>
      </c>
      <c r="X22" s="21">
        <f t="shared" si="55"/>
        <v>0</v>
      </c>
      <c r="Y22" s="21">
        <f t="shared" si="55"/>
        <v>0</v>
      </c>
      <c r="Z22" s="21">
        <f t="shared" si="55"/>
        <v>0</v>
      </c>
      <c r="AA22" s="21">
        <f t="shared" si="55"/>
        <v>0</v>
      </c>
      <c r="AB22" s="21">
        <f t="shared" si="55"/>
        <v>0</v>
      </c>
      <c r="AC22" s="21">
        <f t="shared" si="55"/>
        <v>0</v>
      </c>
      <c r="AD22" s="21">
        <f t="shared" si="55"/>
        <v>0.005282442478</v>
      </c>
      <c r="AE22" s="21">
        <f t="shared" si="55"/>
        <v>0.004912629203</v>
      </c>
      <c r="AF22" s="21">
        <f t="shared" si="55"/>
        <v>0.004955265489</v>
      </c>
      <c r="AG22" s="21">
        <f t="shared" si="55"/>
        <v>0.00485803245</v>
      </c>
      <c r="AH22" s="21">
        <f t="shared" si="55"/>
        <v>0.004875524568</v>
      </c>
      <c r="AI22" s="21">
        <f t="shared" si="55"/>
        <v>0.004734533965</v>
      </c>
      <c r="AJ22" s="21">
        <f t="shared" si="55"/>
        <v>0.004734533965</v>
      </c>
    </row>
    <row r="23">
      <c r="A23" s="6">
        <v>45778.0</v>
      </c>
      <c r="B23" s="7">
        <v>15.76</v>
      </c>
      <c r="C23" s="14">
        <f t="shared" ref="C23:C24" si="57">(B23/B22)-100%</f>
        <v>0.003821656051</v>
      </c>
      <c r="D23" s="15">
        <f t="shared" ref="D23:D24" si="58">B23-B22</f>
        <v>0.06</v>
      </c>
      <c r="E23" s="14">
        <f t="shared" ref="E23:E24" si="59">C23*0.8</f>
        <v>0.003057324841</v>
      </c>
      <c r="F23" s="16">
        <f t="shared" ref="F23:F24" si="60">C23*12</f>
        <v>0.04585987261</v>
      </c>
      <c r="I23" s="11" t="s">
        <v>21</v>
      </c>
      <c r="J23" s="12">
        <v>0.0</v>
      </c>
      <c r="K23" s="21">
        <f t="shared" ref="K23:AJ23" si="56">IFERROR(K10/K$13,"")</f>
        <v>0</v>
      </c>
      <c r="L23" s="21">
        <f t="shared" si="56"/>
        <v>0</v>
      </c>
      <c r="M23" s="21">
        <f t="shared" si="56"/>
        <v>0</v>
      </c>
      <c r="N23" s="21">
        <f t="shared" si="56"/>
        <v>0</v>
      </c>
      <c r="O23" s="21">
        <f t="shared" si="56"/>
        <v>0</v>
      </c>
      <c r="P23" s="21">
        <f t="shared" si="56"/>
        <v>0</v>
      </c>
      <c r="Q23" s="21">
        <f t="shared" si="56"/>
        <v>0</v>
      </c>
      <c r="R23" s="21">
        <f t="shared" si="56"/>
        <v>0</v>
      </c>
      <c r="S23" s="21">
        <f t="shared" si="56"/>
        <v>0</v>
      </c>
      <c r="T23" s="21">
        <f t="shared" si="56"/>
        <v>0</v>
      </c>
      <c r="U23" s="21">
        <f t="shared" si="56"/>
        <v>0</v>
      </c>
      <c r="V23" s="21">
        <f t="shared" si="56"/>
        <v>0</v>
      </c>
      <c r="W23" s="21">
        <f t="shared" si="56"/>
        <v>0</v>
      </c>
      <c r="X23" s="21">
        <f t="shared" si="56"/>
        <v>0</v>
      </c>
      <c r="Y23" s="21">
        <f t="shared" si="56"/>
        <v>0</v>
      </c>
      <c r="Z23" s="21">
        <f t="shared" si="56"/>
        <v>0</v>
      </c>
      <c r="AA23" s="21">
        <f t="shared" si="56"/>
        <v>0</v>
      </c>
      <c r="AB23" s="21">
        <f t="shared" si="56"/>
        <v>0</v>
      </c>
      <c r="AC23" s="21">
        <f t="shared" si="56"/>
        <v>0</v>
      </c>
      <c r="AD23" s="21">
        <f t="shared" si="56"/>
        <v>0.01587580421</v>
      </c>
      <c r="AE23" s="21">
        <f t="shared" si="56"/>
        <v>0.01476437078</v>
      </c>
      <c r="AF23" s="21">
        <f t="shared" si="56"/>
        <v>0.01489250949</v>
      </c>
      <c r="AG23" s="21">
        <f t="shared" si="56"/>
        <v>0.01460028621</v>
      </c>
      <c r="AH23" s="21">
        <f t="shared" si="56"/>
        <v>0.01465285685</v>
      </c>
      <c r="AI23" s="21">
        <f t="shared" si="56"/>
        <v>0.01422912499</v>
      </c>
      <c r="AJ23" s="21">
        <f t="shared" si="56"/>
        <v>0.01422912499</v>
      </c>
    </row>
    <row r="24">
      <c r="A24" s="6">
        <v>45790.0</v>
      </c>
      <c r="B24" s="7">
        <v>15.78</v>
      </c>
      <c r="C24" s="14">
        <f t="shared" si="57"/>
        <v>0.001269035533</v>
      </c>
      <c r="D24" s="15">
        <f t="shared" si="58"/>
        <v>0.02</v>
      </c>
      <c r="E24" s="14">
        <f t="shared" si="59"/>
        <v>0.001015228426</v>
      </c>
      <c r="F24" s="16">
        <f t="shared" si="60"/>
        <v>0.0152284264</v>
      </c>
      <c r="I24" s="11" t="s">
        <v>24</v>
      </c>
      <c r="J24" s="12">
        <v>0.0</v>
      </c>
      <c r="K24" s="21">
        <f t="shared" ref="K24:AJ24" si="61">IFERROR(K11/K$13,"")</f>
        <v>0</v>
      </c>
      <c r="L24" s="21">
        <f t="shared" si="61"/>
        <v>0</v>
      </c>
      <c r="M24" s="21">
        <f t="shared" si="61"/>
        <v>0</v>
      </c>
      <c r="N24" s="21">
        <f t="shared" si="61"/>
        <v>0</v>
      </c>
      <c r="O24" s="21">
        <f t="shared" si="61"/>
        <v>0</v>
      </c>
      <c r="P24" s="21">
        <f t="shared" si="61"/>
        <v>0</v>
      </c>
      <c r="Q24" s="21">
        <f t="shared" si="61"/>
        <v>0</v>
      </c>
      <c r="R24" s="21">
        <f t="shared" si="61"/>
        <v>0</v>
      </c>
      <c r="S24" s="21">
        <f t="shared" si="61"/>
        <v>0</v>
      </c>
      <c r="T24" s="21">
        <f t="shared" si="61"/>
        <v>0</v>
      </c>
      <c r="U24" s="21">
        <f t="shared" si="61"/>
        <v>0</v>
      </c>
      <c r="V24" s="21">
        <f t="shared" si="61"/>
        <v>0</v>
      </c>
      <c r="W24" s="21">
        <f t="shared" si="61"/>
        <v>0</v>
      </c>
      <c r="X24" s="21">
        <f t="shared" si="61"/>
        <v>0</v>
      </c>
      <c r="Y24" s="21">
        <f t="shared" si="61"/>
        <v>0</v>
      </c>
      <c r="Z24" s="21">
        <f t="shared" si="61"/>
        <v>0</v>
      </c>
      <c r="AA24" s="21">
        <f t="shared" si="61"/>
        <v>0</v>
      </c>
      <c r="AB24" s="21">
        <f t="shared" si="61"/>
        <v>0</v>
      </c>
      <c r="AC24" s="21">
        <f t="shared" si="61"/>
        <v>0</v>
      </c>
      <c r="AD24" s="21">
        <f t="shared" si="61"/>
        <v>0.1459292533</v>
      </c>
      <c r="AE24" s="21">
        <f t="shared" si="61"/>
        <v>0.1357130369</v>
      </c>
      <c r="AF24" s="21">
        <f t="shared" si="61"/>
        <v>0.1368908787</v>
      </c>
      <c r="AG24" s="21">
        <f t="shared" si="61"/>
        <v>0.1342047832</v>
      </c>
      <c r="AH24" s="21">
        <f t="shared" si="61"/>
        <v>0.1346880089</v>
      </c>
      <c r="AI24" s="21">
        <f t="shared" si="61"/>
        <v>0.130793096</v>
      </c>
      <c r="AJ24" s="21">
        <f t="shared" si="61"/>
        <v>0.130793096</v>
      </c>
    </row>
    <row r="25">
      <c r="A25" s="6">
        <v>45790.0</v>
      </c>
      <c r="B25" s="7">
        <f>B24-0.1078</f>
        <v>15.6722</v>
      </c>
      <c r="C25" s="8">
        <v>1.0</v>
      </c>
      <c r="D25" s="9"/>
      <c r="E25" s="9"/>
      <c r="F25" s="9"/>
      <c r="G25" s="46" t="s">
        <v>91</v>
      </c>
      <c r="I25" s="11" t="s">
        <v>92</v>
      </c>
      <c r="J25" s="12">
        <v>0.1</v>
      </c>
      <c r="K25" s="21">
        <f t="shared" ref="K25:AJ25" si="62">IFERROR(K12/K$13,"")</f>
        <v>0</v>
      </c>
      <c r="L25" s="21">
        <f t="shared" si="62"/>
        <v>0</v>
      </c>
      <c r="M25" s="21">
        <f t="shared" si="62"/>
        <v>0</v>
      </c>
      <c r="N25" s="21">
        <f t="shared" si="62"/>
        <v>0</v>
      </c>
      <c r="O25" s="21">
        <f t="shared" si="62"/>
        <v>0</v>
      </c>
      <c r="P25" s="21">
        <f t="shared" si="62"/>
        <v>0</v>
      </c>
      <c r="Q25" s="21">
        <f t="shared" si="62"/>
        <v>0</v>
      </c>
      <c r="R25" s="21">
        <f t="shared" si="62"/>
        <v>0</v>
      </c>
      <c r="S25" s="21">
        <f t="shared" si="62"/>
        <v>0</v>
      </c>
      <c r="T25" s="21">
        <f t="shared" si="62"/>
        <v>0</v>
      </c>
      <c r="U25" s="21">
        <f t="shared" si="62"/>
        <v>0</v>
      </c>
      <c r="V25" s="21">
        <f t="shared" si="62"/>
        <v>0</v>
      </c>
      <c r="W25" s="21">
        <f t="shared" si="62"/>
        <v>0</v>
      </c>
      <c r="X25" s="21">
        <f t="shared" si="62"/>
        <v>0</v>
      </c>
      <c r="Y25" s="21">
        <f t="shared" si="62"/>
        <v>0</v>
      </c>
      <c r="Z25" s="21">
        <f t="shared" si="62"/>
        <v>0</v>
      </c>
      <c r="AA25" s="21">
        <f t="shared" si="62"/>
        <v>0</v>
      </c>
      <c r="AB25" s="21">
        <f t="shared" si="62"/>
        <v>0</v>
      </c>
      <c r="AC25" s="21">
        <f t="shared" si="62"/>
        <v>0</v>
      </c>
      <c r="AD25" s="21">
        <f t="shared" si="62"/>
        <v>0</v>
      </c>
      <c r="AE25" s="21">
        <f t="shared" si="62"/>
        <v>0.07000800798</v>
      </c>
      <c r="AF25" s="21">
        <f t="shared" si="62"/>
        <v>0.07061521914</v>
      </c>
      <c r="AG25" s="21">
        <f t="shared" si="62"/>
        <v>0.06922497689</v>
      </c>
      <c r="AH25" s="21">
        <f t="shared" si="62"/>
        <v>0.06945558359</v>
      </c>
      <c r="AI25" s="21">
        <f t="shared" si="62"/>
        <v>0.0674437544</v>
      </c>
      <c r="AJ25" s="21">
        <f t="shared" si="62"/>
        <v>0.06744058461</v>
      </c>
    </row>
    <row r="26">
      <c r="A26" s="6">
        <v>45790.0</v>
      </c>
      <c r="B26" s="51">
        <f>B25-(Y4*$C$24*0.85+Y4-0.1078)</f>
        <v>13.66990143</v>
      </c>
      <c r="C26" s="8">
        <v>1.0</v>
      </c>
      <c r="D26" s="9"/>
      <c r="E26" s="9"/>
      <c r="F26" s="9"/>
      <c r="G26" s="46" t="s">
        <v>93</v>
      </c>
      <c r="I26" s="11" t="s">
        <v>14</v>
      </c>
      <c r="J26" s="18"/>
      <c r="K26" s="28">
        <f t="shared" ref="K26:AJ26" si="63">SUM(K15:K25)</f>
        <v>1</v>
      </c>
      <c r="L26" s="28">
        <f t="shared" si="63"/>
        <v>1</v>
      </c>
      <c r="M26" s="28">
        <f t="shared" si="63"/>
        <v>1</v>
      </c>
      <c r="N26" s="28">
        <f t="shared" si="63"/>
        <v>1</v>
      </c>
      <c r="O26" s="28">
        <f t="shared" si="63"/>
        <v>1</v>
      </c>
      <c r="P26" s="28">
        <f t="shared" si="63"/>
        <v>1</v>
      </c>
      <c r="Q26" s="28">
        <f t="shared" si="63"/>
        <v>1</v>
      </c>
      <c r="R26" s="28">
        <f t="shared" si="63"/>
        <v>1</v>
      </c>
      <c r="S26" s="28">
        <f t="shared" si="63"/>
        <v>1</v>
      </c>
      <c r="T26" s="28">
        <f t="shared" si="63"/>
        <v>1</v>
      </c>
      <c r="U26" s="28">
        <f t="shared" si="63"/>
        <v>1</v>
      </c>
      <c r="V26" s="28">
        <f t="shared" si="63"/>
        <v>1</v>
      </c>
      <c r="W26" s="28">
        <f t="shared" si="63"/>
        <v>1</v>
      </c>
      <c r="X26" s="28">
        <f t="shared" si="63"/>
        <v>1</v>
      </c>
      <c r="Y26" s="28">
        <f t="shared" si="63"/>
        <v>1</v>
      </c>
      <c r="Z26" s="28">
        <f t="shared" si="63"/>
        <v>1</v>
      </c>
      <c r="AA26" s="28">
        <f t="shared" si="63"/>
        <v>1</v>
      </c>
      <c r="AB26" s="28">
        <f t="shared" si="63"/>
        <v>1</v>
      </c>
      <c r="AC26" s="28">
        <f t="shared" si="63"/>
        <v>1</v>
      </c>
      <c r="AD26" s="28">
        <f t="shared" si="63"/>
        <v>1</v>
      </c>
      <c r="AE26" s="28">
        <f t="shared" si="63"/>
        <v>1</v>
      </c>
      <c r="AF26" s="28">
        <f t="shared" si="63"/>
        <v>1</v>
      </c>
      <c r="AG26" s="28">
        <f t="shared" si="63"/>
        <v>1</v>
      </c>
      <c r="AH26" s="28">
        <f t="shared" si="63"/>
        <v>1</v>
      </c>
      <c r="AI26" s="28">
        <f t="shared" si="63"/>
        <v>1</v>
      </c>
      <c r="AJ26" s="28">
        <f t="shared" si="63"/>
        <v>1</v>
      </c>
    </row>
    <row r="27">
      <c r="A27" s="6">
        <v>45807.0</v>
      </c>
      <c r="B27" s="7">
        <f>13.69+0.044</f>
        <v>13.734</v>
      </c>
      <c r="C27" s="14">
        <f>(B27/B26)-100%</f>
        <v>0.004689029676</v>
      </c>
      <c r="D27" s="13">
        <f>B27-B26</f>
        <v>0.06409857345</v>
      </c>
      <c r="E27" s="14">
        <f>C27*0.8</f>
        <v>0.003751223741</v>
      </c>
      <c r="F27" s="16">
        <f>C27*12</f>
        <v>0.05626835611</v>
      </c>
      <c r="G27" s="52" t="s">
        <v>94</v>
      </c>
    </row>
    <row r="28">
      <c r="A28" s="6">
        <v>45807.0</v>
      </c>
      <c r="B28" s="7">
        <f>B27-0.13</f>
        <v>13.604</v>
      </c>
      <c r="C28" s="8">
        <v>1.0</v>
      </c>
      <c r="D28" s="9"/>
      <c r="E28" s="9"/>
      <c r="F28" s="9"/>
      <c r="G28" s="46" t="s">
        <v>95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</row>
    <row r="29">
      <c r="A29" s="6">
        <v>45819.0</v>
      </c>
      <c r="B29" s="7">
        <v>13.6446</v>
      </c>
      <c r="C29" s="14">
        <f>(B29/B28)-100%</f>
        <v>0.002984416348</v>
      </c>
      <c r="D29" s="15">
        <f>B29-B28</f>
        <v>0.0406</v>
      </c>
      <c r="E29" s="14">
        <f>C29*0.8</f>
        <v>0.002387533079</v>
      </c>
      <c r="F29" s="16">
        <f>C29*12</f>
        <v>0.03581299618</v>
      </c>
      <c r="G29" s="32"/>
      <c r="H29" s="32"/>
      <c r="I29" s="14"/>
    </row>
    <row r="30">
      <c r="A30" s="6">
        <v>45819.0</v>
      </c>
      <c r="B30" s="7">
        <f>B29+2</f>
        <v>15.6446</v>
      </c>
      <c r="C30" s="8">
        <v>1.0</v>
      </c>
      <c r="D30" s="9"/>
      <c r="E30" s="9"/>
      <c r="F30" s="9"/>
      <c r="G30" s="46" t="s">
        <v>96</v>
      </c>
      <c r="H30" s="32"/>
      <c r="I30" s="14"/>
    </row>
    <row r="31">
      <c r="A31" s="6">
        <v>45838.0</v>
      </c>
      <c r="B31" s="7">
        <v>15.6577</v>
      </c>
      <c r="C31" s="14">
        <f t="shared" ref="C31:C32" si="64">(B31/B30)-100%</f>
        <v>0.0008373496286</v>
      </c>
      <c r="D31" s="15">
        <f t="shared" ref="D31:D32" si="65">B31-B30</f>
        <v>0.0131</v>
      </c>
      <c r="E31" s="14">
        <f t="shared" ref="E31:E32" si="66">C31*0.8</f>
        <v>0.0006698797029</v>
      </c>
      <c r="F31" s="16">
        <f t="shared" ref="F31:F32" si="67">C31*12</f>
        <v>0.01004819554</v>
      </c>
      <c r="G31" s="32"/>
      <c r="H31" s="32"/>
      <c r="I31" s="14"/>
    </row>
    <row r="32">
      <c r="A32" s="6">
        <v>45849.0</v>
      </c>
      <c r="B32" s="7">
        <v>15.7177</v>
      </c>
      <c r="C32" s="14">
        <f t="shared" si="64"/>
        <v>0.003831980431</v>
      </c>
      <c r="D32" s="15">
        <f t="shared" si="65"/>
        <v>0.06</v>
      </c>
      <c r="E32" s="14">
        <f t="shared" si="66"/>
        <v>0.003065584345</v>
      </c>
      <c r="F32" s="16">
        <f t="shared" si="67"/>
        <v>0.04598376518</v>
      </c>
      <c r="G32" s="32"/>
      <c r="H32" s="32"/>
      <c r="I32" s="14"/>
    </row>
    <row r="33">
      <c r="A33" s="6">
        <v>45849.0</v>
      </c>
      <c r="B33" s="7">
        <f>B32+11.384+0.9914</f>
        <v>28.0931</v>
      </c>
      <c r="C33" s="8">
        <v>1.0</v>
      </c>
      <c r="D33" s="9"/>
      <c r="E33" s="9"/>
      <c r="F33" s="9"/>
      <c r="G33" s="46" t="s">
        <v>97</v>
      </c>
      <c r="H33" s="32"/>
      <c r="I33" s="14"/>
    </row>
    <row r="34">
      <c r="A34" s="6">
        <v>45862.0</v>
      </c>
      <c r="B34" s="7">
        <v>28.1007</v>
      </c>
      <c r="C34" s="14">
        <f>(B34/B33)-100%</f>
        <v>0.0002705290623</v>
      </c>
      <c r="D34" s="15">
        <f>B34-B33</f>
        <v>0.0076</v>
      </c>
      <c r="E34" s="14">
        <f>C34*0.8</f>
        <v>0.0002164232498</v>
      </c>
      <c r="F34" s="16">
        <f>C34*12</f>
        <v>0.003246348748</v>
      </c>
      <c r="G34" s="32"/>
      <c r="H34" s="32"/>
      <c r="I34" s="14"/>
    </row>
    <row r="35">
      <c r="A35" s="6">
        <v>45862.0</v>
      </c>
      <c r="B35" s="7">
        <f>B34+2.115364</f>
        <v>30.216064</v>
      </c>
      <c r="C35" s="8">
        <v>1.0</v>
      </c>
      <c r="D35" s="9"/>
      <c r="E35" s="9"/>
      <c r="F35" s="9"/>
      <c r="G35" s="10" t="s">
        <v>98</v>
      </c>
      <c r="H35" s="32"/>
      <c r="I35" s="14"/>
    </row>
    <row r="36">
      <c r="A36" s="6">
        <v>45863.0</v>
      </c>
      <c r="B36" s="7">
        <v>30.2177</v>
      </c>
      <c r="C36" s="14">
        <f>(B36/B35)-100%</f>
        <v>0.00005414338545</v>
      </c>
      <c r="D36" s="15">
        <f>B36-B35</f>
        <v>0.001636</v>
      </c>
      <c r="E36" s="14">
        <f>C36*0.8</f>
        <v>0.00004331470836</v>
      </c>
      <c r="F36" s="16">
        <f>C36*12</f>
        <v>0.0006497206254</v>
      </c>
      <c r="G36" s="32"/>
      <c r="H36" s="32"/>
      <c r="I36" s="14"/>
    </row>
    <row r="37">
      <c r="A37" s="6">
        <v>45863.0</v>
      </c>
      <c r="B37" s="7">
        <f>B36-0.26</f>
        <v>29.9577</v>
      </c>
      <c r="C37" s="8">
        <v>1.0</v>
      </c>
      <c r="D37" s="9"/>
      <c r="E37" s="9"/>
      <c r="F37" s="9"/>
      <c r="G37" s="10" t="s">
        <v>99</v>
      </c>
      <c r="H37" s="32"/>
      <c r="I37" s="14"/>
    </row>
    <row r="38">
      <c r="A38" s="6">
        <v>45869.0</v>
      </c>
      <c r="B38" s="11">
        <v>29.9777</v>
      </c>
      <c r="C38" s="14">
        <f>(B38/B37)-100%</f>
        <v>0.0006676079939</v>
      </c>
      <c r="D38" s="15">
        <f>B38-B37</f>
        <v>0.02</v>
      </c>
      <c r="E38" s="14">
        <f>C38*0.8</f>
        <v>0.0005340863952</v>
      </c>
      <c r="F38" s="16">
        <f>C38*12</f>
        <v>0.008011295927</v>
      </c>
      <c r="G38" s="32"/>
      <c r="H38" s="32"/>
      <c r="I38" s="14"/>
    </row>
    <row r="39">
      <c r="A39" s="6">
        <v>45869.0</v>
      </c>
      <c r="B39" s="18">
        <f>B38+0.6</f>
        <v>30.5777</v>
      </c>
      <c r="C39" s="8">
        <v>1.0</v>
      </c>
      <c r="D39" s="9"/>
      <c r="E39" s="9"/>
      <c r="F39" s="9"/>
      <c r="G39" s="10" t="s">
        <v>100</v>
      </c>
      <c r="H39" s="32"/>
      <c r="I39" s="14"/>
    </row>
    <row r="40">
      <c r="A40" s="6">
        <v>45889.0</v>
      </c>
      <c r="B40" s="53">
        <v>30.66</v>
      </c>
      <c r="C40" s="14">
        <f>(B40/B39)-100%</f>
        <v>0.002691503939</v>
      </c>
      <c r="D40" s="39">
        <f>B40-B39</f>
        <v>0.0823</v>
      </c>
      <c r="E40" s="14">
        <f>C40*0.8</f>
        <v>0.002153203151</v>
      </c>
      <c r="F40" s="16">
        <f>C40*12</f>
        <v>0.03229804727</v>
      </c>
      <c r="G40" s="32"/>
      <c r="H40" s="32"/>
      <c r="I40" s="14"/>
    </row>
    <row r="41">
      <c r="A41" s="6">
        <v>45889.0</v>
      </c>
      <c r="B41" s="54">
        <f>B40-0.11</f>
        <v>30.55</v>
      </c>
      <c r="C41" s="8">
        <v>1.0</v>
      </c>
      <c r="D41" s="9"/>
      <c r="E41" s="9"/>
      <c r="F41" s="9"/>
      <c r="G41" s="10" t="s">
        <v>101</v>
      </c>
      <c r="H41" s="32"/>
      <c r="I41" s="14"/>
    </row>
    <row r="42">
      <c r="A42" s="6">
        <v>45894.0</v>
      </c>
      <c r="B42" s="7">
        <v>30.565</v>
      </c>
      <c r="C42" s="14">
        <f>(B42/B41)-100%</f>
        <v>0.0004909983633</v>
      </c>
      <c r="D42" s="39">
        <f>B42-B41</f>
        <v>0.015</v>
      </c>
      <c r="E42" s="14">
        <f>C42*0.8</f>
        <v>0.0003927986907</v>
      </c>
      <c r="F42" s="16">
        <f>C42*12</f>
        <v>0.00589198036</v>
      </c>
      <c r="G42" s="32"/>
      <c r="H42" s="32"/>
      <c r="I42" s="14"/>
    </row>
    <row r="43">
      <c r="A43" s="6">
        <v>45894.0</v>
      </c>
      <c r="B43" s="18">
        <f>B42+0.9102</f>
        <v>31.4752</v>
      </c>
      <c r="C43" s="8">
        <v>1.0</v>
      </c>
      <c r="D43" s="9"/>
      <c r="E43" s="9"/>
      <c r="F43" s="9"/>
      <c r="G43" s="10" t="s">
        <v>102</v>
      </c>
      <c r="H43" s="32"/>
      <c r="I43" s="14"/>
    </row>
    <row r="44">
      <c r="A44" s="6">
        <v>45901.0</v>
      </c>
      <c r="B44" s="7">
        <v>31.49</v>
      </c>
      <c r="C44" s="14">
        <f>(B44/B43)-100%</f>
        <v>0.0004702114681</v>
      </c>
      <c r="D44" s="15">
        <f>B44-B43</f>
        <v>0.0148</v>
      </c>
      <c r="E44" s="14">
        <f>C44*0.8</f>
        <v>0.0003761691745</v>
      </c>
      <c r="F44" s="16">
        <f>C44*12</f>
        <v>0.005642537617</v>
      </c>
      <c r="G44" s="32"/>
      <c r="H44" s="32"/>
      <c r="I44" s="14"/>
    </row>
    <row r="45">
      <c r="A45" s="31"/>
      <c r="B45" s="18"/>
      <c r="E45" s="32"/>
      <c r="F45" s="32"/>
      <c r="G45" s="32"/>
      <c r="H45" s="32"/>
      <c r="I45" s="14"/>
    </row>
    <row r="46">
      <c r="A46" s="31"/>
      <c r="B46" s="18"/>
      <c r="E46" s="32"/>
      <c r="F46" s="32"/>
      <c r="G46" s="32"/>
      <c r="H46" s="32"/>
      <c r="I46" s="14"/>
    </row>
    <row r="47">
      <c r="A47" s="31"/>
      <c r="B47" s="18"/>
      <c r="E47" s="32"/>
      <c r="F47" s="32"/>
      <c r="G47" s="32"/>
      <c r="H47" s="32"/>
      <c r="I47" s="14"/>
    </row>
    <row r="48">
      <c r="A48" s="31"/>
      <c r="B48" s="18"/>
      <c r="E48" s="32"/>
      <c r="F48" s="32"/>
      <c r="G48" s="32"/>
      <c r="H48" s="32"/>
      <c r="I48" s="14"/>
    </row>
    <row r="49">
      <c r="A49" s="31"/>
      <c r="B49" s="18"/>
      <c r="E49" s="32"/>
      <c r="F49" s="32"/>
      <c r="G49" s="32"/>
      <c r="H49" s="32"/>
      <c r="I49" s="14"/>
    </row>
    <row r="50">
      <c r="A50" s="31"/>
      <c r="B50" s="18"/>
      <c r="E50" s="32"/>
      <c r="F50" s="32"/>
      <c r="G50" s="32"/>
      <c r="H50" s="32"/>
      <c r="I50" s="14"/>
    </row>
    <row r="51">
      <c r="A51" s="31"/>
      <c r="B51" s="18"/>
      <c r="E51" s="32"/>
      <c r="F51" s="32"/>
      <c r="G51" s="32"/>
      <c r="H51" s="32"/>
      <c r="I51" s="14"/>
    </row>
    <row r="52">
      <c r="A52" s="31"/>
      <c r="B52" s="18"/>
      <c r="E52" s="32"/>
      <c r="F52" s="32"/>
      <c r="G52" s="32"/>
      <c r="H52" s="32"/>
      <c r="I52" s="14"/>
    </row>
    <row r="53">
      <c r="A53" s="31"/>
      <c r="B53" s="18"/>
      <c r="E53" s="32"/>
      <c r="F53" s="32"/>
      <c r="G53" s="32"/>
      <c r="H53" s="32"/>
      <c r="I53" s="14"/>
    </row>
    <row r="54">
      <c r="A54" s="31"/>
      <c r="B54" s="18"/>
      <c r="E54" s="32"/>
      <c r="F54" s="32"/>
      <c r="G54" s="32"/>
      <c r="H54" s="32"/>
      <c r="I54" s="14"/>
    </row>
    <row r="55">
      <c r="A55" s="31"/>
      <c r="B55" s="18"/>
      <c r="E55" s="32"/>
      <c r="F55" s="32"/>
      <c r="G55" s="32"/>
      <c r="H55" s="32"/>
      <c r="I55" s="14"/>
    </row>
    <row r="56">
      <c r="A56" s="31"/>
      <c r="B56" s="18"/>
      <c r="E56" s="32"/>
      <c r="F56" s="32"/>
      <c r="G56" s="32"/>
      <c r="H56" s="32"/>
      <c r="I56" s="14"/>
    </row>
    <row r="57">
      <c r="A57" s="31"/>
      <c r="B57" s="18"/>
      <c r="E57" s="32"/>
      <c r="F57" s="32"/>
      <c r="G57" s="32"/>
      <c r="H57" s="32"/>
      <c r="I57" s="14"/>
    </row>
    <row r="58">
      <c r="A58" s="31"/>
      <c r="B58" s="18"/>
      <c r="E58" s="32"/>
      <c r="F58" s="32"/>
      <c r="G58" s="32"/>
      <c r="H58" s="32"/>
      <c r="I58" s="14"/>
    </row>
    <row r="59">
      <c r="A59" s="31"/>
      <c r="B59" s="18"/>
      <c r="E59" s="32"/>
      <c r="F59" s="32"/>
      <c r="G59" s="32"/>
      <c r="H59" s="32"/>
      <c r="I59" s="14"/>
    </row>
    <row r="60">
      <c r="A60" s="31"/>
      <c r="B60" s="18"/>
      <c r="E60" s="32"/>
      <c r="F60" s="32"/>
      <c r="G60" s="32"/>
      <c r="H60" s="32"/>
      <c r="I60" s="14"/>
    </row>
    <row r="61">
      <c r="A61" s="31"/>
      <c r="B61" s="18"/>
      <c r="E61" s="32"/>
      <c r="F61" s="32"/>
      <c r="G61" s="32"/>
      <c r="H61" s="32"/>
      <c r="I61" s="14"/>
    </row>
    <row r="62">
      <c r="A62" s="31"/>
      <c r="B62" s="18"/>
      <c r="E62" s="32"/>
      <c r="F62" s="32"/>
      <c r="G62" s="32"/>
      <c r="H62" s="32"/>
      <c r="I62" s="14"/>
    </row>
    <row r="63">
      <c r="A63" s="31"/>
      <c r="B63" s="18"/>
      <c r="E63" s="32"/>
      <c r="F63" s="32"/>
      <c r="G63" s="32"/>
      <c r="H63" s="32"/>
      <c r="I63" s="14"/>
    </row>
    <row r="64">
      <c r="A64" s="31"/>
      <c r="B64" s="18"/>
      <c r="E64" s="32"/>
      <c r="F64" s="32"/>
      <c r="G64" s="32"/>
      <c r="H64" s="32"/>
      <c r="I64" s="14"/>
    </row>
    <row r="65">
      <c r="A65" s="31"/>
      <c r="B65" s="18"/>
      <c r="E65" s="32"/>
      <c r="F65" s="32"/>
      <c r="G65" s="32"/>
      <c r="H65" s="32"/>
      <c r="I65" s="14"/>
    </row>
    <row r="66">
      <c r="A66" s="31"/>
      <c r="B66" s="18"/>
      <c r="E66" s="32"/>
      <c r="F66" s="32"/>
      <c r="G66" s="32"/>
      <c r="H66" s="32"/>
      <c r="I66" s="14"/>
    </row>
    <row r="67">
      <c r="A67" s="31"/>
      <c r="B67" s="18"/>
      <c r="E67" s="32"/>
      <c r="F67" s="32"/>
      <c r="G67" s="32"/>
      <c r="H67" s="32"/>
      <c r="I67" s="14"/>
    </row>
    <row r="68">
      <c r="A68" s="31"/>
      <c r="B68" s="18"/>
      <c r="E68" s="32"/>
      <c r="F68" s="32"/>
      <c r="G68" s="32"/>
      <c r="H68" s="32"/>
      <c r="I68" s="14"/>
    </row>
    <row r="69">
      <c r="A69" s="31"/>
      <c r="B69" s="18"/>
      <c r="E69" s="32"/>
      <c r="F69" s="32"/>
      <c r="G69" s="32"/>
      <c r="H69" s="32"/>
      <c r="I69" s="14"/>
    </row>
    <row r="70">
      <c r="A70" s="31"/>
      <c r="B70" s="18"/>
      <c r="E70" s="32"/>
      <c r="F70" s="32"/>
      <c r="G70" s="32"/>
      <c r="H70" s="32"/>
      <c r="I70" s="14"/>
    </row>
    <row r="71">
      <c r="A71" s="31"/>
      <c r="B71" s="18"/>
      <c r="E71" s="32"/>
      <c r="F71" s="32"/>
      <c r="G71" s="32"/>
      <c r="H71" s="32"/>
      <c r="I71" s="14"/>
    </row>
    <row r="72">
      <c r="A72" s="31"/>
      <c r="B72" s="18"/>
      <c r="E72" s="32"/>
      <c r="F72" s="32"/>
      <c r="G72" s="32"/>
      <c r="H72" s="32"/>
      <c r="I72" s="14"/>
    </row>
    <row r="73">
      <c r="A73" s="31"/>
      <c r="B73" s="18"/>
      <c r="E73" s="32"/>
      <c r="F73" s="32"/>
      <c r="G73" s="32"/>
      <c r="H73" s="32"/>
      <c r="I73" s="14"/>
    </row>
    <row r="74">
      <c r="A74" s="31"/>
      <c r="B74" s="18"/>
      <c r="E74" s="32"/>
      <c r="F74" s="32"/>
      <c r="G74" s="32"/>
      <c r="H74" s="32"/>
      <c r="I74" s="14"/>
    </row>
    <row r="75">
      <c r="A75" s="31"/>
      <c r="B75" s="18"/>
      <c r="E75" s="32"/>
      <c r="F75" s="32"/>
      <c r="G75" s="32"/>
      <c r="H75" s="32"/>
      <c r="I75" s="14"/>
    </row>
    <row r="76">
      <c r="A76" s="31"/>
      <c r="B76" s="18"/>
      <c r="E76" s="32"/>
      <c r="F76" s="32"/>
      <c r="G76" s="32"/>
      <c r="H76" s="32"/>
      <c r="I76" s="14"/>
    </row>
    <row r="77">
      <c r="A77" s="31"/>
      <c r="B77" s="18"/>
      <c r="E77" s="32"/>
      <c r="F77" s="32"/>
      <c r="G77" s="32"/>
      <c r="H77" s="32"/>
      <c r="I77" s="14"/>
    </row>
    <row r="78">
      <c r="A78" s="31"/>
      <c r="B78" s="18"/>
      <c r="E78" s="32"/>
      <c r="F78" s="32"/>
      <c r="G78" s="32"/>
      <c r="H78" s="32"/>
      <c r="I78" s="14"/>
    </row>
    <row r="79">
      <c r="A79" s="31"/>
      <c r="B79" s="18"/>
      <c r="E79" s="32"/>
      <c r="F79" s="32"/>
      <c r="G79" s="32"/>
      <c r="H79" s="32"/>
      <c r="I79" s="14"/>
    </row>
    <row r="80">
      <c r="A80" s="31"/>
      <c r="B80" s="18"/>
      <c r="E80" s="32"/>
      <c r="F80" s="32"/>
      <c r="G80" s="32"/>
      <c r="H80" s="32"/>
      <c r="I80" s="14"/>
    </row>
    <row r="81">
      <c r="A81" s="31"/>
      <c r="B81" s="18"/>
      <c r="E81" s="32"/>
      <c r="F81" s="32"/>
      <c r="G81" s="32"/>
      <c r="H81" s="32"/>
      <c r="I81" s="14"/>
    </row>
    <row r="82">
      <c r="A82" s="31"/>
      <c r="B82" s="18"/>
      <c r="E82" s="32"/>
      <c r="F82" s="32"/>
      <c r="G82" s="32"/>
      <c r="H82" s="32"/>
      <c r="I82" s="14"/>
    </row>
    <row r="83">
      <c r="A83" s="31"/>
      <c r="B83" s="18"/>
      <c r="E83" s="32"/>
      <c r="F83" s="32"/>
      <c r="G83" s="32"/>
      <c r="H83" s="32"/>
      <c r="I83" s="14"/>
    </row>
    <row r="84">
      <c r="A84" s="31"/>
      <c r="B84" s="18"/>
      <c r="E84" s="32"/>
      <c r="F84" s="32"/>
      <c r="G84" s="32"/>
      <c r="H84" s="32"/>
      <c r="I84" s="14"/>
    </row>
    <row r="85">
      <c r="A85" s="31"/>
      <c r="B85" s="18"/>
      <c r="E85" s="32"/>
      <c r="F85" s="32"/>
      <c r="G85" s="32"/>
      <c r="H85" s="32"/>
      <c r="I85" s="14"/>
    </row>
    <row r="86">
      <c r="A86" s="31"/>
      <c r="B86" s="18"/>
      <c r="E86" s="32"/>
      <c r="F86" s="32"/>
      <c r="G86" s="32"/>
      <c r="H86" s="32"/>
      <c r="I86" s="14"/>
    </row>
    <row r="87">
      <c r="A87" s="31"/>
      <c r="B87" s="18"/>
      <c r="E87" s="32"/>
      <c r="F87" s="32"/>
      <c r="G87" s="32"/>
      <c r="H87" s="32"/>
      <c r="I87" s="14"/>
    </row>
    <row r="88">
      <c r="A88" s="31"/>
      <c r="B88" s="18"/>
      <c r="E88" s="32"/>
      <c r="F88" s="32"/>
      <c r="G88" s="32"/>
      <c r="H88" s="32"/>
      <c r="I88" s="14"/>
    </row>
    <row r="89">
      <c r="A89" s="31"/>
      <c r="B89" s="18"/>
      <c r="E89" s="32"/>
      <c r="F89" s="32"/>
      <c r="G89" s="32"/>
      <c r="H89" s="32"/>
      <c r="I89" s="14"/>
    </row>
    <row r="90">
      <c r="A90" s="31"/>
      <c r="B90" s="18"/>
      <c r="E90" s="32"/>
      <c r="F90" s="32"/>
      <c r="G90" s="32"/>
      <c r="H90" s="32"/>
      <c r="I90" s="14"/>
    </row>
    <row r="91">
      <c r="A91" s="31"/>
      <c r="B91" s="18"/>
      <c r="E91" s="32"/>
      <c r="F91" s="32"/>
      <c r="G91" s="32"/>
      <c r="H91" s="32"/>
      <c r="I91" s="14"/>
    </row>
    <row r="92">
      <c r="A92" s="31"/>
      <c r="B92" s="18"/>
      <c r="E92" s="32"/>
      <c r="F92" s="32"/>
      <c r="G92" s="32"/>
      <c r="H92" s="32"/>
      <c r="I92" s="14"/>
    </row>
    <row r="93">
      <c r="A93" s="31"/>
      <c r="B93" s="18"/>
      <c r="E93" s="32"/>
      <c r="F93" s="32"/>
      <c r="G93" s="32"/>
      <c r="H93" s="32"/>
      <c r="I93" s="14"/>
    </row>
    <row r="94">
      <c r="A94" s="31"/>
      <c r="B94" s="18"/>
      <c r="E94" s="32"/>
      <c r="F94" s="32"/>
      <c r="G94" s="32"/>
      <c r="H94" s="32"/>
      <c r="I94" s="14"/>
    </row>
    <row r="95">
      <c r="A95" s="31"/>
      <c r="B95" s="18"/>
      <c r="E95" s="32"/>
      <c r="F95" s="32"/>
      <c r="G95" s="32"/>
      <c r="H95" s="32"/>
      <c r="I95" s="14"/>
    </row>
    <row r="96">
      <c r="A96" s="31"/>
      <c r="B96" s="18"/>
      <c r="E96" s="32"/>
      <c r="F96" s="32"/>
      <c r="G96" s="32"/>
      <c r="H96" s="32"/>
      <c r="I96" s="14"/>
    </row>
    <row r="97">
      <c r="A97" s="31"/>
      <c r="B97" s="18"/>
      <c r="E97" s="32"/>
      <c r="F97" s="32"/>
      <c r="G97" s="32"/>
      <c r="H97" s="32"/>
      <c r="I97" s="14"/>
    </row>
    <row r="98">
      <c r="A98" s="31"/>
      <c r="B98" s="18"/>
      <c r="E98" s="32"/>
      <c r="F98" s="32"/>
      <c r="G98" s="32"/>
      <c r="H98" s="32"/>
      <c r="I98" s="14"/>
    </row>
    <row r="99">
      <c r="A99" s="31"/>
      <c r="B99" s="18"/>
      <c r="E99" s="32"/>
      <c r="F99" s="32"/>
      <c r="G99" s="32"/>
      <c r="H99" s="32"/>
      <c r="I99" s="14"/>
    </row>
    <row r="100">
      <c r="A100" s="31"/>
      <c r="B100" s="18"/>
      <c r="E100" s="32"/>
      <c r="F100" s="32"/>
      <c r="G100" s="32"/>
      <c r="H100" s="32"/>
      <c r="I100" s="14"/>
    </row>
    <row r="101">
      <c r="A101" s="31"/>
      <c r="B101" s="18"/>
      <c r="E101" s="32"/>
      <c r="F101" s="32"/>
      <c r="G101" s="32"/>
      <c r="H101" s="32"/>
      <c r="I101" s="14"/>
    </row>
    <row r="102">
      <c r="A102" s="31"/>
      <c r="B102" s="18"/>
      <c r="E102" s="32"/>
      <c r="F102" s="32"/>
      <c r="G102" s="32"/>
      <c r="H102" s="32"/>
      <c r="I102" s="14"/>
    </row>
    <row r="103">
      <c r="A103" s="31"/>
      <c r="B103" s="18"/>
      <c r="E103" s="32"/>
      <c r="F103" s="32"/>
      <c r="G103" s="32"/>
      <c r="H103" s="32"/>
      <c r="I103" s="14"/>
    </row>
    <row r="104">
      <c r="A104" s="31"/>
      <c r="B104" s="18"/>
      <c r="E104" s="32"/>
      <c r="F104" s="32"/>
      <c r="G104" s="32"/>
      <c r="H104" s="32"/>
      <c r="I104" s="14"/>
    </row>
    <row r="105">
      <c r="A105" s="31"/>
      <c r="B105" s="18"/>
      <c r="E105" s="32"/>
      <c r="F105" s="32"/>
      <c r="G105" s="32"/>
      <c r="H105" s="32"/>
      <c r="I105" s="14"/>
    </row>
    <row r="106">
      <c r="A106" s="31"/>
      <c r="B106" s="18"/>
      <c r="E106" s="32"/>
      <c r="F106" s="32"/>
      <c r="G106" s="32"/>
      <c r="H106" s="32"/>
      <c r="I106" s="14"/>
    </row>
    <row r="107">
      <c r="A107" s="31"/>
      <c r="B107" s="18"/>
      <c r="E107" s="32"/>
      <c r="F107" s="32"/>
      <c r="G107" s="32"/>
      <c r="H107" s="32"/>
      <c r="I107" s="14"/>
    </row>
    <row r="108">
      <c r="A108" s="31"/>
      <c r="B108" s="18"/>
      <c r="E108" s="32"/>
      <c r="F108" s="32"/>
      <c r="G108" s="32"/>
      <c r="H108" s="32"/>
      <c r="I108" s="14"/>
    </row>
    <row r="109">
      <c r="A109" s="31"/>
      <c r="B109" s="18"/>
      <c r="E109" s="32"/>
      <c r="F109" s="32"/>
      <c r="G109" s="32"/>
      <c r="H109" s="32"/>
      <c r="I109" s="14"/>
    </row>
    <row r="110">
      <c r="A110" s="31"/>
      <c r="B110" s="18"/>
      <c r="E110" s="32"/>
      <c r="F110" s="32"/>
      <c r="G110" s="32"/>
      <c r="H110" s="32"/>
      <c r="I110" s="14"/>
    </row>
    <row r="111">
      <c r="A111" s="31"/>
      <c r="B111" s="18"/>
      <c r="E111" s="32"/>
      <c r="F111" s="32"/>
      <c r="G111" s="32"/>
      <c r="H111" s="32"/>
      <c r="I111" s="14"/>
    </row>
    <row r="112">
      <c r="A112" s="31"/>
      <c r="B112" s="18"/>
      <c r="E112" s="32"/>
      <c r="F112" s="32"/>
      <c r="G112" s="32"/>
      <c r="H112" s="32"/>
      <c r="I112" s="14"/>
    </row>
    <row r="113">
      <c r="A113" s="31"/>
      <c r="B113" s="18"/>
      <c r="E113" s="32"/>
      <c r="F113" s="32"/>
      <c r="G113" s="32"/>
      <c r="H113" s="32"/>
      <c r="I113" s="14"/>
    </row>
    <row r="114">
      <c r="A114" s="31"/>
      <c r="B114" s="18"/>
      <c r="E114" s="32"/>
      <c r="F114" s="32"/>
      <c r="G114" s="32"/>
      <c r="H114" s="32"/>
      <c r="I114" s="14"/>
    </row>
    <row r="115">
      <c r="A115" s="31"/>
      <c r="B115" s="18"/>
      <c r="E115" s="32"/>
      <c r="F115" s="32"/>
      <c r="G115" s="32"/>
      <c r="H115" s="32"/>
      <c r="I115" s="14"/>
    </row>
    <row r="116">
      <c r="A116" s="31"/>
      <c r="B116" s="18"/>
      <c r="E116" s="32"/>
      <c r="F116" s="32"/>
      <c r="G116" s="32"/>
      <c r="H116" s="32"/>
      <c r="I116" s="14"/>
    </row>
    <row r="117">
      <c r="A117" s="31"/>
      <c r="B117" s="18"/>
      <c r="E117" s="32"/>
      <c r="F117" s="32"/>
      <c r="G117" s="32"/>
      <c r="H117" s="32"/>
      <c r="I117" s="14"/>
    </row>
    <row r="118">
      <c r="A118" s="31"/>
      <c r="B118" s="18"/>
      <c r="E118" s="32"/>
      <c r="F118" s="32"/>
      <c r="G118" s="32"/>
      <c r="H118" s="32"/>
      <c r="I118" s="14"/>
    </row>
    <row r="119">
      <c r="A119" s="31"/>
      <c r="B119" s="18"/>
      <c r="E119" s="32"/>
      <c r="F119" s="32"/>
      <c r="G119" s="32"/>
      <c r="H119" s="32"/>
      <c r="I119" s="14"/>
    </row>
    <row r="120">
      <c r="A120" s="31"/>
      <c r="B120" s="18"/>
      <c r="E120" s="32"/>
      <c r="F120" s="32"/>
      <c r="G120" s="32"/>
      <c r="H120" s="32"/>
      <c r="I120" s="14"/>
    </row>
    <row r="121">
      <c r="A121" s="31"/>
      <c r="B121" s="18"/>
      <c r="E121" s="32"/>
      <c r="F121" s="32"/>
      <c r="G121" s="32"/>
      <c r="H121" s="32"/>
      <c r="I121" s="14"/>
    </row>
    <row r="122">
      <c r="A122" s="31"/>
      <c r="B122" s="18"/>
      <c r="E122" s="32"/>
      <c r="F122" s="32"/>
      <c r="G122" s="32"/>
      <c r="H122" s="32"/>
      <c r="I122" s="14"/>
    </row>
    <row r="123">
      <c r="A123" s="31"/>
      <c r="B123" s="18"/>
      <c r="E123" s="32"/>
      <c r="F123" s="32"/>
      <c r="G123" s="32"/>
      <c r="H123" s="32"/>
      <c r="I123" s="14"/>
    </row>
    <row r="124">
      <c r="A124" s="31"/>
      <c r="B124" s="18"/>
      <c r="E124" s="32"/>
      <c r="F124" s="32"/>
      <c r="G124" s="32"/>
      <c r="H124" s="32"/>
      <c r="I124" s="14"/>
    </row>
    <row r="125">
      <c r="A125" s="31"/>
      <c r="B125" s="18"/>
      <c r="E125" s="32"/>
      <c r="F125" s="32"/>
      <c r="G125" s="32"/>
      <c r="H125" s="32"/>
      <c r="I125" s="14"/>
    </row>
    <row r="126">
      <c r="A126" s="31"/>
      <c r="B126" s="18"/>
      <c r="E126" s="32"/>
      <c r="F126" s="32"/>
      <c r="G126" s="32"/>
      <c r="H126" s="32"/>
      <c r="I126" s="14"/>
    </row>
    <row r="127">
      <c r="A127" s="31"/>
      <c r="B127" s="18"/>
      <c r="E127" s="32"/>
      <c r="F127" s="32"/>
      <c r="G127" s="32"/>
      <c r="H127" s="32"/>
      <c r="I127" s="14"/>
    </row>
    <row r="128">
      <c r="A128" s="31"/>
      <c r="B128" s="18"/>
      <c r="E128" s="32"/>
      <c r="F128" s="32"/>
      <c r="G128" s="32"/>
      <c r="H128" s="32"/>
      <c r="I128" s="14"/>
    </row>
    <row r="129">
      <c r="A129" s="31"/>
      <c r="B129" s="18"/>
      <c r="E129" s="32"/>
      <c r="F129" s="32"/>
      <c r="G129" s="32"/>
      <c r="H129" s="32"/>
      <c r="I129" s="14"/>
    </row>
    <row r="130">
      <c r="A130" s="31"/>
      <c r="B130" s="18"/>
      <c r="E130" s="32"/>
      <c r="F130" s="32"/>
      <c r="G130" s="32"/>
      <c r="H130" s="32"/>
      <c r="I130" s="14"/>
    </row>
    <row r="131">
      <c r="A131" s="31"/>
      <c r="B131" s="18"/>
      <c r="E131" s="32"/>
      <c r="F131" s="32"/>
      <c r="G131" s="32"/>
      <c r="H131" s="32"/>
      <c r="I131" s="14"/>
    </row>
    <row r="132">
      <c r="A132" s="31"/>
      <c r="B132" s="18"/>
      <c r="E132" s="32"/>
      <c r="F132" s="32"/>
      <c r="G132" s="32"/>
      <c r="H132" s="32"/>
      <c r="I132" s="14"/>
    </row>
    <row r="133">
      <c r="A133" s="31"/>
      <c r="B133" s="18"/>
      <c r="E133" s="32"/>
      <c r="F133" s="32"/>
      <c r="G133" s="32"/>
      <c r="H133" s="32"/>
      <c r="I133" s="14"/>
    </row>
    <row r="134">
      <c r="A134" s="31"/>
      <c r="B134" s="18"/>
      <c r="E134" s="32"/>
      <c r="F134" s="32"/>
      <c r="G134" s="32"/>
      <c r="H134" s="32"/>
      <c r="I134" s="14"/>
    </row>
    <row r="135">
      <c r="A135" s="31"/>
      <c r="B135" s="18"/>
      <c r="E135" s="32"/>
      <c r="F135" s="32"/>
      <c r="G135" s="32"/>
      <c r="H135" s="32"/>
      <c r="I135" s="14"/>
    </row>
    <row r="136">
      <c r="A136" s="31"/>
      <c r="B136" s="18"/>
      <c r="E136" s="32"/>
      <c r="F136" s="32"/>
      <c r="G136" s="32"/>
      <c r="H136" s="32"/>
      <c r="I136" s="14"/>
    </row>
    <row r="137">
      <c r="A137" s="31"/>
      <c r="B137" s="18"/>
      <c r="E137" s="32"/>
      <c r="F137" s="32"/>
      <c r="G137" s="32"/>
      <c r="H137" s="32"/>
      <c r="I137" s="14"/>
    </row>
    <row r="138">
      <c r="A138" s="31"/>
      <c r="B138" s="18"/>
      <c r="E138" s="32"/>
      <c r="F138" s="32"/>
      <c r="G138" s="32"/>
      <c r="H138" s="32"/>
      <c r="I138" s="14"/>
    </row>
    <row r="139">
      <c r="A139" s="31"/>
      <c r="B139" s="18"/>
      <c r="E139" s="32"/>
      <c r="F139" s="32"/>
      <c r="G139" s="32"/>
      <c r="H139" s="32"/>
      <c r="I139" s="14"/>
    </row>
    <row r="140">
      <c r="A140" s="31"/>
      <c r="B140" s="18"/>
      <c r="E140" s="32"/>
      <c r="F140" s="32"/>
      <c r="G140" s="32"/>
      <c r="H140" s="32"/>
      <c r="I140" s="14"/>
    </row>
    <row r="141">
      <c r="A141" s="31"/>
      <c r="B141" s="18"/>
      <c r="E141" s="32"/>
      <c r="F141" s="32"/>
      <c r="G141" s="32"/>
      <c r="H141" s="32"/>
      <c r="I141" s="14"/>
    </row>
    <row r="142">
      <c r="A142" s="31"/>
      <c r="B142" s="18"/>
      <c r="E142" s="32"/>
      <c r="F142" s="32"/>
      <c r="G142" s="32"/>
      <c r="H142" s="32"/>
      <c r="I142" s="14"/>
    </row>
    <row r="143">
      <c r="A143" s="31"/>
      <c r="B143" s="18"/>
      <c r="E143" s="32"/>
      <c r="F143" s="32"/>
      <c r="G143" s="32"/>
      <c r="H143" s="32"/>
      <c r="I143" s="14"/>
    </row>
    <row r="144">
      <c r="A144" s="31"/>
      <c r="B144" s="18"/>
      <c r="E144" s="32"/>
      <c r="F144" s="32"/>
      <c r="G144" s="32"/>
      <c r="H144" s="32"/>
      <c r="I144" s="14"/>
    </row>
    <row r="145">
      <c r="A145" s="31"/>
      <c r="B145" s="18"/>
      <c r="E145" s="32"/>
      <c r="F145" s="32"/>
      <c r="G145" s="32"/>
      <c r="H145" s="32"/>
      <c r="I145" s="14"/>
    </row>
    <row r="146">
      <c r="A146" s="31"/>
      <c r="B146" s="18"/>
      <c r="E146" s="32"/>
      <c r="F146" s="32"/>
      <c r="G146" s="32"/>
      <c r="H146" s="32"/>
      <c r="I146" s="14"/>
    </row>
    <row r="147">
      <c r="A147" s="31"/>
      <c r="B147" s="18"/>
      <c r="E147" s="32"/>
      <c r="F147" s="32"/>
      <c r="G147" s="32"/>
      <c r="H147" s="32"/>
      <c r="I147" s="14"/>
    </row>
    <row r="148">
      <c r="A148" s="31"/>
      <c r="B148" s="18"/>
      <c r="E148" s="32"/>
      <c r="F148" s="32"/>
      <c r="G148" s="32"/>
      <c r="H148" s="32"/>
      <c r="I148" s="14"/>
    </row>
    <row r="149">
      <c r="A149" s="31"/>
      <c r="B149" s="18"/>
      <c r="E149" s="32"/>
      <c r="F149" s="32"/>
      <c r="G149" s="32"/>
      <c r="H149" s="32"/>
      <c r="I149" s="14"/>
    </row>
    <row r="150">
      <c r="A150" s="31"/>
      <c r="B150" s="18"/>
      <c r="E150" s="32"/>
      <c r="F150" s="32"/>
      <c r="G150" s="32"/>
      <c r="H150" s="32"/>
      <c r="I150" s="14"/>
    </row>
    <row r="151">
      <c r="A151" s="31"/>
      <c r="B151" s="18"/>
      <c r="E151" s="32"/>
      <c r="F151" s="32"/>
      <c r="G151" s="32"/>
      <c r="H151" s="32"/>
      <c r="I151" s="14"/>
    </row>
    <row r="152">
      <c r="A152" s="31"/>
      <c r="B152" s="18"/>
      <c r="E152" s="32"/>
      <c r="F152" s="32"/>
      <c r="G152" s="32"/>
      <c r="H152" s="32"/>
      <c r="I152" s="14"/>
    </row>
    <row r="153">
      <c r="A153" s="31"/>
      <c r="B153" s="18"/>
      <c r="E153" s="32"/>
      <c r="F153" s="32"/>
      <c r="G153" s="32"/>
      <c r="H153" s="32"/>
      <c r="I153" s="14"/>
    </row>
    <row r="154">
      <c r="A154" s="31"/>
      <c r="B154" s="18"/>
      <c r="E154" s="32"/>
      <c r="F154" s="32"/>
      <c r="G154" s="32"/>
      <c r="H154" s="32"/>
      <c r="I154" s="14"/>
    </row>
    <row r="155">
      <c r="A155" s="31"/>
      <c r="B155" s="18"/>
      <c r="E155" s="32"/>
      <c r="F155" s="32"/>
      <c r="G155" s="32"/>
      <c r="H155" s="32"/>
      <c r="I155" s="14"/>
    </row>
    <row r="156">
      <c r="A156" s="31"/>
      <c r="B156" s="18"/>
      <c r="E156" s="32"/>
      <c r="F156" s="32"/>
      <c r="G156" s="32"/>
      <c r="H156" s="32"/>
      <c r="I156" s="14"/>
    </row>
    <row r="157">
      <c r="A157" s="31"/>
      <c r="B157" s="18"/>
      <c r="E157" s="32"/>
      <c r="F157" s="32"/>
      <c r="G157" s="32"/>
      <c r="H157" s="32"/>
      <c r="I157" s="14"/>
    </row>
    <row r="158">
      <c r="A158" s="31"/>
      <c r="B158" s="18"/>
      <c r="E158" s="32"/>
      <c r="F158" s="32"/>
      <c r="G158" s="32"/>
      <c r="H158" s="32"/>
      <c r="I158" s="14"/>
    </row>
    <row r="159">
      <c r="A159" s="31"/>
      <c r="B159" s="18"/>
      <c r="E159" s="32"/>
      <c r="F159" s="32"/>
      <c r="G159" s="32"/>
      <c r="H159" s="32"/>
      <c r="I159" s="14"/>
    </row>
    <row r="160">
      <c r="A160" s="31"/>
      <c r="B160" s="18"/>
      <c r="E160" s="32"/>
      <c r="F160" s="32"/>
      <c r="G160" s="32"/>
      <c r="H160" s="32"/>
      <c r="I160" s="14"/>
    </row>
    <row r="161">
      <c r="A161" s="31"/>
      <c r="B161" s="18"/>
      <c r="E161" s="32"/>
      <c r="F161" s="32"/>
      <c r="G161" s="32"/>
      <c r="H161" s="32"/>
      <c r="I161" s="14"/>
    </row>
    <row r="162">
      <c r="A162" s="31"/>
      <c r="B162" s="18"/>
      <c r="E162" s="32"/>
      <c r="F162" s="32"/>
      <c r="G162" s="32"/>
      <c r="H162" s="32"/>
      <c r="I162" s="14"/>
    </row>
    <row r="163">
      <c r="A163" s="31"/>
      <c r="B163" s="18"/>
      <c r="E163" s="32"/>
      <c r="F163" s="32"/>
      <c r="G163" s="32"/>
      <c r="H163" s="32"/>
      <c r="I163" s="14"/>
    </row>
    <row r="164">
      <c r="A164" s="31"/>
      <c r="B164" s="18"/>
      <c r="E164" s="32"/>
      <c r="F164" s="32"/>
      <c r="G164" s="32"/>
      <c r="H164" s="32"/>
      <c r="I164" s="14"/>
    </row>
    <row r="165">
      <c r="A165" s="31"/>
      <c r="B165" s="18"/>
      <c r="E165" s="32"/>
      <c r="F165" s="32"/>
      <c r="G165" s="32"/>
      <c r="H165" s="32"/>
      <c r="I165" s="14"/>
    </row>
    <row r="166">
      <c r="A166" s="31"/>
      <c r="B166" s="18"/>
      <c r="E166" s="32"/>
      <c r="F166" s="32"/>
      <c r="G166" s="32"/>
      <c r="H166" s="32"/>
      <c r="I166" s="14"/>
    </row>
    <row r="167">
      <c r="A167" s="31"/>
      <c r="B167" s="18"/>
      <c r="E167" s="32"/>
      <c r="F167" s="32"/>
      <c r="G167" s="32"/>
      <c r="H167" s="32"/>
      <c r="I167" s="14"/>
    </row>
    <row r="168">
      <c r="A168" s="31"/>
      <c r="B168" s="18"/>
      <c r="E168" s="32"/>
      <c r="F168" s="32"/>
      <c r="G168" s="32"/>
      <c r="H168" s="32"/>
      <c r="I168" s="14"/>
    </row>
    <row r="169">
      <c r="A169" s="31"/>
      <c r="B169" s="18"/>
      <c r="E169" s="32"/>
      <c r="F169" s="32"/>
      <c r="G169" s="32"/>
      <c r="H169" s="32"/>
      <c r="I169" s="14"/>
    </row>
    <row r="170">
      <c r="A170" s="31"/>
      <c r="B170" s="18"/>
      <c r="E170" s="32"/>
      <c r="F170" s="32"/>
      <c r="G170" s="32"/>
      <c r="H170" s="32"/>
      <c r="I170" s="14"/>
    </row>
    <row r="171">
      <c r="A171" s="31"/>
      <c r="B171" s="18"/>
      <c r="E171" s="32"/>
      <c r="F171" s="32"/>
      <c r="G171" s="32"/>
      <c r="H171" s="32"/>
      <c r="I171" s="14"/>
    </row>
    <row r="172">
      <c r="A172" s="31"/>
      <c r="B172" s="18"/>
      <c r="E172" s="32"/>
      <c r="F172" s="32"/>
      <c r="G172" s="32"/>
      <c r="H172" s="32"/>
      <c r="I172" s="14"/>
    </row>
    <row r="173">
      <c r="A173" s="31"/>
      <c r="B173" s="18"/>
      <c r="E173" s="32"/>
      <c r="F173" s="32"/>
      <c r="G173" s="32"/>
      <c r="H173" s="32"/>
      <c r="I173" s="14"/>
    </row>
    <row r="174">
      <c r="A174" s="31"/>
      <c r="B174" s="18"/>
      <c r="E174" s="32"/>
      <c r="F174" s="32"/>
      <c r="G174" s="32"/>
      <c r="H174" s="32"/>
      <c r="I174" s="14"/>
    </row>
    <row r="175">
      <c r="A175" s="31"/>
      <c r="B175" s="18"/>
      <c r="E175" s="32"/>
      <c r="F175" s="32"/>
      <c r="G175" s="32"/>
      <c r="H175" s="32"/>
      <c r="I175" s="14"/>
    </row>
    <row r="176">
      <c r="A176" s="31"/>
      <c r="B176" s="18"/>
      <c r="E176" s="32"/>
      <c r="F176" s="32"/>
      <c r="G176" s="32"/>
      <c r="H176" s="32"/>
      <c r="I176" s="14"/>
    </row>
    <row r="177">
      <c r="A177" s="31"/>
      <c r="B177" s="18"/>
      <c r="E177" s="32"/>
      <c r="F177" s="32"/>
      <c r="G177" s="32"/>
      <c r="H177" s="32"/>
      <c r="I177" s="14"/>
    </row>
    <row r="178">
      <c r="A178" s="31"/>
      <c r="B178" s="18"/>
      <c r="E178" s="32"/>
      <c r="F178" s="32"/>
      <c r="G178" s="32"/>
      <c r="H178" s="32"/>
      <c r="I178" s="14"/>
    </row>
    <row r="179">
      <c r="A179" s="31"/>
      <c r="B179" s="18"/>
      <c r="E179" s="32"/>
      <c r="F179" s="32"/>
      <c r="G179" s="32"/>
      <c r="H179" s="32"/>
      <c r="I179" s="14"/>
    </row>
    <row r="180">
      <c r="A180" s="31"/>
      <c r="B180" s="18"/>
      <c r="E180" s="32"/>
      <c r="F180" s="32"/>
      <c r="G180" s="32"/>
      <c r="H180" s="32"/>
      <c r="I180" s="14"/>
    </row>
    <row r="181">
      <c r="A181" s="31"/>
      <c r="B181" s="18"/>
      <c r="E181" s="32"/>
      <c r="F181" s="32"/>
      <c r="G181" s="32"/>
      <c r="H181" s="32"/>
      <c r="I181" s="14"/>
    </row>
    <row r="182">
      <c r="A182" s="31"/>
      <c r="B182" s="18"/>
      <c r="E182" s="32"/>
      <c r="F182" s="32"/>
      <c r="G182" s="32"/>
      <c r="H182" s="32"/>
      <c r="I182" s="14"/>
    </row>
    <row r="183">
      <c r="A183" s="31"/>
      <c r="B183" s="18"/>
      <c r="E183" s="32"/>
      <c r="F183" s="32"/>
      <c r="G183" s="32"/>
      <c r="H183" s="32"/>
      <c r="I183" s="14"/>
    </row>
    <row r="184">
      <c r="A184" s="31"/>
      <c r="B184" s="18"/>
      <c r="E184" s="32"/>
      <c r="F184" s="32"/>
      <c r="G184" s="32"/>
      <c r="H184" s="32"/>
      <c r="I184" s="14"/>
    </row>
    <row r="185">
      <c r="A185" s="31"/>
      <c r="B185" s="18"/>
      <c r="E185" s="32"/>
      <c r="F185" s="32"/>
      <c r="G185" s="32"/>
      <c r="H185" s="32"/>
      <c r="I185" s="14"/>
    </row>
    <row r="186">
      <c r="A186" s="31"/>
      <c r="B186" s="18"/>
      <c r="E186" s="32"/>
      <c r="F186" s="32"/>
      <c r="G186" s="32"/>
      <c r="H186" s="32"/>
      <c r="I186" s="14"/>
    </row>
    <row r="187">
      <c r="A187" s="31"/>
      <c r="B187" s="18"/>
      <c r="E187" s="32"/>
      <c r="F187" s="32"/>
      <c r="G187" s="32"/>
      <c r="H187" s="32"/>
      <c r="I187" s="14"/>
    </row>
    <row r="188">
      <c r="A188" s="31"/>
      <c r="B188" s="18"/>
      <c r="E188" s="32"/>
      <c r="F188" s="32"/>
      <c r="G188" s="32"/>
      <c r="H188" s="32"/>
      <c r="I188" s="14"/>
    </row>
    <row r="189">
      <c r="A189" s="31"/>
      <c r="B189" s="18"/>
      <c r="E189" s="32"/>
      <c r="F189" s="32"/>
      <c r="G189" s="32"/>
      <c r="H189" s="32"/>
      <c r="I189" s="14"/>
    </row>
    <row r="190">
      <c r="A190" s="31"/>
      <c r="B190" s="18"/>
      <c r="E190" s="32"/>
      <c r="F190" s="32"/>
      <c r="G190" s="32"/>
      <c r="H190" s="32"/>
      <c r="I190" s="14"/>
    </row>
    <row r="191">
      <c r="A191" s="31"/>
      <c r="B191" s="18"/>
      <c r="E191" s="32"/>
      <c r="F191" s="32"/>
      <c r="G191" s="32"/>
      <c r="H191" s="32"/>
      <c r="I191" s="14"/>
    </row>
    <row r="192">
      <c r="A192" s="31"/>
      <c r="B192" s="18"/>
      <c r="E192" s="32"/>
      <c r="F192" s="32"/>
      <c r="G192" s="32"/>
      <c r="H192" s="32"/>
      <c r="I192" s="14"/>
    </row>
    <row r="193">
      <c r="A193" s="31"/>
      <c r="B193" s="18"/>
      <c r="E193" s="32"/>
      <c r="F193" s="32"/>
      <c r="G193" s="32"/>
      <c r="H193" s="32"/>
      <c r="I193" s="14"/>
    </row>
    <row r="194">
      <c r="A194" s="31"/>
      <c r="B194" s="18"/>
      <c r="E194" s="32"/>
      <c r="F194" s="32"/>
      <c r="G194" s="32"/>
      <c r="H194" s="32"/>
      <c r="I194" s="14"/>
    </row>
    <row r="195">
      <c r="A195" s="31"/>
      <c r="B195" s="18"/>
      <c r="E195" s="32"/>
      <c r="F195" s="32"/>
      <c r="G195" s="32"/>
      <c r="H195" s="32"/>
      <c r="I195" s="14"/>
    </row>
    <row r="196">
      <c r="A196" s="31"/>
      <c r="B196" s="18"/>
      <c r="E196" s="32"/>
      <c r="F196" s="32"/>
      <c r="G196" s="32"/>
      <c r="H196" s="32"/>
      <c r="I196" s="14"/>
    </row>
    <row r="197">
      <c r="A197" s="31"/>
      <c r="B197" s="18"/>
      <c r="E197" s="32"/>
      <c r="F197" s="32"/>
      <c r="G197" s="32"/>
      <c r="H197" s="32"/>
      <c r="I197" s="14"/>
    </row>
    <row r="198">
      <c r="A198" s="31"/>
      <c r="B198" s="18"/>
      <c r="E198" s="32"/>
      <c r="F198" s="32"/>
      <c r="G198" s="32"/>
      <c r="H198" s="32"/>
      <c r="I198" s="14"/>
    </row>
    <row r="199">
      <c r="A199" s="31"/>
      <c r="B199" s="18"/>
      <c r="E199" s="32"/>
      <c r="F199" s="32"/>
      <c r="G199" s="32"/>
      <c r="H199" s="32"/>
      <c r="I199" s="14"/>
    </row>
    <row r="200">
      <c r="A200" s="31"/>
      <c r="B200" s="18"/>
      <c r="E200" s="32"/>
      <c r="F200" s="32"/>
      <c r="G200" s="32"/>
      <c r="H200" s="32"/>
      <c r="I200" s="14"/>
    </row>
    <row r="201">
      <c r="A201" s="31"/>
      <c r="B201" s="18"/>
      <c r="E201" s="32"/>
      <c r="F201" s="32"/>
      <c r="G201" s="32"/>
      <c r="H201" s="32"/>
      <c r="I201" s="14"/>
    </row>
    <row r="202">
      <c r="A202" s="31"/>
      <c r="B202" s="18"/>
      <c r="E202" s="32"/>
      <c r="F202" s="32"/>
      <c r="G202" s="32"/>
      <c r="H202" s="32"/>
      <c r="I202" s="14"/>
    </row>
    <row r="203">
      <c r="A203" s="31"/>
      <c r="B203" s="18"/>
      <c r="E203" s="32"/>
      <c r="F203" s="32"/>
      <c r="G203" s="32"/>
      <c r="H203" s="32"/>
      <c r="I203" s="14"/>
    </row>
    <row r="204">
      <c r="A204" s="31"/>
      <c r="B204" s="18"/>
      <c r="E204" s="32"/>
      <c r="F204" s="32"/>
      <c r="G204" s="32"/>
      <c r="H204" s="32"/>
      <c r="I204" s="14"/>
    </row>
    <row r="205">
      <c r="A205" s="31"/>
      <c r="B205" s="18"/>
      <c r="E205" s="32"/>
      <c r="F205" s="32"/>
      <c r="G205" s="32"/>
      <c r="H205" s="32"/>
      <c r="I205" s="14"/>
    </row>
    <row r="206">
      <c r="A206" s="31"/>
      <c r="B206" s="18"/>
      <c r="E206" s="32"/>
      <c r="F206" s="32"/>
      <c r="G206" s="32"/>
      <c r="H206" s="32"/>
      <c r="I206" s="14"/>
    </row>
    <row r="207">
      <c r="A207" s="31"/>
      <c r="B207" s="18"/>
      <c r="E207" s="32"/>
      <c r="F207" s="32"/>
      <c r="G207" s="32"/>
      <c r="H207" s="32"/>
      <c r="I207" s="14"/>
    </row>
    <row r="208">
      <c r="A208" s="31"/>
      <c r="B208" s="18"/>
      <c r="E208" s="32"/>
      <c r="F208" s="32"/>
      <c r="G208" s="32"/>
      <c r="H208" s="32"/>
      <c r="I208" s="14"/>
    </row>
    <row r="209">
      <c r="A209" s="31"/>
      <c r="B209" s="18"/>
      <c r="E209" s="32"/>
      <c r="F209" s="32"/>
      <c r="G209" s="32"/>
      <c r="H209" s="32"/>
      <c r="I209" s="14"/>
    </row>
    <row r="210">
      <c r="A210" s="31"/>
      <c r="B210" s="18"/>
      <c r="E210" s="32"/>
      <c r="F210" s="32"/>
      <c r="G210" s="32"/>
      <c r="H210" s="32"/>
      <c r="I210" s="14"/>
    </row>
    <row r="211">
      <c r="A211" s="31"/>
      <c r="B211" s="18"/>
      <c r="E211" s="32"/>
      <c r="F211" s="32"/>
      <c r="G211" s="32"/>
      <c r="H211" s="32"/>
      <c r="I211" s="14"/>
    </row>
    <row r="212">
      <c r="A212" s="31"/>
      <c r="B212" s="18"/>
      <c r="E212" s="32"/>
      <c r="F212" s="32"/>
      <c r="G212" s="32"/>
      <c r="H212" s="32"/>
      <c r="I212" s="14"/>
    </row>
    <row r="213">
      <c r="A213" s="31"/>
      <c r="B213" s="18"/>
      <c r="E213" s="32"/>
      <c r="F213" s="32"/>
      <c r="G213" s="32"/>
      <c r="H213" s="32"/>
      <c r="I213" s="14"/>
    </row>
    <row r="214">
      <c r="A214" s="31"/>
      <c r="B214" s="18"/>
      <c r="E214" s="32"/>
      <c r="F214" s="32"/>
      <c r="G214" s="32"/>
      <c r="H214" s="32"/>
      <c r="I214" s="14"/>
    </row>
    <row r="215">
      <c r="A215" s="31"/>
      <c r="B215" s="18"/>
      <c r="E215" s="32"/>
      <c r="F215" s="32"/>
      <c r="G215" s="32"/>
      <c r="H215" s="32"/>
      <c r="I215" s="14"/>
    </row>
    <row r="216">
      <c r="A216" s="31"/>
      <c r="B216" s="18"/>
      <c r="E216" s="32"/>
      <c r="F216" s="32"/>
      <c r="G216" s="32"/>
      <c r="H216" s="32"/>
      <c r="I216" s="14"/>
    </row>
    <row r="217">
      <c r="A217" s="31"/>
      <c r="B217" s="18"/>
      <c r="E217" s="32"/>
      <c r="F217" s="32"/>
      <c r="G217" s="32"/>
      <c r="H217" s="32"/>
      <c r="I217" s="14"/>
    </row>
    <row r="218">
      <c r="A218" s="31"/>
      <c r="B218" s="18"/>
      <c r="E218" s="32"/>
      <c r="F218" s="32"/>
      <c r="G218" s="32"/>
      <c r="H218" s="32"/>
      <c r="I218" s="14"/>
    </row>
    <row r="219">
      <c r="A219" s="31"/>
      <c r="B219" s="18"/>
      <c r="E219" s="32"/>
      <c r="F219" s="32"/>
      <c r="G219" s="32"/>
      <c r="H219" s="32"/>
      <c r="I219" s="14"/>
    </row>
    <row r="220">
      <c r="A220" s="31"/>
      <c r="B220" s="18"/>
      <c r="E220" s="32"/>
      <c r="F220" s="32"/>
      <c r="G220" s="32"/>
      <c r="H220" s="32"/>
      <c r="I220" s="14"/>
    </row>
    <row r="221">
      <c r="A221" s="31"/>
      <c r="B221" s="18"/>
      <c r="E221" s="32"/>
      <c r="F221" s="32"/>
      <c r="G221" s="32"/>
      <c r="H221" s="32"/>
      <c r="I221" s="14"/>
    </row>
    <row r="222">
      <c r="A222" s="31"/>
      <c r="B222" s="18"/>
      <c r="E222" s="32"/>
      <c r="F222" s="32"/>
      <c r="G222" s="32"/>
      <c r="H222" s="32"/>
      <c r="I222" s="14"/>
    </row>
    <row r="223">
      <c r="A223" s="31"/>
      <c r="B223" s="18"/>
      <c r="E223" s="32"/>
      <c r="F223" s="32"/>
      <c r="G223" s="32"/>
      <c r="H223" s="32"/>
      <c r="I223" s="14"/>
    </row>
    <row r="224">
      <c r="A224" s="31"/>
      <c r="B224" s="18"/>
      <c r="E224" s="32"/>
      <c r="F224" s="32"/>
      <c r="G224" s="32"/>
      <c r="H224" s="32"/>
      <c r="I224" s="14"/>
    </row>
    <row r="225">
      <c r="A225" s="31"/>
      <c r="B225" s="18"/>
      <c r="E225" s="32"/>
      <c r="F225" s="32"/>
      <c r="G225" s="32"/>
      <c r="H225" s="32"/>
      <c r="I225" s="14"/>
    </row>
    <row r="226">
      <c r="A226" s="31"/>
      <c r="B226" s="18"/>
      <c r="E226" s="32"/>
      <c r="F226" s="32"/>
      <c r="G226" s="32"/>
      <c r="H226" s="32"/>
      <c r="I226" s="14"/>
    </row>
    <row r="227">
      <c r="A227" s="31"/>
      <c r="B227" s="18"/>
      <c r="E227" s="32"/>
      <c r="F227" s="32"/>
      <c r="G227" s="32"/>
      <c r="H227" s="32"/>
      <c r="I227" s="14"/>
    </row>
    <row r="228">
      <c r="A228" s="31"/>
      <c r="B228" s="18"/>
      <c r="E228" s="32"/>
      <c r="F228" s="32"/>
      <c r="G228" s="32"/>
      <c r="H228" s="32"/>
      <c r="I228" s="14"/>
    </row>
    <row r="229">
      <c r="A229" s="31"/>
      <c r="B229" s="18"/>
      <c r="E229" s="32"/>
      <c r="F229" s="32"/>
      <c r="G229" s="32"/>
      <c r="H229" s="32"/>
      <c r="I229" s="14"/>
    </row>
    <row r="230">
      <c r="A230" s="31"/>
      <c r="B230" s="18"/>
      <c r="E230" s="32"/>
      <c r="F230" s="32"/>
      <c r="G230" s="32"/>
      <c r="H230" s="32"/>
      <c r="I230" s="14"/>
    </row>
    <row r="231">
      <c r="A231" s="31"/>
      <c r="B231" s="18"/>
      <c r="E231" s="32"/>
      <c r="F231" s="32"/>
      <c r="G231" s="32"/>
      <c r="H231" s="32"/>
      <c r="I231" s="14"/>
    </row>
    <row r="232">
      <c r="A232" s="31"/>
      <c r="B232" s="18"/>
      <c r="E232" s="32"/>
      <c r="F232" s="32"/>
      <c r="G232" s="32"/>
      <c r="H232" s="32"/>
      <c r="I232" s="14"/>
    </row>
    <row r="233">
      <c r="A233" s="31"/>
      <c r="B233" s="18"/>
      <c r="E233" s="32"/>
      <c r="F233" s="32"/>
      <c r="G233" s="32"/>
      <c r="H233" s="32"/>
      <c r="I233" s="14"/>
    </row>
    <row r="234">
      <c r="A234" s="31"/>
      <c r="B234" s="18"/>
      <c r="E234" s="32"/>
      <c r="F234" s="32"/>
      <c r="G234" s="32"/>
      <c r="H234" s="32"/>
      <c r="I234" s="14"/>
    </row>
    <row r="235">
      <c r="A235" s="31"/>
      <c r="B235" s="18"/>
      <c r="E235" s="32"/>
      <c r="F235" s="32"/>
      <c r="G235" s="32"/>
      <c r="H235" s="32"/>
      <c r="I235" s="14"/>
    </row>
    <row r="236">
      <c r="A236" s="31"/>
      <c r="B236" s="18"/>
      <c r="E236" s="32"/>
      <c r="F236" s="32"/>
      <c r="G236" s="32"/>
      <c r="H236" s="32"/>
      <c r="I236" s="14"/>
    </row>
    <row r="237">
      <c r="A237" s="31"/>
      <c r="B237" s="18"/>
      <c r="E237" s="32"/>
      <c r="F237" s="32"/>
      <c r="G237" s="32"/>
      <c r="H237" s="32"/>
      <c r="I237" s="14"/>
    </row>
    <row r="238">
      <c r="A238" s="31"/>
      <c r="B238" s="18"/>
      <c r="E238" s="32"/>
      <c r="F238" s="32"/>
      <c r="G238" s="32"/>
      <c r="H238" s="32"/>
      <c r="I238" s="14"/>
    </row>
    <row r="239">
      <c r="A239" s="31"/>
      <c r="B239" s="18"/>
      <c r="E239" s="32"/>
      <c r="F239" s="32"/>
      <c r="G239" s="32"/>
      <c r="H239" s="32"/>
      <c r="I239" s="14"/>
    </row>
    <row r="240">
      <c r="A240" s="31"/>
      <c r="B240" s="18"/>
      <c r="E240" s="32"/>
      <c r="F240" s="32"/>
      <c r="G240" s="32"/>
      <c r="H240" s="32"/>
      <c r="I240" s="14"/>
    </row>
    <row r="241">
      <c r="A241" s="31"/>
      <c r="B241" s="18"/>
      <c r="E241" s="32"/>
      <c r="F241" s="32"/>
      <c r="G241" s="32"/>
      <c r="H241" s="32"/>
      <c r="I241" s="14"/>
    </row>
    <row r="242">
      <c r="A242" s="31"/>
      <c r="B242" s="18"/>
      <c r="E242" s="32"/>
      <c r="F242" s="32"/>
      <c r="G242" s="32"/>
      <c r="H242" s="32"/>
      <c r="I242" s="14"/>
    </row>
    <row r="243">
      <c r="A243" s="31"/>
      <c r="B243" s="18"/>
      <c r="E243" s="32"/>
      <c r="F243" s="32"/>
      <c r="G243" s="32"/>
      <c r="H243" s="32"/>
      <c r="I243" s="14"/>
    </row>
    <row r="244">
      <c r="A244" s="31"/>
      <c r="B244" s="18"/>
      <c r="E244" s="32"/>
      <c r="F244" s="32"/>
      <c r="G244" s="32"/>
      <c r="H244" s="32"/>
      <c r="I244" s="14"/>
    </row>
    <row r="245">
      <c r="A245" s="31"/>
      <c r="B245" s="18"/>
      <c r="E245" s="32"/>
      <c r="F245" s="32"/>
      <c r="G245" s="32"/>
      <c r="H245" s="32"/>
      <c r="I245" s="14"/>
    </row>
    <row r="246">
      <c r="A246" s="31"/>
      <c r="B246" s="18"/>
      <c r="E246" s="32"/>
      <c r="F246" s="32"/>
      <c r="G246" s="32"/>
      <c r="H246" s="32"/>
      <c r="I246" s="14"/>
    </row>
    <row r="247">
      <c r="A247" s="31"/>
      <c r="B247" s="18"/>
      <c r="E247" s="32"/>
      <c r="F247" s="32"/>
      <c r="G247" s="32"/>
      <c r="H247" s="32"/>
      <c r="I247" s="14"/>
    </row>
    <row r="248">
      <c r="A248" s="31"/>
      <c r="B248" s="18"/>
      <c r="E248" s="32"/>
      <c r="F248" s="32"/>
      <c r="G248" s="32"/>
      <c r="H248" s="32"/>
      <c r="I248" s="14"/>
    </row>
    <row r="249">
      <c r="A249" s="31"/>
      <c r="B249" s="18"/>
      <c r="E249" s="32"/>
      <c r="F249" s="32"/>
      <c r="G249" s="32"/>
      <c r="H249" s="32"/>
      <c r="I249" s="14"/>
    </row>
    <row r="250">
      <c r="A250" s="31"/>
      <c r="B250" s="18"/>
      <c r="E250" s="32"/>
      <c r="F250" s="32"/>
      <c r="G250" s="32"/>
      <c r="H250" s="32"/>
      <c r="I250" s="14"/>
    </row>
    <row r="251">
      <c r="A251" s="31"/>
      <c r="B251" s="18"/>
      <c r="E251" s="32"/>
      <c r="F251" s="32"/>
      <c r="G251" s="32"/>
      <c r="H251" s="32"/>
      <c r="I251" s="14"/>
    </row>
    <row r="252">
      <c r="A252" s="31"/>
      <c r="B252" s="18"/>
      <c r="E252" s="32"/>
      <c r="F252" s="32"/>
      <c r="G252" s="32"/>
      <c r="H252" s="32"/>
      <c r="I252" s="14"/>
    </row>
    <row r="253">
      <c r="A253" s="31"/>
      <c r="B253" s="18"/>
      <c r="E253" s="32"/>
      <c r="F253" s="32"/>
      <c r="G253" s="32"/>
      <c r="H253" s="32"/>
      <c r="I253" s="14"/>
    </row>
    <row r="254">
      <c r="A254" s="31"/>
      <c r="B254" s="18"/>
      <c r="E254" s="32"/>
      <c r="F254" s="32"/>
      <c r="G254" s="32"/>
      <c r="H254" s="32"/>
      <c r="I254" s="14"/>
    </row>
    <row r="255">
      <c r="A255" s="31"/>
      <c r="B255" s="18"/>
      <c r="E255" s="32"/>
      <c r="F255" s="32"/>
      <c r="G255" s="32"/>
      <c r="H255" s="32"/>
      <c r="I255" s="14"/>
    </row>
    <row r="256">
      <c r="A256" s="31"/>
      <c r="B256" s="18"/>
      <c r="E256" s="32"/>
      <c r="F256" s="32"/>
      <c r="G256" s="32"/>
      <c r="H256" s="32"/>
      <c r="I256" s="14"/>
    </row>
    <row r="257">
      <c r="A257" s="31"/>
      <c r="B257" s="18"/>
      <c r="E257" s="32"/>
      <c r="F257" s="32"/>
      <c r="G257" s="32"/>
      <c r="H257" s="32"/>
      <c r="I257" s="14"/>
    </row>
    <row r="258">
      <c r="A258" s="31"/>
      <c r="B258" s="18"/>
      <c r="E258" s="32"/>
      <c r="F258" s="32"/>
      <c r="G258" s="32"/>
      <c r="H258" s="32"/>
      <c r="I258" s="14"/>
    </row>
    <row r="259">
      <c r="A259" s="31"/>
      <c r="B259" s="18"/>
      <c r="E259" s="32"/>
      <c r="F259" s="32"/>
      <c r="G259" s="32"/>
      <c r="H259" s="32"/>
      <c r="I259" s="14"/>
    </row>
    <row r="260">
      <c r="A260" s="31"/>
      <c r="B260" s="18"/>
      <c r="E260" s="32"/>
      <c r="F260" s="32"/>
      <c r="G260" s="32"/>
      <c r="H260" s="32"/>
      <c r="I260" s="14"/>
    </row>
    <row r="261">
      <c r="A261" s="31"/>
      <c r="B261" s="18"/>
      <c r="E261" s="32"/>
      <c r="F261" s="32"/>
      <c r="G261" s="32"/>
      <c r="H261" s="32"/>
      <c r="I261" s="14"/>
    </row>
    <row r="262">
      <c r="A262" s="31"/>
      <c r="B262" s="18"/>
      <c r="E262" s="32"/>
      <c r="F262" s="32"/>
      <c r="G262" s="32"/>
      <c r="H262" s="32"/>
      <c r="I262" s="14"/>
    </row>
    <row r="263">
      <c r="A263" s="31"/>
      <c r="B263" s="18"/>
      <c r="E263" s="32"/>
      <c r="F263" s="32"/>
      <c r="G263" s="32"/>
      <c r="H263" s="32"/>
      <c r="I263" s="14"/>
    </row>
    <row r="264">
      <c r="A264" s="31"/>
      <c r="B264" s="18"/>
      <c r="E264" s="32"/>
      <c r="F264" s="32"/>
      <c r="G264" s="32"/>
      <c r="H264" s="32"/>
      <c r="I264" s="14"/>
    </row>
    <row r="265">
      <c r="A265" s="31"/>
      <c r="B265" s="18"/>
      <c r="E265" s="32"/>
      <c r="F265" s="32"/>
      <c r="G265" s="32"/>
      <c r="H265" s="32"/>
      <c r="I265" s="14"/>
    </row>
    <row r="266">
      <c r="A266" s="31"/>
      <c r="B266" s="18"/>
      <c r="E266" s="32"/>
      <c r="F266" s="32"/>
      <c r="G266" s="32"/>
      <c r="H266" s="32"/>
      <c r="I266" s="14"/>
    </row>
    <row r="267">
      <c r="A267" s="31"/>
      <c r="B267" s="18"/>
      <c r="E267" s="32"/>
      <c r="F267" s="32"/>
      <c r="G267" s="32"/>
      <c r="H267" s="32"/>
      <c r="I267" s="14"/>
    </row>
    <row r="268">
      <c r="A268" s="31"/>
      <c r="B268" s="18"/>
      <c r="E268" s="32"/>
      <c r="F268" s="32"/>
      <c r="G268" s="32"/>
      <c r="H268" s="32"/>
      <c r="I268" s="14"/>
    </row>
    <row r="269">
      <c r="A269" s="31"/>
      <c r="B269" s="18"/>
      <c r="E269" s="32"/>
      <c r="F269" s="32"/>
      <c r="G269" s="32"/>
      <c r="H269" s="32"/>
      <c r="I269" s="14"/>
    </row>
    <row r="270">
      <c r="A270" s="31"/>
      <c r="B270" s="18"/>
      <c r="E270" s="32"/>
      <c r="F270" s="32"/>
      <c r="G270" s="32"/>
      <c r="H270" s="32"/>
      <c r="I270" s="14"/>
    </row>
    <row r="271">
      <c r="A271" s="31"/>
      <c r="B271" s="18"/>
      <c r="E271" s="32"/>
      <c r="F271" s="32"/>
      <c r="G271" s="32"/>
      <c r="H271" s="32"/>
      <c r="I271" s="14"/>
    </row>
    <row r="272">
      <c r="A272" s="31"/>
      <c r="B272" s="18"/>
      <c r="E272" s="32"/>
      <c r="F272" s="32"/>
      <c r="G272" s="32"/>
      <c r="H272" s="32"/>
      <c r="I272" s="14"/>
    </row>
    <row r="273">
      <c r="A273" s="31"/>
      <c r="B273" s="18"/>
      <c r="E273" s="32"/>
      <c r="F273" s="32"/>
      <c r="G273" s="32"/>
      <c r="H273" s="32"/>
      <c r="I273" s="14"/>
    </row>
    <row r="274">
      <c r="A274" s="31"/>
      <c r="B274" s="18"/>
      <c r="E274" s="32"/>
      <c r="F274" s="32"/>
      <c r="G274" s="32"/>
      <c r="H274" s="32"/>
      <c r="I274" s="14"/>
    </row>
    <row r="275">
      <c r="A275" s="31"/>
      <c r="B275" s="18"/>
      <c r="E275" s="32"/>
      <c r="F275" s="32"/>
      <c r="G275" s="32"/>
      <c r="H275" s="32"/>
      <c r="I275" s="14"/>
    </row>
    <row r="276">
      <c r="A276" s="31"/>
      <c r="B276" s="18"/>
      <c r="E276" s="32"/>
      <c r="F276" s="32"/>
      <c r="G276" s="32"/>
      <c r="H276" s="32"/>
      <c r="I276" s="14"/>
    </row>
    <row r="277">
      <c r="A277" s="31"/>
      <c r="B277" s="18"/>
      <c r="E277" s="32"/>
      <c r="F277" s="32"/>
      <c r="G277" s="32"/>
      <c r="H277" s="32"/>
      <c r="I277" s="14"/>
    </row>
    <row r="278">
      <c r="A278" s="31"/>
      <c r="B278" s="18"/>
      <c r="E278" s="32"/>
      <c r="F278" s="32"/>
      <c r="G278" s="32"/>
      <c r="H278" s="32"/>
      <c r="I278" s="14"/>
    </row>
    <row r="279">
      <c r="A279" s="31"/>
      <c r="B279" s="18"/>
      <c r="E279" s="32"/>
      <c r="F279" s="32"/>
      <c r="G279" s="32"/>
      <c r="H279" s="32"/>
      <c r="I279" s="14"/>
    </row>
    <row r="280">
      <c r="A280" s="31"/>
      <c r="B280" s="18"/>
      <c r="E280" s="32"/>
      <c r="F280" s="32"/>
      <c r="G280" s="32"/>
      <c r="H280" s="32"/>
      <c r="I280" s="14"/>
    </row>
    <row r="281">
      <c r="A281" s="31"/>
      <c r="B281" s="18"/>
      <c r="E281" s="32"/>
      <c r="F281" s="32"/>
      <c r="G281" s="32"/>
      <c r="H281" s="32"/>
      <c r="I281" s="14"/>
    </row>
    <row r="282">
      <c r="A282" s="31"/>
      <c r="B282" s="18"/>
      <c r="E282" s="32"/>
      <c r="F282" s="32"/>
      <c r="G282" s="32"/>
      <c r="H282" s="32"/>
      <c r="I282" s="14"/>
    </row>
    <row r="283">
      <c r="A283" s="31"/>
      <c r="B283" s="18"/>
      <c r="E283" s="32"/>
      <c r="F283" s="32"/>
      <c r="G283" s="32"/>
      <c r="H283" s="32"/>
      <c r="I283" s="14"/>
    </row>
    <row r="284">
      <c r="A284" s="31"/>
      <c r="B284" s="18"/>
      <c r="E284" s="32"/>
      <c r="F284" s="32"/>
      <c r="G284" s="32"/>
      <c r="H284" s="32"/>
      <c r="I284" s="14"/>
    </row>
    <row r="285">
      <c r="A285" s="31"/>
      <c r="B285" s="18"/>
      <c r="E285" s="32"/>
      <c r="F285" s="32"/>
      <c r="G285" s="32"/>
      <c r="H285" s="32"/>
      <c r="I285" s="14"/>
    </row>
    <row r="286">
      <c r="A286" s="31"/>
      <c r="B286" s="18"/>
      <c r="E286" s="32"/>
      <c r="F286" s="32"/>
      <c r="G286" s="32"/>
      <c r="H286" s="32"/>
      <c r="I286" s="14"/>
    </row>
    <row r="287">
      <c r="A287" s="31"/>
      <c r="B287" s="18"/>
      <c r="E287" s="32"/>
      <c r="F287" s="32"/>
      <c r="G287" s="32"/>
      <c r="H287" s="32"/>
      <c r="I287" s="14"/>
    </row>
    <row r="288">
      <c r="A288" s="31"/>
      <c r="B288" s="18"/>
      <c r="E288" s="32"/>
      <c r="F288" s="32"/>
      <c r="G288" s="32"/>
      <c r="H288" s="32"/>
      <c r="I288" s="14"/>
    </row>
    <row r="289">
      <c r="A289" s="31"/>
      <c r="B289" s="18"/>
      <c r="E289" s="32"/>
      <c r="F289" s="32"/>
      <c r="G289" s="32"/>
      <c r="H289" s="32"/>
      <c r="I289" s="14"/>
    </row>
    <row r="290">
      <c r="A290" s="31"/>
      <c r="B290" s="18"/>
      <c r="E290" s="32"/>
      <c r="F290" s="32"/>
      <c r="G290" s="32"/>
      <c r="H290" s="32"/>
      <c r="I290" s="14"/>
    </row>
    <row r="291">
      <c r="A291" s="31"/>
      <c r="B291" s="18"/>
      <c r="E291" s="32"/>
      <c r="F291" s="32"/>
      <c r="G291" s="32"/>
      <c r="H291" s="32"/>
      <c r="I291" s="14"/>
    </row>
    <row r="292">
      <c r="A292" s="31"/>
      <c r="B292" s="18"/>
      <c r="E292" s="32"/>
      <c r="F292" s="32"/>
      <c r="G292" s="32"/>
      <c r="H292" s="32"/>
      <c r="I292" s="14"/>
    </row>
    <row r="293">
      <c r="A293" s="31"/>
      <c r="B293" s="18"/>
      <c r="E293" s="32"/>
      <c r="F293" s="32"/>
      <c r="G293" s="32"/>
      <c r="H293" s="32"/>
      <c r="I293" s="14"/>
    </row>
    <row r="294">
      <c r="A294" s="31"/>
      <c r="B294" s="18"/>
      <c r="E294" s="32"/>
      <c r="F294" s="32"/>
      <c r="G294" s="32"/>
      <c r="H294" s="32"/>
      <c r="I294" s="14"/>
    </row>
    <row r="295">
      <c r="A295" s="31"/>
      <c r="B295" s="18"/>
      <c r="E295" s="32"/>
      <c r="F295" s="32"/>
      <c r="G295" s="32"/>
      <c r="H295" s="32"/>
      <c r="I295" s="14"/>
    </row>
    <row r="296">
      <c r="A296" s="31"/>
      <c r="B296" s="18"/>
      <c r="E296" s="32"/>
      <c r="F296" s="32"/>
      <c r="G296" s="32"/>
      <c r="H296" s="32"/>
      <c r="I296" s="14"/>
    </row>
    <row r="297">
      <c r="A297" s="31"/>
      <c r="B297" s="18"/>
      <c r="E297" s="32"/>
      <c r="F297" s="32"/>
      <c r="G297" s="32"/>
      <c r="H297" s="32"/>
      <c r="I297" s="14"/>
    </row>
    <row r="298">
      <c r="A298" s="31"/>
      <c r="B298" s="18"/>
      <c r="E298" s="32"/>
      <c r="F298" s="32"/>
      <c r="G298" s="32"/>
      <c r="H298" s="32"/>
      <c r="I298" s="14"/>
    </row>
    <row r="299">
      <c r="A299" s="31"/>
      <c r="B299" s="18"/>
      <c r="E299" s="32"/>
      <c r="F299" s="32"/>
      <c r="G299" s="32"/>
      <c r="H299" s="32"/>
      <c r="I299" s="14"/>
    </row>
    <row r="300">
      <c r="A300" s="31"/>
      <c r="B300" s="18"/>
      <c r="E300" s="32"/>
      <c r="F300" s="32"/>
      <c r="G300" s="32"/>
      <c r="H300" s="32"/>
      <c r="I300" s="14"/>
    </row>
    <row r="301">
      <c r="A301" s="31"/>
      <c r="B301" s="18"/>
      <c r="E301" s="32"/>
      <c r="F301" s="32"/>
      <c r="G301" s="32"/>
      <c r="H301" s="32"/>
      <c r="I301" s="14"/>
    </row>
    <row r="302">
      <c r="A302" s="31"/>
      <c r="B302" s="18"/>
      <c r="E302" s="32"/>
      <c r="F302" s="32"/>
      <c r="G302" s="32"/>
      <c r="H302" s="32"/>
      <c r="I302" s="14"/>
    </row>
    <row r="303">
      <c r="A303" s="31"/>
      <c r="B303" s="18"/>
      <c r="E303" s="32"/>
      <c r="F303" s="32"/>
      <c r="G303" s="32"/>
      <c r="H303" s="32"/>
      <c r="I303" s="14"/>
    </row>
    <row r="304">
      <c r="A304" s="31"/>
      <c r="B304" s="18"/>
      <c r="E304" s="32"/>
      <c r="F304" s="32"/>
      <c r="G304" s="32"/>
      <c r="H304" s="32"/>
      <c r="I304" s="14"/>
    </row>
    <row r="305">
      <c r="A305" s="31"/>
      <c r="B305" s="18"/>
      <c r="E305" s="32"/>
      <c r="F305" s="32"/>
      <c r="G305" s="32"/>
      <c r="H305" s="32"/>
      <c r="I305" s="14"/>
    </row>
    <row r="306">
      <c r="A306" s="31"/>
      <c r="B306" s="18"/>
      <c r="E306" s="32"/>
      <c r="F306" s="32"/>
      <c r="G306" s="32"/>
      <c r="H306" s="32"/>
      <c r="I306" s="14"/>
    </row>
    <row r="307">
      <c r="A307" s="31"/>
      <c r="B307" s="18"/>
      <c r="E307" s="32"/>
      <c r="F307" s="32"/>
      <c r="G307" s="32"/>
      <c r="H307" s="32"/>
      <c r="I307" s="14"/>
    </row>
    <row r="308">
      <c r="A308" s="31"/>
      <c r="B308" s="18"/>
      <c r="E308" s="32"/>
      <c r="F308" s="32"/>
      <c r="G308" s="32"/>
      <c r="H308" s="32"/>
      <c r="I308" s="14"/>
    </row>
    <row r="309">
      <c r="A309" s="31"/>
      <c r="B309" s="18"/>
      <c r="E309" s="32"/>
      <c r="F309" s="32"/>
      <c r="G309" s="32"/>
      <c r="H309" s="32"/>
      <c r="I309" s="14"/>
    </row>
    <row r="310">
      <c r="A310" s="31"/>
      <c r="B310" s="18"/>
      <c r="E310" s="32"/>
      <c r="F310" s="32"/>
      <c r="G310" s="32"/>
      <c r="H310" s="32"/>
      <c r="I310" s="14"/>
    </row>
    <row r="311">
      <c r="A311" s="31"/>
      <c r="B311" s="18"/>
      <c r="E311" s="32"/>
      <c r="F311" s="32"/>
      <c r="G311" s="32"/>
      <c r="H311" s="32"/>
      <c r="I311" s="14"/>
    </row>
    <row r="312">
      <c r="A312" s="31"/>
      <c r="B312" s="18"/>
      <c r="E312" s="32"/>
      <c r="F312" s="32"/>
      <c r="G312" s="32"/>
      <c r="H312" s="32"/>
      <c r="I312" s="14"/>
    </row>
    <row r="313">
      <c r="A313" s="31"/>
      <c r="B313" s="18"/>
      <c r="E313" s="32"/>
      <c r="F313" s="32"/>
      <c r="G313" s="32"/>
      <c r="H313" s="32"/>
      <c r="I313" s="14"/>
    </row>
    <row r="314">
      <c r="A314" s="31"/>
      <c r="B314" s="18"/>
      <c r="E314" s="32"/>
      <c r="F314" s="32"/>
      <c r="G314" s="32"/>
      <c r="H314" s="32"/>
      <c r="I314" s="14"/>
    </row>
    <row r="315">
      <c r="A315" s="31"/>
      <c r="B315" s="18"/>
      <c r="E315" s="32"/>
      <c r="F315" s="32"/>
      <c r="G315" s="32"/>
      <c r="H315" s="32"/>
      <c r="I315" s="14"/>
    </row>
    <row r="316">
      <c r="A316" s="31"/>
      <c r="B316" s="18"/>
      <c r="E316" s="32"/>
      <c r="F316" s="32"/>
      <c r="G316" s="32"/>
      <c r="H316" s="32"/>
      <c r="I316" s="14"/>
    </row>
    <row r="317">
      <c r="A317" s="31"/>
      <c r="B317" s="18"/>
      <c r="E317" s="32"/>
      <c r="F317" s="32"/>
      <c r="G317" s="32"/>
      <c r="H317" s="32"/>
      <c r="I317" s="14"/>
    </row>
    <row r="318">
      <c r="A318" s="31"/>
      <c r="B318" s="18"/>
      <c r="E318" s="32"/>
      <c r="F318" s="32"/>
      <c r="G318" s="32"/>
      <c r="H318" s="32"/>
      <c r="I318" s="14"/>
    </row>
    <row r="319">
      <c r="A319" s="31"/>
      <c r="B319" s="18"/>
      <c r="E319" s="32"/>
      <c r="F319" s="32"/>
      <c r="G319" s="32"/>
      <c r="H319" s="32"/>
      <c r="I319" s="14"/>
    </row>
    <row r="320">
      <c r="A320" s="31"/>
      <c r="B320" s="18"/>
      <c r="E320" s="32"/>
      <c r="F320" s="32"/>
      <c r="G320" s="32"/>
      <c r="H320" s="32"/>
      <c r="I320" s="14"/>
    </row>
    <row r="321">
      <c r="A321" s="31"/>
      <c r="B321" s="18"/>
      <c r="E321" s="32"/>
      <c r="F321" s="32"/>
      <c r="G321" s="32"/>
      <c r="H321" s="32"/>
      <c r="I321" s="14"/>
    </row>
    <row r="322">
      <c r="A322" s="31"/>
      <c r="B322" s="18"/>
      <c r="E322" s="32"/>
      <c r="F322" s="32"/>
      <c r="G322" s="32"/>
      <c r="H322" s="32"/>
      <c r="I322" s="14"/>
    </row>
    <row r="323">
      <c r="A323" s="31"/>
      <c r="B323" s="18"/>
      <c r="E323" s="32"/>
      <c r="F323" s="32"/>
      <c r="G323" s="32"/>
      <c r="H323" s="32"/>
      <c r="I323" s="14"/>
    </row>
    <row r="324">
      <c r="A324" s="31"/>
      <c r="B324" s="18"/>
      <c r="E324" s="32"/>
      <c r="F324" s="32"/>
      <c r="G324" s="32"/>
      <c r="H324" s="32"/>
      <c r="I324" s="14"/>
    </row>
    <row r="325">
      <c r="A325" s="31"/>
      <c r="B325" s="18"/>
      <c r="E325" s="32"/>
      <c r="F325" s="32"/>
      <c r="G325" s="32"/>
      <c r="H325" s="32"/>
      <c r="I325" s="14"/>
    </row>
    <row r="326">
      <c r="A326" s="31"/>
      <c r="B326" s="18"/>
      <c r="E326" s="32"/>
      <c r="F326" s="32"/>
      <c r="G326" s="32"/>
      <c r="H326" s="32"/>
      <c r="I326" s="14"/>
    </row>
    <row r="327">
      <c r="A327" s="31"/>
      <c r="B327" s="18"/>
      <c r="E327" s="32"/>
      <c r="F327" s="32"/>
      <c r="G327" s="32"/>
      <c r="H327" s="32"/>
      <c r="I327" s="14"/>
    </row>
    <row r="328">
      <c r="A328" s="31"/>
      <c r="B328" s="18"/>
      <c r="E328" s="32"/>
      <c r="F328" s="32"/>
      <c r="G328" s="32"/>
      <c r="H328" s="32"/>
      <c r="I328" s="14"/>
    </row>
    <row r="329">
      <c r="A329" s="31"/>
      <c r="B329" s="18"/>
      <c r="E329" s="32"/>
      <c r="F329" s="32"/>
      <c r="G329" s="32"/>
      <c r="H329" s="32"/>
      <c r="I329" s="14"/>
    </row>
    <row r="330">
      <c r="A330" s="31"/>
      <c r="B330" s="18"/>
      <c r="E330" s="32"/>
      <c r="F330" s="32"/>
      <c r="G330" s="32"/>
      <c r="H330" s="32"/>
      <c r="I330" s="14"/>
    </row>
    <row r="331">
      <c r="A331" s="31"/>
      <c r="B331" s="18"/>
      <c r="E331" s="32"/>
      <c r="F331" s="32"/>
      <c r="G331" s="32"/>
      <c r="H331" s="32"/>
      <c r="I331" s="14"/>
    </row>
    <row r="332">
      <c r="A332" s="31"/>
      <c r="B332" s="18"/>
      <c r="E332" s="32"/>
      <c r="F332" s="32"/>
      <c r="G332" s="32"/>
      <c r="H332" s="32"/>
      <c r="I332" s="14"/>
    </row>
    <row r="333">
      <c r="A333" s="31"/>
      <c r="B333" s="18"/>
      <c r="E333" s="32"/>
      <c r="F333" s="32"/>
      <c r="G333" s="32"/>
      <c r="H333" s="32"/>
      <c r="I333" s="14"/>
    </row>
    <row r="334">
      <c r="A334" s="31"/>
      <c r="B334" s="18"/>
      <c r="E334" s="32"/>
      <c r="F334" s="32"/>
      <c r="G334" s="32"/>
      <c r="H334" s="32"/>
      <c r="I334" s="14"/>
    </row>
    <row r="335">
      <c r="A335" s="31"/>
      <c r="B335" s="18"/>
      <c r="E335" s="32"/>
      <c r="F335" s="32"/>
      <c r="G335" s="32"/>
      <c r="H335" s="32"/>
      <c r="I335" s="14"/>
    </row>
    <row r="336">
      <c r="A336" s="31"/>
      <c r="B336" s="18"/>
      <c r="E336" s="32"/>
      <c r="F336" s="32"/>
      <c r="G336" s="32"/>
      <c r="H336" s="32"/>
      <c r="I336" s="14"/>
    </row>
    <row r="337">
      <c r="A337" s="31"/>
      <c r="B337" s="18"/>
      <c r="E337" s="32"/>
      <c r="F337" s="32"/>
      <c r="G337" s="32"/>
      <c r="H337" s="32"/>
      <c r="I337" s="14"/>
    </row>
    <row r="338">
      <c r="A338" s="31"/>
      <c r="B338" s="18"/>
      <c r="E338" s="32"/>
      <c r="F338" s="32"/>
      <c r="G338" s="32"/>
      <c r="H338" s="32"/>
      <c r="I338" s="14"/>
    </row>
    <row r="339">
      <c r="A339" s="31"/>
      <c r="B339" s="18"/>
      <c r="E339" s="32"/>
      <c r="F339" s="32"/>
      <c r="G339" s="32"/>
      <c r="H339" s="32"/>
      <c r="I339" s="14"/>
    </row>
    <row r="340">
      <c r="A340" s="31"/>
      <c r="B340" s="18"/>
      <c r="E340" s="32"/>
      <c r="F340" s="32"/>
      <c r="G340" s="32"/>
      <c r="H340" s="32"/>
      <c r="I340" s="14"/>
    </row>
    <row r="341">
      <c r="A341" s="31"/>
      <c r="B341" s="18"/>
      <c r="E341" s="32"/>
      <c r="F341" s="32"/>
      <c r="G341" s="32"/>
      <c r="H341" s="32"/>
      <c r="I341" s="14"/>
    </row>
    <row r="342">
      <c r="A342" s="31"/>
      <c r="B342" s="18"/>
      <c r="E342" s="32"/>
      <c r="F342" s="32"/>
      <c r="G342" s="32"/>
      <c r="H342" s="32"/>
      <c r="I342" s="14"/>
    </row>
    <row r="343">
      <c r="A343" s="31"/>
      <c r="B343" s="18"/>
      <c r="E343" s="32"/>
      <c r="F343" s="32"/>
      <c r="G343" s="32"/>
      <c r="H343" s="32"/>
      <c r="I343" s="14"/>
    </row>
    <row r="344">
      <c r="A344" s="31"/>
      <c r="B344" s="18"/>
      <c r="E344" s="32"/>
      <c r="F344" s="32"/>
      <c r="G344" s="32"/>
      <c r="H344" s="32"/>
      <c r="I344" s="14"/>
    </row>
    <row r="345">
      <c r="A345" s="31"/>
      <c r="B345" s="18"/>
      <c r="E345" s="32"/>
      <c r="F345" s="32"/>
      <c r="G345" s="32"/>
      <c r="H345" s="32"/>
      <c r="I345" s="14"/>
    </row>
    <row r="346">
      <c r="A346" s="31"/>
      <c r="B346" s="18"/>
      <c r="E346" s="32"/>
      <c r="F346" s="32"/>
      <c r="G346" s="32"/>
      <c r="H346" s="32"/>
      <c r="I346" s="14"/>
    </row>
    <row r="347">
      <c r="A347" s="31"/>
      <c r="B347" s="18"/>
      <c r="E347" s="32"/>
      <c r="F347" s="32"/>
      <c r="G347" s="32"/>
      <c r="H347" s="32"/>
      <c r="I347" s="14"/>
    </row>
    <row r="348">
      <c r="A348" s="31"/>
      <c r="B348" s="18"/>
      <c r="E348" s="32"/>
      <c r="F348" s="32"/>
      <c r="G348" s="32"/>
      <c r="H348" s="32"/>
      <c r="I348" s="14"/>
    </row>
    <row r="349">
      <c r="A349" s="31"/>
      <c r="B349" s="18"/>
      <c r="E349" s="32"/>
      <c r="F349" s="32"/>
      <c r="G349" s="32"/>
      <c r="H349" s="32"/>
      <c r="I349" s="14"/>
    </row>
    <row r="350">
      <c r="A350" s="31"/>
      <c r="B350" s="18"/>
      <c r="E350" s="32"/>
      <c r="F350" s="32"/>
      <c r="G350" s="32"/>
      <c r="H350" s="32"/>
      <c r="I350" s="14"/>
    </row>
    <row r="351">
      <c r="A351" s="31"/>
      <c r="B351" s="18"/>
      <c r="E351" s="32"/>
      <c r="F351" s="32"/>
      <c r="G351" s="32"/>
      <c r="H351" s="32"/>
      <c r="I351" s="14"/>
    </row>
    <row r="352">
      <c r="A352" s="31"/>
      <c r="B352" s="18"/>
      <c r="E352" s="32"/>
      <c r="F352" s="32"/>
      <c r="G352" s="32"/>
      <c r="H352" s="32"/>
      <c r="I352" s="14"/>
    </row>
    <row r="353">
      <c r="A353" s="31"/>
      <c r="B353" s="18"/>
      <c r="E353" s="32"/>
      <c r="F353" s="32"/>
      <c r="G353" s="32"/>
      <c r="H353" s="32"/>
      <c r="I353" s="14"/>
    </row>
    <row r="354">
      <c r="A354" s="31"/>
      <c r="B354" s="18"/>
      <c r="E354" s="32"/>
      <c r="F354" s="32"/>
      <c r="G354" s="32"/>
      <c r="H354" s="32"/>
      <c r="I354" s="14"/>
    </row>
    <row r="355">
      <c r="A355" s="31"/>
      <c r="B355" s="18"/>
      <c r="E355" s="32"/>
      <c r="F355" s="32"/>
      <c r="G355" s="32"/>
      <c r="H355" s="32"/>
      <c r="I355" s="14"/>
    </row>
    <row r="356">
      <c r="A356" s="31"/>
      <c r="B356" s="18"/>
      <c r="E356" s="32"/>
      <c r="F356" s="32"/>
      <c r="G356" s="32"/>
      <c r="H356" s="32"/>
      <c r="I356" s="14"/>
    </row>
    <row r="357">
      <c r="A357" s="31"/>
      <c r="B357" s="18"/>
      <c r="E357" s="32"/>
      <c r="F357" s="32"/>
      <c r="G357" s="32"/>
      <c r="H357" s="32"/>
      <c r="I357" s="14"/>
    </row>
    <row r="358">
      <c r="A358" s="31"/>
      <c r="B358" s="18"/>
      <c r="E358" s="32"/>
      <c r="F358" s="32"/>
      <c r="G358" s="32"/>
      <c r="H358" s="32"/>
      <c r="I358" s="14"/>
    </row>
    <row r="359">
      <c r="A359" s="31"/>
      <c r="B359" s="18"/>
      <c r="E359" s="32"/>
      <c r="F359" s="32"/>
      <c r="G359" s="32"/>
      <c r="H359" s="32"/>
      <c r="I359" s="14"/>
    </row>
    <row r="360">
      <c r="A360" s="31"/>
      <c r="B360" s="18"/>
      <c r="E360" s="32"/>
      <c r="F360" s="32"/>
      <c r="G360" s="32"/>
      <c r="H360" s="32"/>
      <c r="I360" s="14"/>
    </row>
    <row r="361">
      <c r="A361" s="31"/>
      <c r="B361" s="18"/>
      <c r="E361" s="32"/>
      <c r="F361" s="32"/>
      <c r="G361" s="32"/>
      <c r="H361" s="32"/>
      <c r="I361" s="14"/>
    </row>
    <row r="362">
      <c r="A362" s="31"/>
      <c r="B362" s="18"/>
      <c r="E362" s="32"/>
      <c r="F362" s="32"/>
      <c r="G362" s="32"/>
      <c r="H362" s="32"/>
      <c r="I362" s="14"/>
    </row>
    <row r="363">
      <c r="A363" s="31"/>
      <c r="B363" s="18"/>
      <c r="E363" s="32"/>
      <c r="F363" s="32"/>
      <c r="G363" s="32"/>
      <c r="H363" s="32"/>
      <c r="I363" s="14"/>
    </row>
    <row r="364">
      <c r="A364" s="31"/>
      <c r="B364" s="18"/>
      <c r="E364" s="32"/>
      <c r="F364" s="32"/>
      <c r="G364" s="32"/>
      <c r="H364" s="32"/>
      <c r="I364" s="14"/>
    </row>
    <row r="365">
      <c r="A365" s="31"/>
      <c r="B365" s="18"/>
      <c r="E365" s="32"/>
      <c r="F365" s="32"/>
      <c r="G365" s="32"/>
      <c r="H365" s="32"/>
      <c r="I365" s="14"/>
    </row>
    <row r="366">
      <c r="A366" s="31"/>
      <c r="B366" s="18"/>
      <c r="E366" s="32"/>
      <c r="F366" s="32"/>
      <c r="G366" s="32"/>
      <c r="H366" s="32"/>
      <c r="I366" s="14"/>
    </row>
    <row r="367">
      <c r="A367" s="31"/>
      <c r="B367" s="18"/>
      <c r="E367" s="32"/>
      <c r="F367" s="32"/>
      <c r="G367" s="32"/>
      <c r="H367" s="32"/>
      <c r="I367" s="14"/>
    </row>
    <row r="368">
      <c r="A368" s="31"/>
      <c r="B368" s="18"/>
      <c r="E368" s="32"/>
      <c r="F368" s="32"/>
      <c r="G368" s="32"/>
      <c r="H368" s="32"/>
      <c r="I368" s="14"/>
    </row>
    <row r="369">
      <c r="A369" s="31"/>
      <c r="B369" s="18"/>
      <c r="E369" s="32"/>
      <c r="F369" s="32"/>
      <c r="G369" s="32"/>
      <c r="H369" s="32"/>
      <c r="I369" s="14"/>
    </row>
    <row r="370">
      <c r="A370" s="31"/>
      <c r="B370" s="18"/>
      <c r="E370" s="32"/>
      <c r="F370" s="32"/>
      <c r="G370" s="32"/>
      <c r="H370" s="32"/>
      <c r="I370" s="14"/>
    </row>
    <row r="371">
      <c r="A371" s="31"/>
      <c r="B371" s="18"/>
      <c r="E371" s="32"/>
      <c r="F371" s="32"/>
      <c r="G371" s="32"/>
      <c r="H371" s="32"/>
      <c r="I371" s="14"/>
    </row>
    <row r="372">
      <c r="A372" s="31"/>
      <c r="B372" s="18"/>
      <c r="E372" s="32"/>
      <c r="F372" s="32"/>
      <c r="G372" s="32"/>
      <c r="H372" s="32"/>
      <c r="I372" s="14"/>
    </row>
    <row r="373">
      <c r="A373" s="31"/>
      <c r="B373" s="18"/>
      <c r="E373" s="32"/>
      <c r="F373" s="32"/>
      <c r="G373" s="32"/>
      <c r="H373" s="32"/>
      <c r="I373" s="14"/>
    </row>
    <row r="374">
      <c r="A374" s="31"/>
      <c r="B374" s="18"/>
      <c r="E374" s="32"/>
      <c r="F374" s="32"/>
      <c r="G374" s="32"/>
      <c r="H374" s="32"/>
      <c r="I374" s="14"/>
    </row>
    <row r="375">
      <c r="A375" s="31"/>
      <c r="B375" s="18"/>
      <c r="E375" s="32"/>
      <c r="F375" s="32"/>
      <c r="G375" s="32"/>
      <c r="H375" s="32"/>
      <c r="I375" s="14"/>
    </row>
    <row r="376">
      <c r="A376" s="31"/>
      <c r="B376" s="18"/>
      <c r="E376" s="32"/>
      <c r="F376" s="32"/>
      <c r="G376" s="32"/>
      <c r="H376" s="32"/>
      <c r="I376" s="14"/>
    </row>
    <row r="377">
      <c r="A377" s="31"/>
      <c r="B377" s="18"/>
      <c r="E377" s="32"/>
      <c r="F377" s="32"/>
      <c r="G377" s="32"/>
      <c r="H377" s="32"/>
      <c r="I377" s="14"/>
    </row>
    <row r="378">
      <c r="A378" s="31"/>
      <c r="B378" s="18"/>
      <c r="E378" s="32"/>
      <c r="F378" s="32"/>
      <c r="G378" s="32"/>
      <c r="H378" s="32"/>
      <c r="I378" s="14"/>
    </row>
    <row r="379">
      <c r="A379" s="31"/>
      <c r="B379" s="18"/>
      <c r="E379" s="32"/>
      <c r="F379" s="32"/>
      <c r="G379" s="32"/>
      <c r="H379" s="32"/>
      <c r="I379" s="14"/>
    </row>
    <row r="380">
      <c r="A380" s="31"/>
      <c r="B380" s="18"/>
      <c r="E380" s="32"/>
      <c r="F380" s="32"/>
      <c r="G380" s="32"/>
      <c r="H380" s="32"/>
      <c r="I380" s="14"/>
    </row>
    <row r="381">
      <c r="A381" s="31"/>
      <c r="B381" s="18"/>
      <c r="E381" s="32"/>
      <c r="F381" s="32"/>
      <c r="G381" s="32"/>
      <c r="H381" s="32"/>
      <c r="I381" s="14"/>
    </row>
    <row r="382">
      <c r="A382" s="31"/>
      <c r="B382" s="18"/>
      <c r="E382" s="32"/>
      <c r="F382" s="32"/>
      <c r="G382" s="32"/>
      <c r="H382" s="32"/>
      <c r="I382" s="14"/>
    </row>
    <row r="383">
      <c r="A383" s="31"/>
      <c r="B383" s="18"/>
      <c r="E383" s="32"/>
      <c r="F383" s="32"/>
      <c r="G383" s="32"/>
      <c r="H383" s="32"/>
      <c r="I383" s="14"/>
    </row>
    <row r="384">
      <c r="A384" s="31"/>
      <c r="B384" s="18"/>
      <c r="E384" s="32"/>
      <c r="F384" s="32"/>
      <c r="G384" s="32"/>
      <c r="H384" s="32"/>
      <c r="I384" s="14"/>
    </row>
    <row r="385">
      <c r="A385" s="31"/>
      <c r="B385" s="18"/>
      <c r="E385" s="32"/>
      <c r="F385" s="32"/>
      <c r="G385" s="32"/>
      <c r="H385" s="32"/>
      <c r="I385" s="14"/>
    </row>
    <row r="386">
      <c r="A386" s="31"/>
      <c r="B386" s="18"/>
      <c r="E386" s="32"/>
      <c r="F386" s="32"/>
      <c r="G386" s="32"/>
      <c r="H386" s="32"/>
      <c r="I386" s="14"/>
    </row>
    <row r="387">
      <c r="A387" s="31"/>
      <c r="B387" s="18"/>
      <c r="E387" s="32"/>
      <c r="F387" s="32"/>
      <c r="G387" s="32"/>
      <c r="H387" s="32"/>
      <c r="I387" s="14"/>
    </row>
    <row r="388">
      <c r="A388" s="31"/>
      <c r="B388" s="18"/>
      <c r="E388" s="32"/>
      <c r="F388" s="32"/>
      <c r="G388" s="32"/>
      <c r="H388" s="32"/>
      <c r="I388" s="14"/>
    </row>
    <row r="389">
      <c r="A389" s="31"/>
      <c r="B389" s="18"/>
      <c r="E389" s="32"/>
      <c r="F389" s="32"/>
      <c r="G389" s="32"/>
      <c r="H389" s="32"/>
      <c r="I389" s="14"/>
    </row>
    <row r="390">
      <c r="A390" s="31"/>
      <c r="B390" s="18"/>
      <c r="E390" s="32"/>
      <c r="F390" s="32"/>
      <c r="G390" s="32"/>
      <c r="H390" s="32"/>
      <c r="I390" s="14"/>
    </row>
    <row r="391">
      <c r="A391" s="31"/>
      <c r="B391" s="18"/>
      <c r="E391" s="32"/>
      <c r="F391" s="32"/>
      <c r="G391" s="32"/>
      <c r="H391" s="32"/>
      <c r="I391" s="14"/>
    </row>
    <row r="392">
      <c r="A392" s="31"/>
      <c r="B392" s="18"/>
      <c r="E392" s="32"/>
      <c r="F392" s="32"/>
      <c r="G392" s="32"/>
      <c r="H392" s="32"/>
      <c r="I392" s="14"/>
    </row>
    <row r="393">
      <c r="A393" s="31"/>
      <c r="B393" s="18"/>
      <c r="E393" s="32"/>
      <c r="F393" s="32"/>
      <c r="G393" s="32"/>
      <c r="H393" s="32"/>
      <c r="I393" s="14"/>
    </row>
    <row r="394">
      <c r="A394" s="31"/>
      <c r="B394" s="18"/>
      <c r="E394" s="32"/>
      <c r="F394" s="32"/>
      <c r="G394" s="32"/>
      <c r="H394" s="32"/>
      <c r="I394" s="14"/>
    </row>
    <row r="395">
      <c r="A395" s="31"/>
      <c r="B395" s="18"/>
      <c r="E395" s="32"/>
      <c r="F395" s="32"/>
      <c r="G395" s="32"/>
      <c r="H395" s="32"/>
      <c r="I395" s="14"/>
    </row>
    <row r="396">
      <c r="A396" s="31"/>
      <c r="B396" s="18"/>
      <c r="E396" s="32"/>
      <c r="F396" s="32"/>
      <c r="G396" s="32"/>
      <c r="H396" s="32"/>
      <c r="I396" s="14"/>
    </row>
    <row r="397">
      <c r="A397" s="31"/>
      <c r="B397" s="18"/>
      <c r="E397" s="32"/>
      <c r="F397" s="32"/>
      <c r="G397" s="32"/>
      <c r="H397" s="32"/>
      <c r="I397" s="14"/>
    </row>
    <row r="398">
      <c r="A398" s="31"/>
      <c r="B398" s="18"/>
      <c r="E398" s="32"/>
      <c r="F398" s="32"/>
      <c r="G398" s="32"/>
      <c r="H398" s="32"/>
      <c r="I398" s="14"/>
    </row>
    <row r="399">
      <c r="A399" s="31"/>
      <c r="B399" s="18"/>
      <c r="E399" s="32"/>
      <c r="F399" s="32"/>
      <c r="G399" s="32"/>
      <c r="H399" s="32"/>
      <c r="I399" s="14"/>
    </row>
    <row r="400">
      <c r="A400" s="31"/>
      <c r="B400" s="18"/>
      <c r="E400" s="32"/>
      <c r="F400" s="32"/>
      <c r="G400" s="32"/>
      <c r="H400" s="32"/>
      <c r="I400" s="14"/>
    </row>
    <row r="401">
      <c r="A401" s="31"/>
      <c r="B401" s="18"/>
      <c r="E401" s="32"/>
      <c r="F401" s="32"/>
      <c r="G401" s="32"/>
      <c r="H401" s="32"/>
      <c r="I401" s="14"/>
    </row>
    <row r="402">
      <c r="A402" s="31"/>
      <c r="B402" s="18"/>
      <c r="E402" s="32"/>
      <c r="F402" s="32"/>
      <c r="G402" s="32"/>
      <c r="H402" s="32"/>
      <c r="I402" s="14"/>
    </row>
    <row r="403">
      <c r="A403" s="31"/>
      <c r="B403" s="18"/>
      <c r="E403" s="32"/>
      <c r="F403" s="32"/>
      <c r="G403" s="32"/>
      <c r="H403" s="32"/>
      <c r="I403" s="14"/>
    </row>
    <row r="404">
      <c r="A404" s="31"/>
      <c r="B404" s="18"/>
      <c r="E404" s="32"/>
      <c r="F404" s="32"/>
      <c r="G404" s="32"/>
      <c r="H404" s="32"/>
      <c r="I404" s="14"/>
    </row>
    <row r="405">
      <c r="A405" s="31"/>
      <c r="B405" s="18"/>
      <c r="E405" s="32"/>
      <c r="F405" s="32"/>
      <c r="G405" s="32"/>
      <c r="H405" s="32"/>
      <c r="I405" s="14"/>
    </row>
    <row r="406">
      <c r="A406" s="31"/>
      <c r="B406" s="18"/>
      <c r="E406" s="32"/>
      <c r="F406" s="32"/>
      <c r="G406" s="32"/>
      <c r="H406" s="32"/>
      <c r="I406" s="14"/>
    </row>
    <row r="407">
      <c r="A407" s="31"/>
      <c r="B407" s="18"/>
      <c r="E407" s="32"/>
      <c r="F407" s="32"/>
      <c r="G407" s="32"/>
      <c r="H407" s="32"/>
      <c r="I407" s="14"/>
    </row>
    <row r="408">
      <c r="A408" s="31"/>
      <c r="B408" s="18"/>
      <c r="E408" s="32"/>
      <c r="F408" s="32"/>
      <c r="G408" s="32"/>
      <c r="H408" s="32"/>
      <c r="I408" s="14"/>
    </row>
    <row r="409">
      <c r="A409" s="31"/>
      <c r="B409" s="18"/>
      <c r="E409" s="32"/>
      <c r="F409" s="32"/>
      <c r="G409" s="32"/>
      <c r="H409" s="32"/>
      <c r="I409" s="14"/>
    </row>
    <row r="410">
      <c r="A410" s="31"/>
      <c r="B410" s="18"/>
      <c r="E410" s="32"/>
      <c r="F410" s="32"/>
      <c r="G410" s="32"/>
      <c r="H410" s="32"/>
      <c r="I410" s="14"/>
    </row>
    <row r="411">
      <c r="A411" s="31"/>
      <c r="B411" s="18"/>
      <c r="E411" s="32"/>
      <c r="F411" s="32"/>
      <c r="G411" s="32"/>
      <c r="H411" s="32"/>
      <c r="I411" s="14"/>
    </row>
    <row r="412">
      <c r="A412" s="31"/>
      <c r="B412" s="18"/>
      <c r="E412" s="32"/>
      <c r="F412" s="32"/>
      <c r="G412" s="32"/>
      <c r="H412" s="32"/>
      <c r="I412" s="14"/>
    </row>
    <row r="413">
      <c r="A413" s="31"/>
      <c r="B413" s="18"/>
      <c r="E413" s="32"/>
      <c r="F413" s="32"/>
      <c r="G413" s="32"/>
      <c r="H413" s="32"/>
      <c r="I413" s="14"/>
    </row>
    <row r="414">
      <c r="A414" s="31"/>
      <c r="B414" s="18"/>
      <c r="E414" s="32"/>
      <c r="F414" s="32"/>
      <c r="G414" s="32"/>
      <c r="H414" s="32"/>
      <c r="I414" s="14"/>
    </row>
    <row r="415">
      <c r="A415" s="31"/>
      <c r="B415" s="18"/>
      <c r="E415" s="32"/>
      <c r="F415" s="32"/>
      <c r="G415" s="32"/>
      <c r="H415" s="32"/>
      <c r="I415" s="14"/>
    </row>
    <row r="416">
      <c r="A416" s="31"/>
      <c r="B416" s="18"/>
      <c r="E416" s="32"/>
      <c r="F416" s="32"/>
      <c r="G416" s="32"/>
      <c r="H416" s="32"/>
      <c r="I416" s="14"/>
    </row>
    <row r="417">
      <c r="A417" s="31"/>
      <c r="B417" s="18"/>
      <c r="E417" s="32"/>
      <c r="F417" s="32"/>
      <c r="G417" s="32"/>
      <c r="H417" s="32"/>
      <c r="I417" s="14"/>
    </row>
    <row r="418">
      <c r="A418" s="31"/>
      <c r="B418" s="18"/>
      <c r="E418" s="32"/>
      <c r="F418" s="32"/>
      <c r="G418" s="32"/>
      <c r="H418" s="32"/>
      <c r="I418" s="14"/>
    </row>
    <row r="419">
      <c r="A419" s="31"/>
      <c r="B419" s="18"/>
      <c r="E419" s="32"/>
      <c r="F419" s="32"/>
      <c r="G419" s="32"/>
      <c r="H419" s="32"/>
      <c r="I419" s="14"/>
    </row>
    <row r="420">
      <c r="A420" s="31"/>
      <c r="B420" s="18"/>
      <c r="E420" s="32"/>
      <c r="F420" s="32"/>
      <c r="G420" s="32"/>
      <c r="H420" s="32"/>
      <c r="I420" s="14"/>
    </row>
    <row r="421">
      <c r="A421" s="31"/>
      <c r="B421" s="18"/>
      <c r="E421" s="32"/>
      <c r="F421" s="32"/>
      <c r="G421" s="32"/>
      <c r="H421" s="32"/>
      <c r="I421" s="14"/>
    </row>
    <row r="422">
      <c r="A422" s="31"/>
      <c r="B422" s="18"/>
      <c r="E422" s="32"/>
      <c r="F422" s="32"/>
      <c r="G422" s="32"/>
      <c r="H422" s="32"/>
      <c r="I422" s="14"/>
    </row>
    <row r="423">
      <c r="A423" s="31"/>
      <c r="B423" s="18"/>
      <c r="E423" s="32"/>
      <c r="F423" s="32"/>
      <c r="G423" s="32"/>
      <c r="H423" s="32"/>
      <c r="I423" s="14"/>
    </row>
    <row r="424">
      <c r="A424" s="31"/>
      <c r="B424" s="18"/>
      <c r="E424" s="32"/>
      <c r="F424" s="32"/>
      <c r="G424" s="32"/>
      <c r="H424" s="32"/>
      <c r="I424" s="14"/>
    </row>
    <row r="425">
      <c r="A425" s="31"/>
      <c r="B425" s="18"/>
      <c r="E425" s="32"/>
      <c r="F425" s="32"/>
      <c r="G425" s="32"/>
      <c r="H425" s="32"/>
      <c r="I425" s="14"/>
    </row>
    <row r="426">
      <c r="A426" s="31"/>
      <c r="B426" s="18"/>
      <c r="E426" s="32"/>
      <c r="F426" s="32"/>
      <c r="G426" s="32"/>
      <c r="H426" s="32"/>
      <c r="I426" s="14"/>
    </row>
    <row r="427">
      <c r="A427" s="31"/>
      <c r="B427" s="18"/>
      <c r="E427" s="32"/>
      <c r="F427" s="32"/>
      <c r="G427" s="32"/>
      <c r="H427" s="32"/>
      <c r="I427" s="14"/>
    </row>
    <row r="428">
      <c r="A428" s="31"/>
      <c r="B428" s="18"/>
      <c r="E428" s="32"/>
      <c r="F428" s="32"/>
      <c r="G428" s="32"/>
      <c r="H428" s="32"/>
      <c r="I428" s="14"/>
    </row>
    <row r="429">
      <c r="A429" s="31"/>
      <c r="B429" s="18"/>
      <c r="E429" s="32"/>
      <c r="F429" s="32"/>
      <c r="G429" s="32"/>
      <c r="H429" s="32"/>
      <c r="I429" s="14"/>
    </row>
    <row r="430">
      <c r="A430" s="31"/>
      <c r="B430" s="18"/>
      <c r="E430" s="32"/>
      <c r="F430" s="32"/>
      <c r="G430" s="32"/>
      <c r="H430" s="32"/>
      <c r="I430" s="14"/>
    </row>
    <row r="431">
      <c r="A431" s="31"/>
      <c r="B431" s="18"/>
      <c r="E431" s="32"/>
      <c r="F431" s="32"/>
      <c r="G431" s="32"/>
      <c r="H431" s="32"/>
      <c r="I431" s="14"/>
    </row>
    <row r="432">
      <c r="A432" s="31"/>
      <c r="B432" s="18"/>
      <c r="E432" s="32"/>
      <c r="F432" s="32"/>
      <c r="G432" s="32"/>
      <c r="H432" s="32"/>
      <c r="I432" s="14"/>
    </row>
    <row r="433">
      <c r="A433" s="31"/>
      <c r="B433" s="18"/>
      <c r="E433" s="32"/>
      <c r="F433" s="32"/>
      <c r="G433" s="32"/>
      <c r="H433" s="32"/>
      <c r="I433" s="14"/>
    </row>
    <row r="434">
      <c r="A434" s="31"/>
      <c r="B434" s="18"/>
      <c r="E434" s="32"/>
      <c r="F434" s="32"/>
      <c r="G434" s="32"/>
      <c r="H434" s="32"/>
      <c r="I434" s="14"/>
    </row>
    <row r="435">
      <c r="A435" s="31"/>
      <c r="B435" s="18"/>
      <c r="E435" s="32"/>
      <c r="F435" s="32"/>
      <c r="G435" s="32"/>
      <c r="H435" s="32"/>
      <c r="I435" s="14"/>
    </row>
    <row r="436">
      <c r="A436" s="31"/>
      <c r="B436" s="18"/>
      <c r="E436" s="32"/>
      <c r="F436" s="32"/>
      <c r="G436" s="32"/>
      <c r="H436" s="32"/>
      <c r="I436" s="14"/>
    </row>
    <row r="437">
      <c r="A437" s="31"/>
      <c r="B437" s="18"/>
      <c r="E437" s="32"/>
      <c r="F437" s="32"/>
      <c r="G437" s="32"/>
      <c r="H437" s="32"/>
      <c r="I437" s="14"/>
    </row>
    <row r="438">
      <c r="A438" s="31"/>
      <c r="B438" s="18"/>
      <c r="E438" s="32"/>
      <c r="F438" s="32"/>
      <c r="G438" s="32"/>
      <c r="H438" s="32"/>
      <c r="I438" s="14"/>
    </row>
    <row r="439">
      <c r="A439" s="31"/>
      <c r="B439" s="18"/>
      <c r="E439" s="32"/>
      <c r="F439" s="32"/>
      <c r="G439" s="32"/>
      <c r="H439" s="32"/>
      <c r="I439" s="14"/>
    </row>
    <row r="440">
      <c r="A440" s="31"/>
      <c r="B440" s="18"/>
      <c r="E440" s="32"/>
      <c r="F440" s="32"/>
      <c r="G440" s="32"/>
      <c r="H440" s="32"/>
      <c r="I440" s="14"/>
    </row>
    <row r="441">
      <c r="A441" s="31"/>
      <c r="B441" s="18"/>
      <c r="E441" s="32"/>
      <c r="F441" s="32"/>
      <c r="G441" s="32"/>
      <c r="H441" s="32"/>
      <c r="I441" s="14"/>
    </row>
    <row r="442">
      <c r="A442" s="31"/>
      <c r="B442" s="18"/>
      <c r="E442" s="32"/>
      <c r="F442" s="32"/>
      <c r="G442" s="32"/>
      <c r="H442" s="32"/>
      <c r="I442" s="14"/>
    </row>
    <row r="443">
      <c r="A443" s="31"/>
      <c r="B443" s="18"/>
      <c r="E443" s="32"/>
      <c r="F443" s="32"/>
      <c r="G443" s="32"/>
      <c r="H443" s="32"/>
      <c r="I443" s="14"/>
    </row>
    <row r="444">
      <c r="A444" s="31"/>
      <c r="B444" s="18"/>
      <c r="E444" s="32"/>
      <c r="F444" s="32"/>
      <c r="G444" s="32"/>
      <c r="H444" s="32"/>
      <c r="I444" s="14"/>
    </row>
    <row r="445">
      <c r="A445" s="31"/>
      <c r="B445" s="18"/>
      <c r="E445" s="32"/>
      <c r="F445" s="32"/>
      <c r="G445" s="32"/>
      <c r="H445" s="32"/>
      <c r="I445" s="14"/>
    </row>
    <row r="446">
      <c r="A446" s="31"/>
      <c r="B446" s="18"/>
      <c r="E446" s="32"/>
      <c r="F446" s="32"/>
      <c r="G446" s="32"/>
      <c r="H446" s="32"/>
      <c r="I446" s="14"/>
    </row>
    <row r="447">
      <c r="A447" s="31"/>
      <c r="B447" s="18"/>
      <c r="E447" s="32"/>
      <c r="F447" s="32"/>
      <c r="G447" s="32"/>
      <c r="H447" s="32"/>
      <c r="I447" s="14"/>
    </row>
    <row r="448">
      <c r="A448" s="31"/>
      <c r="B448" s="18"/>
      <c r="E448" s="32"/>
      <c r="F448" s="32"/>
      <c r="G448" s="32"/>
      <c r="H448" s="32"/>
      <c r="I448" s="14"/>
    </row>
    <row r="449">
      <c r="A449" s="31"/>
      <c r="B449" s="18"/>
      <c r="E449" s="32"/>
      <c r="F449" s="32"/>
      <c r="G449" s="32"/>
      <c r="H449" s="32"/>
      <c r="I449" s="14"/>
    </row>
    <row r="450">
      <c r="A450" s="31"/>
      <c r="B450" s="18"/>
      <c r="E450" s="32"/>
      <c r="F450" s="32"/>
      <c r="G450" s="32"/>
      <c r="H450" s="32"/>
      <c r="I450" s="14"/>
    </row>
    <row r="451">
      <c r="A451" s="31"/>
      <c r="B451" s="18"/>
      <c r="E451" s="32"/>
      <c r="F451" s="32"/>
      <c r="G451" s="32"/>
      <c r="H451" s="32"/>
      <c r="I451" s="14"/>
    </row>
    <row r="452">
      <c r="A452" s="31"/>
      <c r="B452" s="18"/>
      <c r="E452" s="32"/>
      <c r="F452" s="32"/>
      <c r="G452" s="32"/>
      <c r="H452" s="32"/>
      <c r="I452" s="14"/>
    </row>
    <row r="453">
      <c r="A453" s="31"/>
      <c r="B453" s="18"/>
      <c r="E453" s="32"/>
      <c r="F453" s="32"/>
      <c r="G453" s="32"/>
      <c r="H453" s="32"/>
      <c r="I453" s="14"/>
    </row>
    <row r="454">
      <c r="A454" s="31"/>
      <c r="B454" s="18"/>
      <c r="E454" s="32"/>
      <c r="F454" s="32"/>
      <c r="G454" s="32"/>
      <c r="H454" s="32"/>
      <c r="I454" s="14"/>
    </row>
    <row r="455">
      <c r="A455" s="31"/>
      <c r="B455" s="18"/>
      <c r="E455" s="32"/>
      <c r="F455" s="32"/>
      <c r="G455" s="32"/>
      <c r="H455" s="32"/>
      <c r="I455" s="14"/>
    </row>
    <row r="456">
      <c r="A456" s="31"/>
      <c r="B456" s="18"/>
      <c r="E456" s="32"/>
      <c r="F456" s="32"/>
      <c r="G456" s="32"/>
      <c r="H456" s="32"/>
      <c r="I456" s="14"/>
    </row>
    <row r="457">
      <c r="A457" s="31"/>
      <c r="B457" s="18"/>
      <c r="E457" s="32"/>
      <c r="F457" s="32"/>
      <c r="G457" s="32"/>
      <c r="H457" s="32"/>
      <c r="I457" s="14"/>
    </row>
    <row r="458">
      <c r="A458" s="31"/>
      <c r="B458" s="18"/>
      <c r="E458" s="32"/>
      <c r="F458" s="32"/>
      <c r="G458" s="32"/>
      <c r="H458" s="32"/>
      <c r="I458" s="14"/>
    </row>
    <row r="459">
      <c r="A459" s="31"/>
      <c r="B459" s="18"/>
      <c r="E459" s="32"/>
      <c r="F459" s="32"/>
      <c r="G459" s="32"/>
      <c r="H459" s="32"/>
      <c r="I459" s="14"/>
    </row>
    <row r="460">
      <c r="A460" s="31"/>
      <c r="B460" s="18"/>
      <c r="E460" s="32"/>
      <c r="F460" s="32"/>
      <c r="G460" s="32"/>
      <c r="H460" s="32"/>
      <c r="I460" s="14"/>
    </row>
    <row r="461">
      <c r="A461" s="31"/>
      <c r="B461" s="18"/>
      <c r="E461" s="32"/>
      <c r="F461" s="32"/>
      <c r="G461" s="32"/>
      <c r="H461" s="32"/>
      <c r="I461" s="14"/>
    </row>
    <row r="462">
      <c r="A462" s="31"/>
      <c r="B462" s="18"/>
      <c r="E462" s="32"/>
      <c r="F462" s="32"/>
      <c r="G462" s="32"/>
      <c r="H462" s="32"/>
      <c r="I462" s="14"/>
    </row>
    <row r="463">
      <c r="A463" s="31"/>
      <c r="B463" s="18"/>
      <c r="E463" s="32"/>
      <c r="F463" s="32"/>
      <c r="G463" s="32"/>
      <c r="H463" s="32"/>
      <c r="I463" s="14"/>
    </row>
    <row r="464">
      <c r="A464" s="31"/>
      <c r="B464" s="18"/>
      <c r="E464" s="32"/>
      <c r="F464" s="32"/>
      <c r="G464" s="32"/>
      <c r="H464" s="32"/>
      <c r="I464" s="14"/>
    </row>
    <row r="465">
      <c r="A465" s="31"/>
      <c r="B465" s="18"/>
      <c r="E465" s="32"/>
      <c r="F465" s="32"/>
      <c r="G465" s="32"/>
      <c r="H465" s="32"/>
      <c r="I465" s="14"/>
    </row>
    <row r="466">
      <c r="A466" s="31"/>
      <c r="B466" s="18"/>
      <c r="E466" s="32"/>
      <c r="F466" s="32"/>
      <c r="G466" s="32"/>
      <c r="H466" s="32"/>
      <c r="I466" s="14"/>
    </row>
    <row r="467">
      <c r="A467" s="31"/>
      <c r="B467" s="18"/>
      <c r="E467" s="32"/>
      <c r="F467" s="32"/>
      <c r="G467" s="32"/>
      <c r="H467" s="32"/>
      <c r="I467" s="14"/>
    </row>
    <row r="468">
      <c r="A468" s="31"/>
      <c r="B468" s="18"/>
      <c r="E468" s="32"/>
      <c r="F468" s="32"/>
      <c r="G468" s="32"/>
      <c r="H468" s="32"/>
      <c r="I468" s="14"/>
    </row>
    <row r="469">
      <c r="A469" s="31"/>
      <c r="B469" s="18"/>
      <c r="E469" s="32"/>
      <c r="F469" s="32"/>
      <c r="G469" s="32"/>
      <c r="H469" s="32"/>
      <c r="I469" s="14"/>
    </row>
    <row r="470">
      <c r="A470" s="31"/>
      <c r="B470" s="18"/>
      <c r="E470" s="32"/>
      <c r="F470" s="32"/>
      <c r="G470" s="32"/>
      <c r="H470" s="32"/>
      <c r="I470" s="14"/>
    </row>
    <row r="471">
      <c r="A471" s="31"/>
      <c r="B471" s="18"/>
      <c r="E471" s="32"/>
      <c r="F471" s="32"/>
      <c r="G471" s="32"/>
      <c r="H471" s="32"/>
      <c r="I471" s="14"/>
    </row>
    <row r="472">
      <c r="A472" s="31"/>
      <c r="B472" s="18"/>
      <c r="E472" s="32"/>
      <c r="F472" s="32"/>
      <c r="G472" s="32"/>
      <c r="H472" s="32"/>
      <c r="I472" s="14"/>
    </row>
    <row r="473">
      <c r="A473" s="31"/>
      <c r="B473" s="18"/>
      <c r="E473" s="32"/>
      <c r="F473" s="32"/>
      <c r="G473" s="32"/>
      <c r="H473" s="32"/>
      <c r="I473" s="14"/>
    </row>
    <row r="474">
      <c r="A474" s="31"/>
      <c r="B474" s="18"/>
      <c r="E474" s="32"/>
      <c r="F474" s="32"/>
      <c r="G474" s="32"/>
      <c r="H474" s="32"/>
      <c r="I474" s="14"/>
    </row>
    <row r="475">
      <c r="A475" s="31"/>
      <c r="B475" s="18"/>
      <c r="E475" s="32"/>
      <c r="F475" s="32"/>
      <c r="G475" s="32"/>
      <c r="H475" s="32"/>
      <c r="I475" s="14"/>
    </row>
    <row r="476">
      <c r="A476" s="31"/>
      <c r="B476" s="18"/>
      <c r="E476" s="32"/>
      <c r="F476" s="32"/>
      <c r="G476" s="32"/>
      <c r="H476" s="32"/>
      <c r="I476" s="14"/>
    </row>
    <row r="477">
      <c r="A477" s="31"/>
      <c r="B477" s="18"/>
      <c r="E477" s="32"/>
      <c r="F477" s="32"/>
      <c r="G477" s="32"/>
      <c r="H477" s="32"/>
      <c r="I477" s="14"/>
    </row>
    <row r="478">
      <c r="A478" s="31"/>
      <c r="B478" s="18"/>
      <c r="E478" s="32"/>
      <c r="F478" s="32"/>
      <c r="G478" s="32"/>
      <c r="H478" s="32"/>
      <c r="I478" s="14"/>
    </row>
    <row r="479">
      <c r="A479" s="31"/>
      <c r="B479" s="18"/>
      <c r="E479" s="32"/>
      <c r="F479" s="32"/>
      <c r="G479" s="32"/>
      <c r="H479" s="32"/>
      <c r="I479" s="14"/>
    </row>
    <row r="480">
      <c r="A480" s="31"/>
      <c r="B480" s="18"/>
      <c r="E480" s="32"/>
      <c r="F480" s="32"/>
      <c r="G480" s="32"/>
      <c r="H480" s="32"/>
      <c r="I480" s="14"/>
    </row>
    <row r="481">
      <c r="A481" s="31"/>
      <c r="B481" s="18"/>
      <c r="E481" s="32"/>
      <c r="F481" s="32"/>
      <c r="G481" s="32"/>
      <c r="H481" s="32"/>
      <c r="I481" s="14"/>
    </row>
    <row r="482">
      <c r="A482" s="31"/>
      <c r="B482" s="18"/>
      <c r="E482" s="32"/>
      <c r="F482" s="32"/>
      <c r="G482" s="32"/>
      <c r="H482" s="32"/>
      <c r="I482" s="14"/>
    </row>
    <row r="483">
      <c r="A483" s="31"/>
      <c r="B483" s="18"/>
      <c r="E483" s="32"/>
      <c r="F483" s="32"/>
      <c r="G483" s="32"/>
      <c r="H483" s="32"/>
      <c r="I483" s="14"/>
    </row>
    <row r="484">
      <c r="A484" s="31"/>
      <c r="B484" s="18"/>
      <c r="E484" s="32"/>
      <c r="F484" s="32"/>
      <c r="G484" s="32"/>
      <c r="H484" s="32"/>
      <c r="I484" s="14"/>
    </row>
    <row r="485">
      <c r="A485" s="31"/>
      <c r="B485" s="18"/>
      <c r="E485" s="32"/>
      <c r="F485" s="32"/>
      <c r="G485" s="32"/>
      <c r="H485" s="32"/>
      <c r="I485" s="14"/>
    </row>
    <row r="486">
      <c r="A486" s="31"/>
      <c r="B486" s="18"/>
      <c r="E486" s="32"/>
      <c r="F486" s="32"/>
      <c r="G486" s="32"/>
      <c r="H486" s="32"/>
      <c r="I486" s="14"/>
    </row>
    <row r="487">
      <c r="A487" s="31"/>
      <c r="B487" s="18"/>
      <c r="E487" s="32"/>
      <c r="F487" s="32"/>
      <c r="G487" s="32"/>
      <c r="H487" s="32"/>
      <c r="I487" s="14"/>
    </row>
    <row r="488">
      <c r="A488" s="31"/>
      <c r="B488" s="18"/>
      <c r="E488" s="32"/>
      <c r="F488" s="32"/>
      <c r="G488" s="32"/>
      <c r="H488" s="32"/>
      <c r="I488" s="14"/>
    </row>
    <row r="489">
      <c r="A489" s="31"/>
      <c r="B489" s="18"/>
      <c r="E489" s="32"/>
      <c r="F489" s="32"/>
      <c r="G489" s="32"/>
      <c r="H489" s="32"/>
      <c r="I489" s="14"/>
    </row>
    <row r="490">
      <c r="A490" s="31"/>
      <c r="B490" s="18"/>
      <c r="E490" s="32"/>
      <c r="F490" s="32"/>
      <c r="G490" s="32"/>
      <c r="H490" s="32"/>
      <c r="I490" s="14"/>
    </row>
    <row r="491">
      <c r="A491" s="31"/>
      <c r="B491" s="18"/>
      <c r="E491" s="32"/>
      <c r="F491" s="32"/>
      <c r="G491" s="32"/>
      <c r="H491" s="32"/>
      <c r="I491" s="14"/>
    </row>
    <row r="492">
      <c r="A492" s="31"/>
      <c r="B492" s="18"/>
      <c r="E492" s="32"/>
      <c r="F492" s="32"/>
      <c r="G492" s="32"/>
      <c r="H492" s="32"/>
      <c r="I492" s="14"/>
    </row>
    <row r="493">
      <c r="A493" s="31"/>
      <c r="B493" s="18"/>
      <c r="E493" s="32"/>
      <c r="F493" s="32"/>
      <c r="G493" s="32"/>
      <c r="H493" s="32"/>
      <c r="I493" s="14"/>
    </row>
    <row r="494">
      <c r="A494" s="31"/>
      <c r="B494" s="18"/>
      <c r="E494" s="32"/>
      <c r="F494" s="32"/>
      <c r="G494" s="32"/>
      <c r="H494" s="32"/>
      <c r="I494" s="14"/>
    </row>
    <row r="495">
      <c r="A495" s="31"/>
      <c r="B495" s="18"/>
      <c r="E495" s="32"/>
      <c r="F495" s="32"/>
      <c r="G495" s="32"/>
      <c r="H495" s="32"/>
      <c r="I495" s="14"/>
    </row>
    <row r="496">
      <c r="A496" s="31"/>
      <c r="B496" s="18"/>
      <c r="E496" s="32"/>
      <c r="F496" s="32"/>
      <c r="G496" s="32"/>
      <c r="H496" s="32"/>
      <c r="I496" s="14"/>
    </row>
    <row r="497">
      <c r="A497" s="31"/>
      <c r="B497" s="18"/>
      <c r="E497" s="32"/>
      <c r="F497" s="32"/>
      <c r="G497" s="32"/>
      <c r="H497" s="32"/>
      <c r="I497" s="14"/>
    </row>
    <row r="498">
      <c r="A498" s="31"/>
      <c r="B498" s="18"/>
      <c r="E498" s="32"/>
      <c r="F498" s="32"/>
      <c r="G498" s="32"/>
      <c r="H498" s="32"/>
      <c r="I498" s="14"/>
    </row>
    <row r="499">
      <c r="A499" s="31"/>
      <c r="B499" s="18"/>
      <c r="E499" s="32"/>
      <c r="F499" s="32"/>
      <c r="G499" s="32"/>
      <c r="H499" s="32"/>
      <c r="I499" s="14"/>
    </row>
    <row r="500">
      <c r="A500" s="31"/>
      <c r="B500" s="18"/>
      <c r="E500" s="32"/>
      <c r="F500" s="32"/>
      <c r="G500" s="32"/>
      <c r="H500" s="32"/>
      <c r="I500" s="14"/>
    </row>
    <row r="501">
      <c r="A501" s="31"/>
      <c r="B501" s="18"/>
      <c r="E501" s="32"/>
      <c r="F501" s="32"/>
      <c r="G501" s="32"/>
      <c r="H501" s="32"/>
      <c r="I501" s="14"/>
    </row>
    <row r="502">
      <c r="A502" s="31"/>
      <c r="B502" s="18"/>
      <c r="E502" s="32"/>
      <c r="F502" s="32"/>
      <c r="G502" s="32"/>
      <c r="H502" s="32"/>
      <c r="I502" s="14"/>
    </row>
    <row r="503">
      <c r="A503" s="31"/>
      <c r="B503" s="18"/>
      <c r="E503" s="32"/>
      <c r="F503" s="32"/>
      <c r="G503" s="32"/>
      <c r="H503" s="32"/>
      <c r="I503" s="14"/>
    </row>
    <row r="504">
      <c r="A504" s="31"/>
      <c r="B504" s="18"/>
      <c r="E504" s="32"/>
      <c r="F504" s="32"/>
      <c r="G504" s="32"/>
      <c r="H504" s="32"/>
      <c r="I504" s="14"/>
    </row>
    <row r="505">
      <c r="A505" s="31"/>
      <c r="B505" s="18"/>
      <c r="E505" s="32"/>
      <c r="F505" s="32"/>
      <c r="G505" s="32"/>
      <c r="H505" s="32"/>
      <c r="I505" s="14"/>
    </row>
    <row r="506">
      <c r="A506" s="31"/>
      <c r="B506" s="18"/>
      <c r="E506" s="32"/>
      <c r="F506" s="32"/>
      <c r="G506" s="32"/>
      <c r="H506" s="32"/>
      <c r="I506" s="14"/>
    </row>
    <row r="507">
      <c r="A507" s="31"/>
      <c r="B507" s="18"/>
      <c r="E507" s="32"/>
      <c r="F507" s="32"/>
      <c r="G507" s="32"/>
      <c r="H507" s="32"/>
      <c r="I507" s="14"/>
    </row>
    <row r="508">
      <c r="A508" s="31"/>
      <c r="B508" s="18"/>
      <c r="E508" s="32"/>
      <c r="F508" s="32"/>
      <c r="G508" s="32"/>
      <c r="H508" s="32"/>
      <c r="I508" s="14"/>
    </row>
    <row r="509">
      <c r="A509" s="31"/>
      <c r="B509" s="18"/>
      <c r="E509" s="32"/>
      <c r="F509" s="32"/>
      <c r="G509" s="32"/>
      <c r="H509" s="32"/>
      <c r="I509" s="14"/>
    </row>
    <row r="510">
      <c r="A510" s="31"/>
      <c r="B510" s="18"/>
      <c r="E510" s="32"/>
      <c r="F510" s="32"/>
      <c r="G510" s="32"/>
      <c r="H510" s="32"/>
      <c r="I510" s="14"/>
    </row>
    <row r="511">
      <c r="A511" s="31"/>
      <c r="B511" s="18"/>
      <c r="E511" s="32"/>
      <c r="F511" s="32"/>
      <c r="G511" s="32"/>
      <c r="H511" s="32"/>
      <c r="I511" s="14"/>
    </row>
    <row r="512">
      <c r="A512" s="31"/>
      <c r="B512" s="18"/>
      <c r="E512" s="32"/>
      <c r="F512" s="32"/>
      <c r="G512" s="32"/>
      <c r="H512" s="32"/>
      <c r="I512" s="14"/>
    </row>
    <row r="513">
      <c r="A513" s="31"/>
      <c r="B513" s="18"/>
      <c r="E513" s="32"/>
      <c r="F513" s="32"/>
      <c r="G513" s="32"/>
      <c r="H513" s="32"/>
      <c r="I513" s="14"/>
    </row>
    <row r="514">
      <c r="A514" s="31"/>
      <c r="B514" s="18"/>
      <c r="E514" s="32"/>
      <c r="F514" s="32"/>
      <c r="G514" s="32"/>
      <c r="H514" s="32"/>
      <c r="I514" s="14"/>
    </row>
    <row r="515">
      <c r="A515" s="31"/>
      <c r="B515" s="18"/>
      <c r="E515" s="32"/>
      <c r="F515" s="32"/>
      <c r="G515" s="32"/>
      <c r="H515" s="32"/>
      <c r="I515" s="14"/>
    </row>
    <row r="516">
      <c r="A516" s="31"/>
      <c r="B516" s="18"/>
      <c r="E516" s="32"/>
      <c r="F516" s="32"/>
      <c r="G516" s="32"/>
      <c r="H516" s="32"/>
      <c r="I516" s="14"/>
    </row>
    <row r="517">
      <c r="A517" s="31"/>
      <c r="B517" s="18"/>
      <c r="E517" s="32"/>
      <c r="F517" s="32"/>
      <c r="G517" s="32"/>
      <c r="H517" s="32"/>
      <c r="I517" s="14"/>
    </row>
    <row r="518">
      <c r="A518" s="31"/>
      <c r="B518" s="18"/>
      <c r="E518" s="32"/>
      <c r="F518" s="32"/>
      <c r="G518" s="32"/>
      <c r="H518" s="32"/>
      <c r="I518" s="14"/>
    </row>
    <row r="519">
      <c r="A519" s="31"/>
      <c r="B519" s="18"/>
      <c r="E519" s="32"/>
      <c r="F519" s="32"/>
      <c r="G519" s="32"/>
      <c r="H519" s="32"/>
      <c r="I519" s="14"/>
    </row>
    <row r="520">
      <c r="A520" s="31"/>
      <c r="B520" s="18"/>
      <c r="E520" s="32"/>
      <c r="F520" s="32"/>
      <c r="G520" s="32"/>
      <c r="H520" s="32"/>
      <c r="I520" s="14"/>
    </row>
    <row r="521">
      <c r="A521" s="31"/>
      <c r="B521" s="18"/>
      <c r="E521" s="32"/>
      <c r="F521" s="32"/>
      <c r="G521" s="32"/>
      <c r="H521" s="32"/>
      <c r="I521" s="14"/>
    </row>
    <row r="522">
      <c r="A522" s="31"/>
      <c r="B522" s="18"/>
      <c r="E522" s="32"/>
      <c r="F522" s="32"/>
      <c r="G522" s="32"/>
      <c r="H522" s="32"/>
      <c r="I522" s="14"/>
    </row>
    <row r="523">
      <c r="A523" s="31"/>
      <c r="B523" s="18"/>
      <c r="E523" s="32"/>
      <c r="F523" s="32"/>
      <c r="G523" s="32"/>
      <c r="H523" s="32"/>
      <c r="I523" s="14"/>
    </row>
    <row r="524">
      <c r="A524" s="31"/>
      <c r="B524" s="18"/>
      <c r="E524" s="32"/>
      <c r="F524" s="32"/>
      <c r="G524" s="32"/>
      <c r="H524" s="32"/>
      <c r="I524" s="14"/>
    </row>
    <row r="525">
      <c r="A525" s="31"/>
      <c r="B525" s="18"/>
      <c r="E525" s="32"/>
      <c r="F525" s="32"/>
      <c r="G525" s="32"/>
      <c r="H525" s="32"/>
      <c r="I525" s="14"/>
    </row>
    <row r="526">
      <c r="A526" s="31"/>
      <c r="B526" s="18"/>
      <c r="E526" s="32"/>
      <c r="F526" s="32"/>
      <c r="G526" s="32"/>
      <c r="H526" s="32"/>
      <c r="I526" s="14"/>
    </row>
    <row r="527">
      <c r="A527" s="31"/>
      <c r="B527" s="18"/>
      <c r="E527" s="32"/>
      <c r="F527" s="32"/>
      <c r="G527" s="32"/>
      <c r="H527" s="32"/>
      <c r="I527" s="14"/>
    </row>
    <row r="528">
      <c r="A528" s="31"/>
      <c r="B528" s="18"/>
      <c r="E528" s="32"/>
      <c r="F528" s="32"/>
      <c r="G528" s="32"/>
      <c r="H528" s="32"/>
      <c r="I528" s="14"/>
    </row>
    <row r="529">
      <c r="A529" s="31"/>
      <c r="B529" s="18"/>
      <c r="E529" s="32"/>
      <c r="F529" s="32"/>
      <c r="G529" s="32"/>
      <c r="H529" s="32"/>
      <c r="I529" s="14"/>
    </row>
    <row r="530">
      <c r="A530" s="31"/>
      <c r="B530" s="18"/>
      <c r="E530" s="32"/>
      <c r="F530" s="32"/>
      <c r="G530" s="32"/>
      <c r="H530" s="32"/>
      <c r="I530" s="14"/>
    </row>
    <row r="531">
      <c r="A531" s="31"/>
      <c r="B531" s="18"/>
      <c r="E531" s="32"/>
      <c r="F531" s="32"/>
      <c r="G531" s="32"/>
      <c r="H531" s="32"/>
      <c r="I531" s="14"/>
    </row>
    <row r="532">
      <c r="A532" s="31"/>
      <c r="B532" s="18"/>
      <c r="E532" s="32"/>
      <c r="F532" s="32"/>
      <c r="G532" s="32"/>
      <c r="H532" s="32"/>
      <c r="I532" s="14"/>
    </row>
    <row r="533">
      <c r="A533" s="31"/>
      <c r="B533" s="18"/>
      <c r="E533" s="32"/>
      <c r="F533" s="32"/>
      <c r="G533" s="32"/>
      <c r="H533" s="32"/>
      <c r="I533" s="14"/>
    </row>
    <row r="534">
      <c r="A534" s="31"/>
      <c r="B534" s="18"/>
      <c r="E534" s="32"/>
      <c r="F534" s="32"/>
      <c r="G534" s="32"/>
      <c r="H534" s="32"/>
      <c r="I534" s="14"/>
    </row>
    <row r="535">
      <c r="A535" s="31"/>
      <c r="B535" s="18"/>
      <c r="E535" s="32"/>
      <c r="F535" s="32"/>
      <c r="G535" s="32"/>
      <c r="H535" s="32"/>
      <c r="I535" s="14"/>
    </row>
    <row r="536">
      <c r="A536" s="31"/>
      <c r="B536" s="18"/>
      <c r="E536" s="32"/>
      <c r="F536" s="32"/>
      <c r="G536" s="32"/>
      <c r="H536" s="32"/>
      <c r="I536" s="14"/>
    </row>
    <row r="537">
      <c r="A537" s="31"/>
      <c r="B537" s="18"/>
      <c r="E537" s="32"/>
      <c r="F537" s="32"/>
      <c r="G537" s="32"/>
      <c r="H537" s="32"/>
      <c r="I537" s="14"/>
    </row>
    <row r="538">
      <c r="A538" s="31"/>
      <c r="B538" s="18"/>
      <c r="E538" s="32"/>
      <c r="F538" s="32"/>
      <c r="G538" s="32"/>
      <c r="H538" s="32"/>
      <c r="I538" s="14"/>
    </row>
    <row r="539">
      <c r="A539" s="31"/>
      <c r="B539" s="18"/>
      <c r="E539" s="32"/>
      <c r="F539" s="32"/>
      <c r="G539" s="32"/>
      <c r="H539" s="32"/>
      <c r="I539" s="14"/>
    </row>
    <row r="540">
      <c r="A540" s="31"/>
      <c r="B540" s="18"/>
      <c r="E540" s="32"/>
      <c r="F540" s="32"/>
      <c r="G540" s="32"/>
      <c r="H540" s="32"/>
      <c r="I540" s="14"/>
    </row>
    <row r="541">
      <c r="A541" s="31"/>
      <c r="B541" s="18"/>
      <c r="E541" s="32"/>
      <c r="F541" s="32"/>
      <c r="G541" s="32"/>
      <c r="H541" s="32"/>
      <c r="I541" s="14"/>
    </row>
    <row r="542">
      <c r="A542" s="31"/>
      <c r="B542" s="18"/>
      <c r="E542" s="32"/>
      <c r="F542" s="32"/>
      <c r="G542" s="32"/>
      <c r="H542" s="32"/>
      <c r="I542" s="14"/>
    </row>
    <row r="543">
      <c r="A543" s="31"/>
      <c r="B543" s="18"/>
      <c r="E543" s="32"/>
      <c r="F543" s="32"/>
      <c r="G543" s="32"/>
      <c r="H543" s="32"/>
      <c r="I543" s="14"/>
    </row>
    <row r="544">
      <c r="A544" s="31"/>
      <c r="B544" s="18"/>
      <c r="E544" s="32"/>
      <c r="F544" s="32"/>
      <c r="G544" s="32"/>
      <c r="H544" s="32"/>
      <c r="I544" s="14"/>
    </row>
    <row r="545">
      <c r="A545" s="31"/>
      <c r="B545" s="18"/>
      <c r="E545" s="32"/>
      <c r="F545" s="32"/>
      <c r="G545" s="32"/>
      <c r="H545" s="32"/>
      <c r="I545" s="14"/>
    </row>
    <row r="546">
      <c r="A546" s="31"/>
      <c r="B546" s="18"/>
      <c r="E546" s="32"/>
      <c r="F546" s="32"/>
      <c r="G546" s="32"/>
      <c r="H546" s="32"/>
      <c r="I546" s="14"/>
    </row>
    <row r="547">
      <c r="A547" s="31"/>
      <c r="B547" s="18"/>
      <c r="E547" s="32"/>
      <c r="F547" s="32"/>
      <c r="G547" s="32"/>
      <c r="H547" s="32"/>
      <c r="I547" s="14"/>
    </row>
    <row r="548">
      <c r="A548" s="31"/>
      <c r="B548" s="18"/>
      <c r="E548" s="32"/>
      <c r="F548" s="32"/>
      <c r="G548" s="32"/>
      <c r="H548" s="32"/>
      <c r="I548" s="14"/>
    </row>
    <row r="549">
      <c r="A549" s="31"/>
      <c r="B549" s="18"/>
      <c r="E549" s="32"/>
      <c r="F549" s="32"/>
      <c r="G549" s="32"/>
      <c r="H549" s="32"/>
      <c r="I549" s="14"/>
    </row>
    <row r="550">
      <c r="A550" s="31"/>
      <c r="B550" s="18"/>
      <c r="E550" s="32"/>
      <c r="F550" s="32"/>
      <c r="G550" s="32"/>
      <c r="H550" s="32"/>
      <c r="I550" s="14"/>
    </row>
    <row r="551">
      <c r="A551" s="31"/>
      <c r="B551" s="18"/>
      <c r="E551" s="32"/>
      <c r="F551" s="32"/>
      <c r="G551" s="32"/>
      <c r="H551" s="32"/>
      <c r="I551" s="14"/>
    </row>
    <row r="552">
      <c r="A552" s="31"/>
      <c r="B552" s="18"/>
      <c r="E552" s="32"/>
      <c r="F552" s="32"/>
      <c r="G552" s="32"/>
      <c r="H552" s="32"/>
      <c r="I552" s="14"/>
    </row>
    <row r="553">
      <c r="A553" s="31"/>
      <c r="B553" s="18"/>
      <c r="E553" s="32"/>
      <c r="F553" s="32"/>
      <c r="G553" s="32"/>
      <c r="H553" s="32"/>
      <c r="I553" s="14"/>
    </row>
    <row r="554">
      <c r="A554" s="31"/>
      <c r="B554" s="18"/>
      <c r="E554" s="32"/>
      <c r="F554" s="32"/>
      <c r="G554" s="32"/>
      <c r="H554" s="32"/>
      <c r="I554" s="14"/>
    </row>
    <row r="555">
      <c r="A555" s="31"/>
      <c r="B555" s="18"/>
      <c r="E555" s="32"/>
      <c r="F555" s="32"/>
      <c r="G555" s="32"/>
      <c r="H555" s="32"/>
      <c r="I555" s="14"/>
    </row>
    <row r="556">
      <c r="A556" s="31"/>
      <c r="B556" s="18"/>
      <c r="E556" s="32"/>
      <c r="F556" s="32"/>
      <c r="G556" s="32"/>
      <c r="H556" s="32"/>
      <c r="I556" s="14"/>
    </row>
    <row r="557">
      <c r="A557" s="31"/>
      <c r="B557" s="18"/>
      <c r="E557" s="32"/>
      <c r="F557" s="32"/>
      <c r="G557" s="32"/>
      <c r="H557" s="32"/>
      <c r="I557" s="14"/>
    </row>
    <row r="558">
      <c r="A558" s="31"/>
      <c r="B558" s="18"/>
      <c r="E558" s="32"/>
      <c r="F558" s="32"/>
      <c r="G558" s="32"/>
      <c r="H558" s="32"/>
      <c r="I558" s="14"/>
    </row>
    <row r="559">
      <c r="A559" s="31"/>
      <c r="B559" s="18"/>
      <c r="E559" s="32"/>
      <c r="F559" s="32"/>
      <c r="G559" s="32"/>
      <c r="H559" s="32"/>
      <c r="I559" s="14"/>
    </row>
    <row r="560">
      <c r="A560" s="31"/>
      <c r="B560" s="18"/>
      <c r="E560" s="32"/>
      <c r="F560" s="32"/>
      <c r="G560" s="32"/>
      <c r="H560" s="32"/>
      <c r="I560" s="14"/>
    </row>
    <row r="561">
      <c r="A561" s="31"/>
      <c r="B561" s="18"/>
      <c r="E561" s="32"/>
      <c r="F561" s="32"/>
      <c r="G561" s="32"/>
      <c r="H561" s="32"/>
      <c r="I561" s="14"/>
    </row>
    <row r="562">
      <c r="A562" s="31"/>
      <c r="B562" s="18"/>
      <c r="E562" s="32"/>
      <c r="F562" s="32"/>
      <c r="G562" s="32"/>
      <c r="H562" s="32"/>
      <c r="I562" s="14"/>
    </row>
    <row r="563">
      <c r="A563" s="31"/>
      <c r="B563" s="18"/>
      <c r="E563" s="32"/>
      <c r="F563" s="32"/>
      <c r="G563" s="32"/>
      <c r="H563" s="32"/>
      <c r="I563" s="14"/>
    </row>
    <row r="564">
      <c r="A564" s="31"/>
      <c r="B564" s="18"/>
      <c r="E564" s="32"/>
      <c r="F564" s="32"/>
      <c r="G564" s="32"/>
      <c r="H564" s="32"/>
      <c r="I564" s="14"/>
    </row>
    <row r="565">
      <c r="A565" s="31"/>
      <c r="B565" s="18"/>
      <c r="E565" s="32"/>
      <c r="F565" s="32"/>
      <c r="G565" s="32"/>
      <c r="H565" s="32"/>
      <c r="I565" s="14"/>
    </row>
    <row r="566">
      <c r="A566" s="31"/>
      <c r="B566" s="18"/>
      <c r="E566" s="32"/>
      <c r="F566" s="32"/>
      <c r="G566" s="32"/>
      <c r="H566" s="32"/>
      <c r="I566" s="14"/>
    </row>
    <row r="567">
      <c r="A567" s="31"/>
      <c r="B567" s="18"/>
      <c r="E567" s="32"/>
      <c r="F567" s="32"/>
      <c r="G567" s="32"/>
      <c r="H567" s="32"/>
      <c r="I567" s="14"/>
    </row>
    <row r="568">
      <c r="A568" s="31"/>
      <c r="B568" s="18"/>
      <c r="E568" s="32"/>
      <c r="F568" s="32"/>
      <c r="G568" s="32"/>
      <c r="H568" s="32"/>
      <c r="I568" s="14"/>
    </row>
    <row r="569">
      <c r="A569" s="31"/>
      <c r="B569" s="18"/>
      <c r="E569" s="32"/>
      <c r="F569" s="32"/>
      <c r="G569" s="32"/>
      <c r="H569" s="32"/>
      <c r="I569" s="14"/>
    </row>
    <row r="570">
      <c r="A570" s="31"/>
      <c r="B570" s="18"/>
      <c r="E570" s="32"/>
      <c r="F570" s="32"/>
      <c r="G570" s="32"/>
      <c r="H570" s="32"/>
      <c r="I570" s="14"/>
    </row>
    <row r="571">
      <c r="A571" s="31"/>
      <c r="B571" s="18"/>
      <c r="E571" s="32"/>
      <c r="F571" s="32"/>
      <c r="G571" s="32"/>
      <c r="H571" s="32"/>
      <c r="I571" s="14"/>
    </row>
    <row r="572">
      <c r="A572" s="31"/>
      <c r="B572" s="18"/>
      <c r="E572" s="32"/>
      <c r="F572" s="32"/>
      <c r="G572" s="32"/>
      <c r="H572" s="32"/>
      <c r="I572" s="14"/>
    </row>
    <row r="573">
      <c r="A573" s="31"/>
      <c r="B573" s="18"/>
      <c r="E573" s="32"/>
      <c r="F573" s="32"/>
      <c r="G573" s="32"/>
      <c r="H573" s="32"/>
      <c r="I573" s="14"/>
    </row>
    <row r="574">
      <c r="A574" s="31"/>
      <c r="B574" s="18"/>
      <c r="E574" s="32"/>
      <c r="F574" s="32"/>
      <c r="G574" s="32"/>
      <c r="H574" s="32"/>
      <c r="I574" s="14"/>
    </row>
    <row r="575">
      <c r="A575" s="31"/>
      <c r="B575" s="18"/>
      <c r="E575" s="32"/>
      <c r="F575" s="32"/>
      <c r="G575" s="32"/>
      <c r="H575" s="32"/>
      <c r="I575" s="14"/>
    </row>
    <row r="576">
      <c r="A576" s="31"/>
      <c r="B576" s="18"/>
      <c r="E576" s="32"/>
      <c r="F576" s="32"/>
      <c r="G576" s="32"/>
      <c r="H576" s="32"/>
      <c r="I576" s="14"/>
    </row>
    <row r="577">
      <c r="A577" s="31"/>
      <c r="B577" s="18"/>
      <c r="E577" s="32"/>
      <c r="F577" s="32"/>
      <c r="G577" s="32"/>
      <c r="H577" s="32"/>
      <c r="I577" s="14"/>
    </row>
    <row r="578">
      <c r="A578" s="31"/>
      <c r="B578" s="18"/>
      <c r="E578" s="32"/>
      <c r="F578" s="32"/>
      <c r="G578" s="32"/>
      <c r="H578" s="32"/>
      <c r="I578" s="14"/>
    </row>
    <row r="579">
      <c r="A579" s="31"/>
      <c r="B579" s="18"/>
      <c r="E579" s="32"/>
      <c r="F579" s="32"/>
      <c r="G579" s="32"/>
      <c r="H579" s="32"/>
      <c r="I579" s="14"/>
    </row>
    <row r="580">
      <c r="A580" s="31"/>
      <c r="B580" s="18"/>
      <c r="E580" s="32"/>
      <c r="F580" s="32"/>
      <c r="G580" s="32"/>
      <c r="H580" s="32"/>
      <c r="I580" s="14"/>
    </row>
    <row r="581">
      <c r="A581" s="31"/>
      <c r="B581" s="18"/>
      <c r="E581" s="32"/>
      <c r="F581" s="32"/>
      <c r="G581" s="32"/>
      <c r="H581" s="32"/>
      <c r="I581" s="14"/>
    </row>
    <row r="582">
      <c r="A582" s="31"/>
      <c r="B582" s="18"/>
      <c r="E582" s="32"/>
      <c r="F582" s="32"/>
      <c r="G582" s="32"/>
      <c r="H582" s="32"/>
      <c r="I582" s="14"/>
    </row>
    <row r="583">
      <c r="A583" s="31"/>
      <c r="B583" s="18"/>
      <c r="E583" s="32"/>
      <c r="F583" s="32"/>
      <c r="G583" s="32"/>
      <c r="H583" s="32"/>
      <c r="I583" s="14"/>
    </row>
    <row r="584">
      <c r="A584" s="31"/>
      <c r="B584" s="18"/>
      <c r="E584" s="32"/>
      <c r="F584" s="32"/>
      <c r="G584" s="32"/>
      <c r="H584" s="32"/>
      <c r="I584" s="14"/>
    </row>
    <row r="585">
      <c r="A585" s="31"/>
      <c r="B585" s="18"/>
      <c r="E585" s="32"/>
      <c r="F585" s="32"/>
      <c r="G585" s="32"/>
      <c r="H585" s="32"/>
      <c r="I585" s="14"/>
    </row>
    <row r="586">
      <c r="A586" s="31"/>
      <c r="B586" s="18"/>
      <c r="E586" s="32"/>
      <c r="F586" s="32"/>
      <c r="G586" s="32"/>
      <c r="H586" s="32"/>
      <c r="I586" s="14"/>
    </row>
    <row r="587">
      <c r="A587" s="31"/>
      <c r="B587" s="18"/>
      <c r="E587" s="32"/>
      <c r="F587" s="32"/>
      <c r="G587" s="32"/>
      <c r="H587" s="32"/>
      <c r="I587" s="14"/>
    </row>
    <row r="588">
      <c r="A588" s="31"/>
      <c r="B588" s="18"/>
      <c r="E588" s="32"/>
      <c r="F588" s="32"/>
      <c r="G588" s="32"/>
      <c r="H588" s="32"/>
      <c r="I588" s="14"/>
    </row>
    <row r="589">
      <c r="A589" s="31"/>
      <c r="B589" s="18"/>
      <c r="E589" s="32"/>
      <c r="F589" s="32"/>
      <c r="G589" s="32"/>
      <c r="H589" s="32"/>
      <c r="I589" s="14"/>
    </row>
    <row r="590">
      <c r="A590" s="31"/>
      <c r="B590" s="18"/>
      <c r="E590" s="32"/>
      <c r="F590" s="32"/>
      <c r="G590" s="32"/>
      <c r="H590" s="32"/>
      <c r="I590" s="14"/>
    </row>
    <row r="591">
      <c r="A591" s="31"/>
      <c r="B591" s="18"/>
      <c r="E591" s="32"/>
      <c r="F591" s="32"/>
      <c r="G591" s="32"/>
      <c r="H591" s="32"/>
      <c r="I591" s="14"/>
    </row>
    <row r="592">
      <c r="A592" s="31"/>
      <c r="B592" s="18"/>
      <c r="E592" s="32"/>
      <c r="F592" s="32"/>
      <c r="G592" s="32"/>
      <c r="H592" s="32"/>
      <c r="I592" s="14"/>
    </row>
    <row r="593">
      <c r="A593" s="31"/>
      <c r="B593" s="18"/>
      <c r="E593" s="32"/>
      <c r="F593" s="32"/>
      <c r="G593" s="32"/>
      <c r="H593" s="32"/>
      <c r="I593" s="14"/>
    </row>
    <row r="594">
      <c r="A594" s="31"/>
      <c r="B594" s="18"/>
      <c r="E594" s="32"/>
      <c r="F594" s="32"/>
      <c r="G594" s="32"/>
      <c r="H594" s="32"/>
      <c r="I594" s="14"/>
    </row>
    <row r="595">
      <c r="A595" s="31"/>
      <c r="B595" s="18"/>
      <c r="E595" s="32"/>
      <c r="F595" s="32"/>
      <c r="G595" s="32"/>
      <c r="H595" s="32"/>
      <c r="I595" s="14"/>
    </row>
    <row r="596">
      <c r="A596" s="31"/>
      <c r="B596" s="18"/>
      <c r="E596" s="32"/>
      <c r="F596" s="32"/>
      <c r="G596" s="32"/>
      <c r="H596" s="32"/>
      <c r="I596" s="14"/>
    </row>
    <row r="597">
      <c r="A597" s="31"/>
      <c r="B597" s="18"/>
      <c r="E597" s="32"/>
      <c r="F597" s="32"/>
      <c r="G597" s="32"/>
      <c r="H597" s="32"/>
      <c r="I597" s="14"/>
    </row>
    <row r="598">
      <c r="A598" s="31"/>
      <c r="B598" s="18"/>
      <c r="E598" s="32"/>
      <c r="F598" s="32"/>
      <c r="G598" s="32"/>
      <c r="H598" s="32"/>
      <c r="I598" s="14"/>
    </row>
    <row r="599">
      <c r="A599" s="31"/>
      <c r="B599" s="18"/>
      <c r="E599" s="32"/>
      <c r="F599" s="32"/>
      <c r="G599" s="32"/>
      <c r="H599" s="32"/>
      <c r="I599" s="14"/>
    </row>
    <row r="600">
      <c r="A600" s="31"/>
      <c r="B600" s="18"/>
      <c r="E600" s="32"/>
      <c r="F600" s="32"/>
      <c r="G600" s="32"/>
      <c r="H600" s="32"/>
      <c r="I600" s="14"/>
    </row>
    <row r="601">
      <c r="A601" s="31"/>
      <c r="B601" s="18"/>
      <c r="E601" s="32"/>
      <c r="F601" s="32"/>
      <c r="G601" s="32"/>
      <c r="H601" s="32"/>
      <c r="I601" s="14"/>
    </row>
    <row r="602">
      <c r="A602" s="31"/>
      <c r="B602" s="18"/>
      <c r="E602" s="32"/>
      <c r="F602" s="32"/>
      <c r="G602" s="32"/>
      <c r="H602" s="32"/>
      <c r="I602" s="14"/>
    </row>
    <row r="603">
      <c r="A603" s="31"/>
      <c r="B603" s="18"/>
      <c r="E603" s="32"/>
      <c r="F603" s="32"/>
      <c r="G603" s="32"/>
      <c r="H603" s="32"/>
      <c r="I603" s="14"/>
    </row>
    <row r="604">
      <c r="A604" s="31"/>
      <c r="B604" s="18"/>
      <c r="E604" s="32"/>
      <c r="F604" s="32"/>
      <c r="G604" s="32"/>
      <c r="H604" s="32"/>
      <c r="I604" s="14"/>
    </row>
    <row r="605">
      <c r="A605" s="31"/>
      <c r="B605" s="18"/>
      <c r="E605" s="32"/>
      <c r="F605" s="32"/>
      <c r="G605" s="32"/>
      <c r="H605" s="32"/>
      <c r="I605" s="14"/>
    </row>
    <row r="606">
      <c r="A606" s="31"/>
      <c r="B606" s="18"/>
      <c r="E606" s="32"/>
      <c r="F606" s="32"/>
      <c r="G606" s="32"/>
      <c r="H606" s="32"/>
      <c r="I606" s="14"/>
    </row>
    <row r="607">
      <c r="A607" s="31"/>
      <c r="B607" s="18"/>
      <c r="E607" s="32"/>
      <c r="F607" s="32"/>
      <c r="G607" s="32"/>
      <c r="H607" s="32"/>
      <c r="I607" s="14"/>
    </row>
    <row r="608">
      <c r="A608" s="31"/>
      <c r="B608" s="18"/>
      <c r="E608" s="32"/>
      <c r="F608" s="32"/>
      <c r="G608" s="32"/>
      <c r="H608" s="32"/>
      <c r="I608" s="14"/>
    </row>
    <row r="609">
      <c r="A609" s="31"/>
      <c r="B609" s="18"/>
      <c r="E609" s="32"/>
      <c r="F609" s="32"/>
      <c r="G609" s="32"/>
      <c r="H609" s="32"/>
      <c r="I609" s="14"/>
    </row>
    <row r="610">
      <c r="A610" s="31"/>
      <c r="B610" s="18"/>
      <c r="E610" s="32"/>
      <c r="F610" s="32"/>
      <c r="G610" s="32"/>
      <c r="H610" s="32"/>
      <c r="I610" s="14"/>
    </row>
    <row r="611">
      <c r="A611" s="31"/>
      <c r="B611" s="18"/>
      <c r="E611" s="32"/>
      <c r="F611" s="32"/>
      <c r="G611" s="32"/>
      <c r="H611" s="32"/>
      <c r="I611" s="14"/>
    </row>
    <row r="612">
      <c r="A612" s="31"/>
      <c r="B612" s="18"/>
      <c r="E612" s="32"/>
      <c r="F612" s="32"/>
      <c r="G612" s="32"/>
      <c r="H612" s="32"/>
      <c r="I612" s="14"/>
    </row>
    <row r="613">
      <c r="A613" s="31"/>
      <c r="B613" s="18"/>
      <c r="E613" s="32"/>
      <c r="F613" s="32"/>
      <c r="G613" s="32"/>
      <c r="H613" s="32"/>
      <c r="I613" s="14"/>
    </row>
    <row r="614">
      <c r="A614" s="31"/>
      <c r="B614" s="18"/>
      <c r="E614" s="32"/>
      <c r="F614" s="32"/>
      <c r="G614" s="32"/>
      <c r="H614" s="32"/>
      <c r="I614" s="14"/>
    </row>
    <row r="615">
      <c r="A615" s="31"/>
      <c r="B615" s="18"/>
      <c r="E615" s="32"/>
      <c r="F615" s="32"/>
      <c r="G615" s="32"/>
      <c r="H615" s="32"/>
      <c r="I615" s="14"/>
    </row>
    <row r="616">
      <c r="A616" s="31"/>
      <c r="B616" s="18"/>
      <c r="E616" s="32"/>
      <c r="F616" s="32"/>
      <c r="G616" s="32"/>
      <c r="H616" s="32"/>
      <c r="I616" s="14"/>
    </row>
    <row r="617">
      <c r="A617" s="31"/>
      <c r="B617" s="18"/>
      <c r="E617" s="32"/>
      <c r="F617" s="32"/>
      <c r="G617" s="32"/>
      <c r="H617" s="32"/>
      <c r="I617" s="14"/>
    </row>
    <row r="618">
      <c r="A618" s="31"/>
      <c r="B618" s="18"/>
      <c r="E618" s="32"/>
      <c r="F618" s="32"/>
      <c r="G618" s="32"/>
      <c r="H618" s="32"/>
      <c r="I618" s="14"/>
    </row>
    <row r="619">
      <c r="A619" s="31"/>
      <c r="B619" s="18"/>
      <c r="E619" s="32"/>
      <c r="F619" s="32"/>
      <c r="G619" s="32"/>
      <c r="H619" s="32"/>
      <c r="I619" s="14"/>
    </row>
    <row r="620">
      <c r="A620" s="31"/>
      <c r="B620" s="18"/>
      <c r="E620" s="32"/>
      <c r="F620" s="32"/>
      <c r="G620" s="32"/>
      <c r="H620" s="32"/>
      <c r="I620" s="14"/>
    </row>
    <row r="621">
      <c r="A621" s="31"/>
      <c r="B621" s="18"/>
      <c r="E621" s="32"/>
      <c r="F621" s="32"/>
      <c r="G621" s="32"/>
      <c r="H621" s="32"/>
      <c r="I621" s="14"/>
    </row>
    <row r="622">
      <c r="A622" s="31"/>
      <c r="B622" s="18"/>
      <c r="E622" s="32"/>
      <c r="F622" s="32"/>
      <c r="G622" s="32"/>
      <c r="H622" s="32"/>
      <c r="I622" s="14"/>
    </row>
    <row r="623">
      <c r="A623" s="31"/>
      <c r="B623" s="18"/>
      <c r="E623" s="32"/>
      <c r="F623" s="32"/>
      <c r="G623" s="32"/>
      <c r="H623" s="32"/>
      <c r="I623" s="14"/>
    </row>
    <row r="624">
      <c r="A624" s="31"/>
      <c r="B624" s="18"/>
      <c r="E624" s="32"/>
      <c r="F624" s="32"/>
      <c r="G624" s="32"/>
      <c r="H624" s="32"/>
      <c r="I624" s="14"/>
    </row>
    <row r="625">
      <c r="A625" s="31"/>
      <c r="B625" s="18"/>
      <c r="E625" s="32"/>
      <c r="F625" s="32"/>
      <c r="G625" s="32"/>
      <c r="H625" s="32"/>
      <c r="I625" s="14"/>
    </row>
    <row r="626">
      <c r="A626" s="31"/>
      <c r="B626" s="18"/>
      <c r="E626" s="32"/>
      <c r="F626" s="32"/>
      <c r="G626" s="32"/>
      <c r="H626" s="32"/>
      <c r="I626" s="14"/>
    </row>
    <row r="627">
      <c r="A627" s="31"/>
      <c r="B627" s="18"/>
      <c r="E627" s="32"/>
      <c r="F627" s="32"/>
      <c r="G627" s="32"/>
      <c r="H627" s="32"/>
      <c r="I627" s="14"/>
    </row>
    <row r="628">
      <c r="A628" s="31"/>
      <c r="B628" s="18"/>
      <c r="E628" s="32"/>
      <c r="F628" s="32"/>
      <c r="G628" s="32"/>
      <c r="H628" s="32"/>
      <c r="I628" s="14"/>
    </row>
    <row r="629">
      <c r="A629" s="31"/>
      <c r="B629" s="18"/>
      <c r="E629" s="32"/>
      <c r="F629" s="32"/>
      <c r="G629" s="32"/>
      <c r="H629" s="32"/>
      <c r="I629" s="14"/>
    </row>
    <row r="630">
      <c r="A630" s="31"/>
      <c r="B630" s="18"/>
      <c r="E630" s="32"/>
      <c r="F630" s="32"/>
      <c r="G630" s="32"/>
      <c r="H630" s="32"/>
      <c r="I630" s="14"/>
    </row>
    <row r="631">
      <c r="A631" s="31"/>
      <c r="B631" s="18"/>
      <c r="E631" s="32"/>
      <c r="F631" s="32"/>
      <c r="G631" s="32"/>
      <c r="H631" s="32"/>
      <c r="I631" s="14"/>
    </row>
    <row r="632">
      <c r="A632" s="31"/>
      <c r="B632" s="18"/>
      <c r="E632" s="32"/>
      <c r="F632" s="32"/>
      <c r="G632" s="32"/>
      <c r="H632" s="32"/>
      <c r="I632" s="14"/>
    </row>
    <row r="633">
      <c r="A633" s="31"/>
      <c r="B633" s="18"/>
      <c r="E633" s="32"/>
      <c r="F633" s="32"/>
      <c r="G633" s="32"/>
      <c r="H633" s="32"/>
      <c r="I633" s="14"/>
    </row>
    <row r="634">
      <c r="A634" s="31"/>
      <c r="B634" s="18"/>
      <c r="E634" s="32"/>
      <c r="F634" s="32"/>
      <c r="G634" s="32"/>
      <c r="H634" s="32"/>
      <c r="I634" s="14"/>
    </row>
    <row r="635">
      <c r="A635" s="31"/>
      <c r="B635" s="18"/>
      <c r="E635" s="32"/>
      <c r="F635" s="32"/>
      <c r="G635" s="32"/>
      <c r="H635" s="32"/>
      <c r="I635" s="14"/>
    </row>
    <row r="636">
      <c r="A636" s="31"/>
      <c r="B636" s="18"/>
      <c r="E636" s="32"/>
      <c r="F636" s="32"/>
      <c r="G636" s="32"/>
      <c r="H636" s="32"/>
      <c r="I636" s="14"/>
    </row>
    <row r="637">
      <c r="A637" s="31"/>
      <c r="B637" s="18"/>
      <c r="E637" s="32"/>
      <c r="F637" s="32"/>
      <c r="G637" s="32"/>
      <c r="H637" s="32"/>
      <c r="I637" s="14"/>
    </row>
    <row r="638">
      <c r="A638" s="31"/>
      <c r="B638" s="18"/>
      <c r="E638" s="32"/>
      <c r="F638" s="32"/>
      <c r="G638" s="32"/>
      <c r="H638" s="32"/>
      <c r="I638" s="14"/>
    </row>
    <row r="639">
      <c r="A639" s="31"/>
      <c r="B639" s="18"/>
      <c r="E639" s="32"/>
      <c r="F639" s="32"/>
      <c r="G639" s="32"/>
      <c r="H639" s="32"/>
      <c r="I639" s="14"/>
    </row>
    <row r="640">
      <c r="A640" s="31"/>
      <c r="B640" s="18"/>
      <c r="E640" s="32"/>
      <c r="F640" s="32"/>
      <c r="G640" s="32"/>
      <c r="H640" s="32"/>
      <c r="I640" s="14"/>
    </row>
    <row r="641">
      <c r="A641" s="31"/>
      <c r="B641" s="18"/>
      <c r="E641" s="32"/>
      <c r="F641" s="32"/>
      <c r="G641" s="32"/>
      <c r="H641" s="32"/>
      <c r="I641" s="14"/>
    </row>
    <row r="642">
      <c r="A642" s="31"/>
      <c r="B642" s="18"/>
      <c r="E642" s="32"/>
      <c r="F642" s="32"/>
      <c r="G642" s="32"/>
      <c r="H642" s="32"/>
      <c r="I642" s="14"/>
    </row>
    <row r="643">
      <c r="A643" s="31"/>
      <c r="B643" s="18"/>
      <c r="E643" s="32"/>
      <c r="F643" s="32"/>
      <c r="G643" s="32"/>
      <c r="H643" s="32"/>
      <c r="I643" s="14"/>
    </row>
    <row r="644">
      <c r="A644" s="31"/>
      <c r="B644" s="18"/>
      <c r="E644" s="32"/>
      <c r="F644" s="32"/>
      <c r="G644" s="32"/>
      <c r="H644" s="32"/>
      <c r="I644" s="14"/>
    </row>
    <row r="645">
      <c r="A645" s="31"/>
      <c r="B645" s="18"/>
      <c r="E645" s="32"/>
      <c r="F645" s="32"/>
      <c r="G645" s="32"/>
      <c r="H645" s="32"/>
      <c r="I645" s="14"/>
    </row>
    <row r="646">
      <c r="A646" s="31"/>
      <c r="B646" s="18"/>
      <c r="E646" s="32"/>
      <c r="F646" s="32"/>
      <c r="G646" s="32"/>
      <c r="H646" s="32"/>
      <c r="I646" s="14"/>
    </row>
    <row r="647">
      <c r="A647" s="31"/>
      <c r="B647" s="18"/>
      <c r="E647" s="32"/>
      <c r="F647" s="32"/>
      <c r="G647" s="32"/>
      <c r="H647" s="32"/>
      <c r="I647" s="14"/>
    </row>
    <row r="648">
      <c r="A648" s="31"/>
      <c r="B648" s="18"/>
      <c r="E648" s="32"/>
      <c r="F648" s="32"/>
      <c r="G648" s="32"/>
      <c r="H648" s="32"/>
      <c r="I648" s="14"/>
    </row>
    <row r="649">
      <c r="A649" s="31"/>
      <c r="B649" s="18"/>
      <c r="E649" s="32"/>
      <c r="F649" s="32"/>
      <c r="G649" s="32"/>
      <c r="H649" s="32"/>
      <c r="I649" s="14"/>
    </row>
    <row r="650">
      <c r="A650" s="31"/>
      <c r="B650" s="18"/>
      <c r="E650" s="32"/>
      <c r="F650" s="32"/>
      <c r="G650" s="32"/>
      <c r="H650" s="32"/>
      <c r="I650" s="14"/>
    </row>
    <row r="651">
      <c r="A651" s="31"/>
      <c r="B651" s="18"/>
      <c r="E651" s="32"/>
      <c r="F651" s="32"/>
      <c r="G651" s="32"/>
      <c r="H651" s="32"/>
      <c r="I651" s="14"/>
    </row>
    <row r="652">
      <c r="A652" s="31"/>
      <c r="B652" s="18"/>
      <c r="E652" s="32"/>
      <c r="F652" s="32"/>
      <c r="G652" s="32"/>
      <c r="H652" s="32"/>
      <c r="I652" s="14"/>
    </row>
    <row r="653">
      <c r="A653" s="31"/>
      <c r="B653" s="18"/>
      <c r="E653" s="32"/>
      <c r="F653" s="32"/>
      <c r="G653" s="32"/>
      <c r="H653" s="32"/>
      <c r="I653" s="14"/>
    </row>
    <row r="654">
      <c r="A654" s="31"/>
      <c r="B654" s="18"/>
      <c r="E654" s="32"/>
      <c r="F654" s="32"/>
      <c r="G654" s="32"/>
      <c r="H654" s="32"/>
      <c r="I654" s="14"/>
    </row>
    <row r="655">
      <c r="A655" s="31"/>
      <c r="B655" s="18"/>
      <c r="E655" s="32"/>
      <c r="F655" s="32"/>
      <c r="G655" s="32"/>
      <c r="H655" s="32"/>
      <c r="I655" s="14"/>
    </row>
    <row r="656">
      <c r="A656" s="31"/>
      <c r="B656" s="18"/>
      <c r="E656" s="32"/>
      <c r="F656" s="32"/>
      <c r="G656" s="32"/>
      <c r="H656" s="32"/>
      <c r="I656" s="14"/>
    </row>
    <row r="657">
      <c r="A657" s="31"/>
      <c r="B657" s="18"/>
      <c r="E657" s="32"/>
      <c r="F657" s="32"/>
      <c r="G657" s="32"/>
      <c r="H657" s="32"/>
      <c r="I657" s="14"/>
    </row>
    <row r="658">
      <c r="A658" s="31"/>
      <c r="B658" s="18"/>
      <c r="E658" s="32"/>
      <c r="F658" s="32"/>
      <c r="G658" s="32"/>
      <c r="H658" s="32"/>
      <c r="I658" s="14"/>
    </row>
    <row r="659">
      <c r="A659" s="31"/>
      <c r="B659" s="18"/>
      <c r="E659" s="32"/>
      <c r="F659" s="32"/>
      <c r="G659" s="32"/>
      <c r="H659" s="32"/>
      <c r="I659" s="14"/>
    </row>
    <row r="660">
      <c r="A660" s="31"/>
      <c r="B660" s="18"/>
      <c r="E660" s="32"/>
      <c r="F660" s="32"/>
      <c r="G660" s="32"/>
      <c r="H660" s="32"/>
      <c r="I660" s="14"/>
    </row>
    <row r="661">
      <c r="A661" s="31"/>
      <c r="B661" s="18"/>
      <c r="E661" s="32"/>
      <c r="F661" s="32"/>
      <c r="G661" s="32"/>
      <c r="H661" s="32"/>
      <c r="I661" s="14"/>
    </row>
    <row r="662">
      <c r="A662" s="31"/>
      <c r="B662" s="18"/>
      <c r="E662" s="32"/>
      <c r="F662" s="32"/>
      <c r="G662" s="32"/>
      <c r="H662" s="32"/>
      <c r="I662" s="14"/>
    </row>
    <row r="663">
      <c r="A663" s="31"/>
      <c r="B663" s="18"/>
      <c r="E663" s="32"/>
      <c r="F663" s="32"/>
      <c r="G663" s="32"/>
      <c r="H663" s="32"/>
      <c r="I663" s="14"/>
    </row>
    <row r="664">
      <c r="A664" s="31"/>
      <c r="B664" s="18"/>
      <c r="E664" s="32"/>
      <c r="F664" s="32"/>
      <c r="G664" s="32"/>
      <c r="H664" s="32"/>
      <c r="I664" s="14"/>
    </row>
    <row r="665">
      <c r="A665" s="31"/>
      <c r="B665" s="18"/>
      <c r="E665" s="32"/>
      <c r="F665" s="32"/>
      <c r="G665" s="32"/>
      <c r="H665" s="32"/>
      <c r="I665" s="14"/>
    </row>
    <row r="666">
      <c r="A666" s="31"/>
      <c r="B666" s="18"/>
      <c r="E666" s="32"/>
      <c r="F666" s="32"/>
      <c r="G666" s="32"/>
      <c r="H666" s="32"/>
      <c r="I666" s="14"/>
    </row>
    <row r="667">
      <c r="A667" s="31"/>
      <c r="B667" s="18"/>
      <c r="E667" s="32"/>
      <c r="F667" s="32"/>
      <c r="G667" s="32"/>
      <c r="H667" s="32"/>
      <c r="I667" s="14"/>
    </row>
    <row r="668">
      <c r="A668" s="31"/>
      <c r="B668" s="18"/>
      <c r="E668" s="32"/>
      <c r="F668" s="32"/>
      <c r="G668" s="32"/>
      <c r="H668" s="32"/>
      <c r="I668" s="14"/>
    </row>
    <row r="669">
      <c r="A669" s="31"/>
      <c r="B669" s="18"/>
      <c r="E669" s="32"/>
      <c r="F669" s="32"/>
      <c r="G669" s="32"/>
      <c r="H669" s="32"/>
      <c r="I669" s="14"/>
    </row>
    <row r="670">
      <c r="A670" s="31"/>
      <c r="B670" s="18"/>
      <c r="E670" s="32"/>
      <c r="F670" s="32"/>
      <c r="G670" s="32"/>
      <c r="H670" s="32"/>
      <c r="I670" s="14"/>
    </row>
    <row r="671">
      <c r="A671" s="31"/>
      <c r="B671" s="18"/>
      <c r="E671" s="32"/>
      <c r="F671" s="32"/>
      <c r="G671" s="32"/>
      <c r="H671" s="32"/>
      <c r="I671" s="14"/>
    </row>
    <row r="672">
      <c r="A672" s="31"/>
      <c r="B672" s="18"/>
      <c r="E672" s="32"/>
      <c r="F672" s="32"/>
      <c r="G672" s="32"/>
      <c r="H672" s="32"/>
      <c r="I672" s="14"/>
    </row>
    <row r="673">
      <c r="A673" s="31"/>
      <c r="B673" s="18"/>
      <c r="E673" s="32"/>
      <c r="F673" s="32"/>
      <c r="G673" s="32"/>
      <c r="H673" s="32"/>
      <c r="I673" s="14"/>
    </row>
    <row r="674">
      <c r="A674" s="31"/>
      <c r="B674" s="18"/>
      <c r="E674" s="32"/>
      <c r="F674" s="32"/>
      <c r="G674" s="32"/>
      <c r="H674" s="32"/>
      <c r="I674" s="14"/>
    </row>
    <row r="675">
      <c r="A675" s="31"/>
      <c r="B675" s="18"/>
      <c r="E675" s="32"/>
      <c r="F675" s="32"/>
      <c r="G675" s="32"/>
      <c r="H675" s="32"/>
      <c r="I675" s="14"/>
    </row>
    <row r="676">
      <c r="A676" s="31"/>
      <c r="B676" s="18"/>
      <c r="E676" s="32"/>
      <c r="F676" s="32"/>
      <c r="G676" s="32"/>
      <c r="H676" s="32"/>
      <c r="I676" s="14"/>
    </row>
    <row r="677">
      <c r="A677" s="31"/>
      <c r="B677" s="18"/>
      <c r="E677" s="32"/>
      <c r="F677" s="32"/>
      <c r="G677" s="32"/>
      <c r="H677" s="32"/>
      <c r="I677" s="14"/>
    </row>
    <row r="678">
      <c r="A678" s="31"/>
      <c r="B678" s="18"/>
      <c r="E678" s="32"/>
      <c r="F678" s="32"/>
      <c r="G678" s="32"/>
      <c r="H678" s="32"/>
      <c r="I678" s="14"/>
    </row>
    <row r="679">
      <c r="A679" s="31"/>
      <c r="B679" s="18"/>
      <c r="E679" s="32"/>
      <c r="F679" s="32"/>
      <c r="G679" s="32"/>
      <c r="H679" s="32"/>
      <c r="I679" s="14"/>
    </row>
    <row r="680">
      <c r="A680" s="31"/>
      <c r="B680" s="18"/>
      <c r="E680" s="32"/>
      <c r="F680" s="32"/>
      <c r="G680" s="32"/>
      <c r="H680" s="32"/>
      <c r="I680" s="14"/>
    </row>
    <row r="681">
      <c r="A681" s="31"/>
      <c r="B681" s="18"/>
      <c r="E681" s="32"/>
      <c r="F681" s="32"/>
      <c r="G681" s="32"/>
      <c r="H681" s="32"/>
      <c r="I681" s="14"/>
    </row>
    <row r="682">
      <c r="A682" s="31"/>
      <c r="B682" s="18"/>
      <c r="E682" s="32"/>
      <c r="F682" s="32"/>
      <c r="G682" s="32"/>
      <c r="H682" s="32"/>
      <c r="I682" s="14"/>
    </row>
    <row r="683">
      <c r="A683" s="31"/>
      <c r="B683" s="18"/>
      <c r="E683" s="32"/>
      <c r="F683" s="32"/>
      <c r="G683" s="32"/>
      <c r="H683" s="32"/>
      <c r="I683" s="14"/>
    </row>
    <row r="684">
      <c r="A684" s="31"/>
      <c r="B684" s="18"/>
      <c r="E684" s="32"/>
      <c r="F684" s="32"/>
      <c r="G684" s="32"/>
      <c r="H684" s="32"/>
      <c r="I684" s="14"/>
    </row>
    <row r="685">
      <c r="A685" s="31"/>
      <c r="B685" s="18"/>
      <c r="E685" s="32"/>
      <c r="F685" s="32"/>
      <c r="G685" s="32"/>
      <c r="H685" s="32"/>
      <c r="I685" s="14"/>
    </row>
    <row r="686">
      <c r="A686" s="31"/>
      <c r="B686" s="18"/>
      <c r="E686" s="32"/>
      <c r="F686" s="32"/>
      <c r="G686" s="32"/>
      <c r="H686" s="32"/>
      <c r="I686" s="14"/>
    </row>
    <row r="687">
      <c r="A687" s="31"/>
      <c r="B687" s="18"/>
      <c r="E687" s="32"/>
      <c r="F687" s="32"/>
      <c r="G687" s="32"/>
      <c r="H687" s="32"/>
      <c r="I687" s="14"/>
    </row>
    <row r="688">
      <c r="A688" s="31"/>
      <c r="B688" s="18"/>
      <c r="E688" s="32"/>
      <c r="F688" s="32"/>
      <c r="G688" s="32"/>
      <c r="H688" s="32"/>
      <c r="I688" s="14"/>
    </row>
    <row r="689">
      <c r="A689" s="31"/>
      <c r="B689" s="18"/>
      <c r="E689" s="32"/>
      <c r="F689" s="32"/>
      <c r="G689" s="32"/>
      <c r="H689" s="32"/>
      <c r="I689" s="14"/>
    </row>
    <row r="690">
      <c r="A690" s="31"/>
      <c r="B690" s="18"/>
      <c r="E690" s="32"/>
      <c r="F690" s="32"/>
      <c r="G690" s="32"/>
      <c r="H690" s="32"/>
      <c r="I690" s="14"/>
    </row>
    <row r="691">
      <c r="A691" s="31"/>
      <c r="B691" s="18"/>
      <c r="E691" s="32"/>
      <c r="F691" s="32"/>
      <c r="G691" s="32"/>
      <c r="H691" s="32"/>
      <c r="I691" s="14"/>
    </row>
    <row r="692">
      <c r="A692" s="31"/>
      <c r="B692" s="18"/>
      <c r="E692" s="32"/>
      <c r="F692" s="32"/>
      <c r="G692" s="32"/>
      <c r="H692" s="32"/>
      <c r="I692" s="14"/>
    </row>
    <row r="693">
      <c r="A693" s="31"/>
      <c r="B693" s="18"/>
      <c r="E693" s="32"/>
      <c r="F693" s="32"/>
      <c r="G693" s="32"/>
      <c r="H693" s="32"/>
      <c r="I693" s="14"/>
    </row>
    <row r="694">
      <c r="A694" s="31"/>
      <c r="B694" s="18"/>
      <c r="E694" s="32"/>
      <c r="F694" s="32"/>
      <c r="G694" s="32"/>
      <c r="H694" s="32"/>
      <c r="I694" s="14"/>
    </row>
    <row r="695">
      <c r="A695" s="31"/>
      <c r="B695" s="18"/>
      <c r="E695" s="32"/>
      <c r="F695" s="32"/>
      <c r="G695" s="32"/>
      <c r="H695" s="32"/>
      <c r="I695" s="14"/>
    </row>
    <row r="696">
      <c r="A696" s="31"/>
      <c r="B696" s="18"/>
      <c r="E696" s="32"/>
      <c r="F696" s="32"/>
      <c r="G696" s="32"/>
      <c r="H696" s="32"/>
      <c r="I696" s="14"/>
    </row>
    <row r="697">
      <c r="A697" s="31"/>
      <c r="B697" s="18"/>
      <c r="E697" s="32"/>
      <c r="F697" s="32"/>
      <c r="G697" s="32"/>
      <c r="H697" s="32"/>
      <c r="I697" s="14"/>
    </row>
    <row r="698">
      <c r="A698" s="31"/>
      <c r="B698" s="18"/>
      <c r="E698" s="32"/>
      <c r="F698" s="32"/>
      <c r="G698" s="32"/>
      <c r="H698" s="32"/>
      <c r="I698" s="14"/>
    </row>
    <row r="699">
      <c r="A699" s="31"/>
      <c r="B699" s="18"/>
      <c r="E699" s="32"/>
      <c r="F699" s="32"/>
      <c r="G699" s="32"/>
      <c r="H699" s="32"/>
      <c r="I699" s="14"/>
    </row>
    <row r="700">
      <c r="A700" s="31"/>
      <c r="B700" s="18"/>
      <c r="E700" s="32"/>
      <c r="F700" s="32"/>
      <c r="G700" s="32"/>
      <c r="H700" s="32"/>
      <c r="I700" s="14"/>
    </row>
    <row r="701">
      <c r="A701" s="31"/>
      <c r="B701" s="18"/>
      <c r="E701" s="32"/>
      <c r="F701" s="32"/>
      <c r="G701" s="32"/>
      <c r="H701" s="32"/>
      <c r="I701" s="14"/>
    </row>
    <row r="702">
      <c r="A702" s="31"/>
      <c r="B702" s="18"/>
      <c r="E702" s="32"/>
      <c r="F702" s="32"/>
      <c r="G702" s="32"/>
      <c r="H702" s="32"/>
      <c r="I702" s="14"/>
    </row>
    <row r="703">
      <c r="A703" s="31"/>
      <c r="B703" s="18"/>
      <c r="E703" s="32"/>
      <c r="F703" s="32"/>
      <c r="G703" s="32"/>
      <c r="H703" s="32"/>
      <c r="I703" s="14"/>
    </row>
    <row r="704">
      <c r="A704" s="31"/>
      <c r="B704" s="18"/>
      <c r="E704" s="32"/>
      <c r="F704" s="32"/>
      <c r="G704" s="32"/>
      <c r="H704" s="32"/>
      <c r="I704" s="14"/>
    </row>
    <row r="705">
      <c r="A705" s="31"/>
      <c r="B705" s="18"/>
      <c r="E705" s="32"/>
      <c r="F705" s="32"/>
      <c r="G705" s="32"/>
      <c r="H705" s="32"/>
      <c r="I705" s="14"/>
    </row>
    <row r="706">
      <c r="A706" s="31"/>
      <c r="B706" s="18"/>
      <c r="E706" s="32"/>
      <c r="F706" s="32"/>
      <c r="G706" s="32"/>
      <c r="H706" s="32"/>
      <c r="I706" s="14"/>
    </row>
    <row r="707">
      <c r="A707" s="31"/>
      <c r="B707" s="18"/>
      <c r="E707" s="32"/>
      <c r="F707" s="32"/>
      <c r="G707" s="32"/>
      <c r="H707" s="32"/>
      <c r="I707" s="14"/>
    </row>
    <row r="708">
      <c r="A708" s="31"/>
      <c r="B708" s="18"/>
      <c r="E708" s="32"/>
      <c r="F708" s="32"/>
      <c r="G708" s="32"/>
      <c r="H708" s="32"/>
      <c r="I708" s="14"/>
    </row>
    <row r="709">
      <c r="A709" s="31"/>
      <c r="B709" s="18"/>
      <c r="E709" s="32"/>
      <c r="F709" s="32"/>
      <c r="G709" s="32"/>
      <c r="H709" s="32"/>
      <c r="I709" s="14"/>
    </row>
    <row r="710">
      <c r="A710" s="31"/>
      <c r="B710" s="18"/>
      <c r="E710" s="32"/>
      <c r="F710" s="32"/>
      <c r="G710" s="32"/>
      <c r="H710" s="32"/>
      <c r="I710" s="14"/>
    </row>
    <row r="711">
      <c r="A711" s="31"/>
      <c r="B711" s="18"/>
      <c r="E711" s="32"/>
      <c r="F711" s="32"/>
      <c r="G711" s="32"/>
      <c r="H711" s="32"/>
      <c r="I711" s="14"/>
    </row>
    <row r="712">
      <c r="A712" s="31"/>
      <c r="B712" s="18"/>
      <c r="E712" s="32"/>
      <c r="F712" s="32"/>
      <c r="G712" s="32"/>
      <c r="H712" s="32"/>
      <c r="I712" s="14"/>
    </row>
    <row r="713">
      <c r="A713" s="31"/>
      <c r="B713" s="18"/>
      <c r="E713" s="32"/>
      <c r="F713" s="32"/>
      <c r="G713" s="32"/>
      <c r="H713" s="32"/>
      <c r="I713" s="14"/>
    </row>
    <row r="714">
      <c r="A714" s="31"/>
      <c r="B714" s="18"/>
      <c r="E714" s="32"/>
      <c r="F714" s="32"/>
      <c r="G714" s="32"/>
      <c r="H714" s="32"/>
      <c r="I714" s="14"/>
    </row>
    <row r="715">
      <c r="A715" s="31"/>
      <c r="B715" s="18"/>
      <c r="E715" s="32"/>
      <c r="F715" s="32"/>
      <c r="G715" s="32"/>
      <c r="H715" s="32"/>
      <c r="I715" s="14"/>
    </row>
    <row r="716">
      <c r="A716" s="31"/>
      <c r="B716" s="18"/>
      <c r="E716" s="32"/>
      <c r="F716" s="32"/>
      <c r="G716" s="32"/>
      <c r="H716" s="32"/>
      <c r="I716" s="14"/>
    </row>
    <row r="717">
      <c r="A717" s="31"/>
      <c r="B717" s="18"/>
      <c r="E717" s="32"/>
      <c r="F717" s="32"/>
      <c r="G717" s="32"/>
      <c r="H717" s="32"/>
      <c r="I717" s="14"/>
    </row>
    <row r="718">
      <c r="A718" s="31"/>
      <c r="B718" s="18"/>
      <c r="E718" s="32"/>
      <c r="F718" s="32"/>
      <c r="G718" s="32"/>
      <c r="H718" s="32"/>
      <c r="I718" s="14"/>
    </row>
    <row r="719">
      <c r="A719" s="31"/>
      <c r="B719" s="18"/>
      <c r="E719" s="32"/>
      <c r="F719" s="32"/>
      <c r="G719" s="32"/>
      <c r="H719" s="32"/>
      <c r="I719" s="14"/>
    </row>
    <row r="720">
      <c r="A720" s="31"/>
      <c r="B720" s="18"/>
      <c r="E720" s="32"/>
      <c r="F720" s="32"/>
      <c r="G720" s="32"/>
      <c r="H720" s="32"/>
      <c r="I720" s="14"/>
    </row>
    <row r="721">
      <c r="A721" s="31"/>
      <c r="B721" s="18"/>
      <c r="E721" s="32"/>
      <c r="F721" s="32"/>
      <c r="G721" s="32"/>
      <c r="H721" s="32"/>
      <c r="I721" s="14"/>
    </row>
    <row r="722">
      <c r="A722" s="31"/>
      <c r="B722" s="18"/>
      <c r="E722" s="32"/>
      <c r="F722" s="32"/>
      <c r="G722" s="32"/>
      <c r="H722" s="32"/>
      <c r="I722" s="14"/>
    </row>
    <row r="723">
      <c r="A723" s="31"/>
      <c r="B723" s="18"/>
      <c r="E723" s="32"/>
      <c r="F723" s="32"/>
      <c r="G723" s="32"/>
      <c r="H723" s="32"/>
      <c r="I723" s="14"/>
    </row>
    <row r="724">
      <c r="A724" s="31"/>
      <c r="B724" s="18"/>
      <c r="E724" s="32"/>
      <c r="F724" s="32"/>
      <c r="G724" s="32"/>
      <c r="H724" s="32"/>
      <c r="I724" s="14"/>
    </row>
    <row r="725">
      <c r="A725" s="31"/>
      <c r="B725" s="18"/>
      <c r="E725" s="32"/>
      <c r="F725" s="32"/>
      <c r="G725" s="32"/>
      <c r="H725" s="32"/>
      <c r="I725" s="14"/>
    </row>
    <row r="726">
      <c r="A726" s="31"/>
      <c r="B726" s="18"/>
      <c r="E726" s="32"/>
      <c r="F726" s="32"/>
      <c r="G726" s="32"/>
      <c r="H726" s="32"/>
      <c r="I726" s="14"/>
    </row>
    <row r="727">
      <c r="A727" s="31"/>
      <c r="B727" s="18"/>
      <c r="E727" s="32"/>
      <c r="F727" s="32"/>
      <c r="G727" s="32"/>
      <c r="H727" s="32"/>
      <c r="I727" s="14"/>
    </row>
    <row r="728">
      <c r="A728" s="31"/>
      <c r="B728" s="18"/>
      <c r="E728" s="32"/>
      <c r="F728" s="32"/>
      <c r="G728" s="32"/>
      <c r="H728" s="32"/>
      <c r="I728" s="14"/>
    </row>
    <row r="729">
      <c r="A729" s="31"/>
      <c r="B729" s="18"/>
      <c r="E729" s="32"/>
      <c r="F729" s="32"/>
      <c r="G729" s="32"/>
      <c r="H729" s="32"/>
      <c r="I729" s="14"/>
    </row>
    <row r="730">
      <c r="A730" s="31"/>
      <c r="B730" s="18"/>
      <c r="E730" s="32"/>
      <c r="F730" s="32"/>
      <c r="G730" s="32"/>
      <c r="H730" s="32"/>
      <c r="I730" s="14"/>
    </row>
    <row r="731">
      <c r="A731" s="31"/>
      <c r="B731" s="18"/>
      <c r="E731" s="32"/>
      <c r="F731" s="32"/>
      <c r="G731" s="32"/>
      <c r="H731" s="32"/>
      <c r="I731" s="14"/>
    </row>
    <row r="732">
      <c r="A732" s="31"/>
      <c r="B732" s="18"/>
      <c r="E732" s="32"/>
      <c r="F732" s="32"/>
      <c r="G732" s="32"/>
      <c r="H732" s="32"/>
      <c r="I732" s="14"/>
    </row>
    <row r="733">
      <c r="A733" s="31"/>
      <c r="B733" s="18"/>
      <c r="E733" s="32"/>
      <c r="F733" s="32"/>
      <c r="G733" s="32"/>
      <c r="H733" s="32"/>
      <c r="I733" s="14"/>
    </row>
    <row r="734">
      <c r="A734" s="31"/>
      <c r="B734" s="18"/>
      <c r="E734" s="32"/>
      <c r="F734" s="32"/>
      <c r="G734" s="32"/>
      <c r="H734" s="32"/>
      <c r="I734" s="14"/>
    </row>
    <row r="735">
      <c r="A735" s="31"/>
      <c r="B735" s="18"/>
      <c r="E735" s="32"/>
      <c r="F735" s="32"/>
      <c r="G735" s="32"/>
      <c r="H735" s="32"/>
      <c r="I735" s="14"/>
    </row>
    <row r="736">
      <c r="A736" s="31"/>
      <c r="B736" s="18"/>
      <c r="E736" s="32"/>
      <c r="F736" s="32"/>
      <c r="G736" s="32"/>
      <c r="H736" s="32"/>
      <c r="I736" s="14"/>
    </row>
    <row r="737">
      <c r="A737" s="31"/>
      <c r="B737" s="18"/>
      <c r="E737" s="32"/>
      <c r="F737" s="32"/>
      <c r="G737" s="32"/>
      <c r="H737" s="32"/>
      <c r="I737" s="14"/>
    </row>
    <row r="738">
      <c r="A738" s="31"/>
      <c r="B738" s="18"/>
      <c r="E738" s="32"/>
      <c r="F738" s="32"/>
      <c r="G738" s="32"/>
      <c r="H738" s="32"/>
      <c r="I738" s="14"/>
    </row>
    <row r="739">
      <c r="A739" s="31"/>
      <c r="B739" s="18"/>
      <c r="E739" s="32"/>
      <c r="F739" s="32"/>
      <c r="G739" s="32"/>
      <c r="H739" s="32"/>
      <c r="I739" s="14"/>
    </row>
    <row r="740">
      <c r="A740" s="31"/>
      <c r="B740" s="18"/>
      <c r="E740" s="32"/>
      <c r="F740" s="32"/>
      <c r="G740" s="32"/>
      <c r="H740" s="32"/>
      <c r="I740" s="14"/>
    </row>
    <row r="741">
      <c r="A741" s="31"/>
      <c r="B741" s="18"/>
      <c r="E741" s="32"/>
      <c r="F741" s="32"/>
      <c r="G741" s="32"/>
      <c r="H741" s="32"/>
      <c r="I741" s="14"/>
    </row>
    <row r="742">
      <c r="A742" s="31"/>
      <c r="B742" s="18"/>
      <c r="E742" s="32"/>
      <c r="F742" s="32"/>
      <c r="G742" s="32"/>
      <c r="H742" s="32"/>
      <c r="I742" s="14"/>
    </row>
    <row r="743">
      <c r="A743" s="31"/>
      <c r="B743" s="18"/>
      <c r="E743" s="32"/>
      <c r="F743" s="32"/>
      <c r="G743" s="32"/>
      <c r="H743" s="32"/>
      <c r="I743" s="14"/>
    </row>
    <row r="744">
      <c r="A744" s="31"/>
      <c r="B744" s="18"/>
      <c r="E744" s="32"/>
      <c r="F744" s="32"/>
      <c r="G744" s="32"/>
      <c r="H744" s="32"/>
      <c r="I744" s="14"/>
    </row>
    <row r="745">
      <c r="A745" s="31"/>
      <c r="B745" s="18"/>
      <c r="E745" s="32"/>
      <c r="F745" s="32"/>
      <c r="G745" s="32"/>
      <c r="H745" s="32"/>
      <c r="I745" s="14"/>
    </row>
    <row r="746">
      <c r="A746" s="31"/>
      <c r="B746" s="18"/>
      <c r="E746" s="32"/>
      <c r="F746" s="32"/>
      <c r="G746" s="32"/>
      <c r="H746" s="32"/>
      <c r="I746" s="14"/>
    </row>
    <row r="747">
      <c r="A747" s="31"/>
      <c r="B747" s="18"/>
      <c r="E747" s="32"/>
      <c r="F747" s="32"/>
      <c r="G747" s="32"/>
      <c r="H747" s="32"/>
      <c r="I747" s="14"/>
    </row>
    <row r="748">
      <c r="A748" s="31"/>
      <c r="B748" s="18"/>
      <c r="E748" s="32"/>
      <c r="F748" s="32"/>
      <c r="G748" s="32"/>
      <c r="H748" s="32"/>
      <c r="I748" s="14"/>
    </row>
    <row r="749">
      <c r="A749" s="31"/>
      <c r="B749" s="18"/>
      <c r="E749" s="32"/>
      <c r="F749" s="32"/>
      <c r="G749" s="32"/>
      <c r="H749" s="32"/>
      <c r="I749" s="14"/>
    </row>
    <row r="750">
      <c r="A750" s="31"/>
      <c r="B750" s="18"/>
      <c r="E750" s="32"/>
      <c r="F750" s="32"/>
      <c r="G750" s="32"/>
      <c r="H750" s="32"/>
      <c r="I750" s="14"/>
    </row>
    <row r="751">
      <c r="A751" s="31"/>
      <c r="B751" s="18"/>
      <c r="E751" s="32"/>
      <c r="F751" s="32"/>
      <c r="G751" s="32"/>
      <c r="H751" s="32"/>
      <c r="I751" s="14"/>
    </row>
    <row r="752">
      <c r="A752" s="31"/>
      <c r="B752" s="18"/>
      <c r="E752" s="32"/>
      <c r="F752" s="32"/>
      <c r="G752" s="32"/>
      <c r="H752" s="32"/>
      <c r="I752" s="14"/>
    </row>
    <row r="753">
      <c r="A753" s="31"/>
      <c r="B753" s="18"/>
      <c r="E753" s="32"/>
      <c r="F753" s="32"/>
      <c r="G753" s="32"/>
      <c r="H753" s="32"/>
      <c r="I753" s="14"/>
    </row>
    <row r="754">
      <c r="A754" s="31"/>
      <c r="B754" s="18"/>
      <c r="E754" s="32"/>
      <c r="F754" s="32"/>
      <c r="G754" s="32"/>
      <c r="H754" s="32"/>
      <c r="I754" s="14"/>
    </row>
    <row r="755">
      <c r="A755" s="31"/>
      <c r="B755" s="18"/>
      <c r="E755" s="32"/>
      <c r="F755" s="32"/>
      <c r="G755" s="32"/>
      <c r="H755" s="32"/>
      <c r="I755" s="14"/>
    </row>
    <row r="756">
      <c r="A756" s="31"/>
      <c r="B756" s="18"/>
      <c r="E756" s="32"/>
      <c r="F756" s="32"/>
      <c r="G756" s="32"/>
      <c r="H756" s="32"/>
      <c r="I756" s="14"/>
    </row>
    <row r="757">
      <c r="A757" s="31"/>
      <c r="B757" s="18"/>
      <c r="E757" s="32"/>
      <c r="F757" s="32"/>
      <c r="G757" s="32"/>
      <c r="H757" s="32"/>
      <c r="I757" s="14"/>
    </row>
    <row r="758">
      <c r="A758" s="31"/>
      <c r="B758" s="18"/>
      <c r="E758" s="32"/>
      <c r="F758" s="32"/>
      <c r="G758" s="32"/>
      <c r="H758" s="32"/>
      <c r="I758" s="14"/>
    </row>
    <row r="759">
      <c r="A759" s="31"/>
      <c r="B759" s="18"/>
      <c r="E759" s="32"/>
      <c r="F759" s="32"/>
      <c r="G759" s="32"/>
      <c r="H759" s="32"/>
      <c r="I759" s="14"/>
    </row>
    <row r="760">
      <c r="A760" s="31"/>
      <c r="B760" s="18"/>
      <c r="E760" s="32"/>
      <c r="F760" s="32"/>
      <c r="G760" s="32"/>
      <c r="H760" s="32"/>
      <c r="I760" s="14"/>
    </row>
    <row r="761">
      <c r="A761" s="31"/>
      <c r="B761" s="18"/>
      <c r="E761" s="32"/>
      <c r="F761" s="32"/>
      <c r="G761" s="32"/>
      <c r="H761" s="32"/>
      <c r="I761" s="14"/>
    </row>
    <row r="762">
      <c r="A762" s="31"/>
      <c r="B762" s="18"/>
      <c r="E762" s="32"/>
      <c r="F762" s="32"/>
      <c r="G762" s="32"/>
      <c r="H762" s="32"/>
      <c r="I762" s="14"/>
    </row>
    <row r="763">
      <c r="A763" s="31"/>
      <c r="B763" s="18"/>
      <c r="E763" s="32"/>
      <c r="F763" s="32"/>
      <c r="G763" s="32"/>
      <c r="H763" s="32"/>
      <c r="I763" s="14"/>
    </row>
    <row r="764">
      <c r="A764" s="31"/>
      <c r="B764" s="18"/>
      <c r="E764" s="32"/>
      <c r="F764" s="32"/>
      <c r="G764" s="32"/>
      <c r="H764" s="32"/>
      <c r="I764" s="14"/>
    </row>
    <row r="765">
      <c r="A765" s="31"/>
      <c r="B765" s="18"/>
      <c r="E765" s="32"/>
      <c r="F765" s="32"/>
      <c r="G765" s="32"/>
      <c r="H765" s="32"/>
      <c r="I765" s="14"/>
    </row>
    <row r="766">
      <c r="A766" s="31"/>
      <c r="B766" s="18"/>
      <c r="E766" s="32"/>
      <c r="F766" s="32"/>
      <c r="G766" s="32"/>
      <c r="H766" s="32"/>
      <c r="I766" s="14"/>
    </row>
    <row r="767">
      <c r="A767" s="31"/>
      <c r="B767" s="18"/>
      <c r="E767" s="32"/>
      <c r="F767" s="32"/>
      <c r="G767" s="32"/>
      <c r="H767" s="32"/>
      <c r="I767" s="14"/>
    </row>
    <row r="768">
      <c r="A768" s="31"/>
      <c r="B768" s="18"/>
      <c r="E768" s="32"/>
      <c r="F768" s="32"/>
      <c r="G768" s="32"/>
      <c r="H768" s="32"/>
      <c r="I768" s="14"/>
    </row>
    <row r="769">
      <c r="A769" s="31"/>
      <c r="B769" s="18"/>
      <c r="E769" s="32"/>
      <c r="F769" s="32"/>
      <c r="G769" s="32"/>
      <c r="H769" s="32"/>
      <c r="I769" s="14"/>
    </row>
    <row r="770">
      <c r="A770" s="31"/>
      <c r="B770" s="18"/>
      <c r="E770" s="32"/>
      <c r="F770" s="32"/>
      <c r="G770" s="32"/>
      <c r="H770" s="32"/>
      <c r="I770" s="14"/>
    </row>
    <row r="771">
      <c r="A771" s="31"/>
      <c r="B771" s="18"/>
      <c r="E771" s="32"/>
      <c r="F771" s="32"/>
      <c r="G771" s="32"/>
      <c r="H771" s="32"/>
      <c r="I771" s="14"/>
    </row>
    <row r="772">
      <c r="A772" s="31"/>
      <c r="B772" s="18"/>
      <c r="E772" s="32"/>
      <c r="F772" s="32"/>
      <c r="G772" s="32"/>
      <c r="H772" s="32"/>
      <c r="I772" s="14"/>
    </row>
    <row r="773">
      <c r="A773" s="31"/>
      <c r="B773" s="18"/>
      <c r="E773" s="32"/>
      <c r="F773" s="32"/>
      <c r="G773" s="32"/>
      <c r="H773" s="32"/>
      <c r="I773" s="14"/>
    </row>
    <row r="774">
      <c r="A774" s="31"/>
      <c r="B774" s="18"/>
      <c r="E774" s="32"/>
      <c r="F774" s="32"/>
      <c r="G774" s="32"/>
      <c r="H774" s="32"/>
      <c r="I774" s="14"/>
    </row>
    <row r="775">
      <c r="A775" s="31"/>
      <c r="B775" s="18"/>
      <c r="E775" s="32"/>
      <c r="F775" s="32"/>
      <c r="G775" s="32"/>
      <c r="H775" s="32"/>
      <c r="I775" s="14"/>
    </row>
    <row r="776">
      <c r="A776" s="31"/>
      <c r="B776" s="18"/>
      <c r="E776" s="32"/>
      <c r="F776" s="32"/>
      <c r="G776" s="32"/>
      <c r="H776" s="32"/>
      <c r="I776" s="14"/>
    </row>
    <row r="777">
      <c r="A777" s="31"/>
      <c r="B777" s="18"/>
      <c r="E777" s="32"/>
      <c r="F777" s="32"/>
      <c r="G777" s="32"/>
      <c r="H777" s="32"/>
      <c r="I777" s="14"/>
    </row>
    <row r="778">
      <c r="A778" s="31"/>
      <c r="B778" s="18"/>
      <c r="E778" s="32"/>
      <c r="F778" s="32"/>
      <c r="G778" s="32"/>
      <c r="H778" s="32"/>
      <c r="I778" s="14"/>
    </row>
    <row r="779">
      <c r="A779" s="31"/>
      <c r="B779" s="18"/>
      <c r="E779" s="32"/>
      <c r="F779" s="32"/>
      <c r="G779" s="32"/>
      <c r="H779" s="32"/>
      <c r="I779" s="14"/>
    </row>
    <row r="780">
      <c r="A780" s="31"/>
      <c r="B780" s="18"/>
      <c r="E780" s="32"/>
      <c r="F780" s="32"/>
      <c r="G780" s="32"/>
      <c r="H780" s="32"/>
      <c r="I780" s="14"/>
    </row>
    <row r="781">
      <c r="A781" s="31"/>
      <c r="B781" s="18"/>
      <c r="E781" s="32"/>
      <c r="F781" s="32"/>
      <c r="G781" s="32"/>
      <c r="H781" s="32"/>
      <c r="I781" s="14"/>
    </row>
    <row r="782">
      <c r="A782" s="31"/>
      <c r="B782" s="18"/>
      <c r="E782" s="32"/>
      <c r="F782" s="32"/>
      <c r="G782" s="32"/>
      <c r="H782" s="32"/>
      <c r="I782" s="14"/>
    </row>
    <row r="783">
      <c r="A783" s="31"/>
      <c r="B783" s="18"/>
      <c r="E783" s="32"/>
      <c r="F783" s="32"/>
      <c r="G783" s="32"/>
      <c r="H783" s="32"/>
      <c r="I783" s="14"/>
    </row>
    <row r="784">
      <c r="A784" s="31"/>
      <c r="B784" s="18"/>
      <c r="E784" s="32"/>
      <c r="F784" s="32"/>
      <c r="G784" s="32"/>
      <c r="H784" s="32"/>
      <c r="I784" s="14"/>
    </row>
    <row r="785">
      <c r="A785" s="31"/>
      <c r="B785" s="18"/>
      <c r="E785" s="32"/>
      <c r="F785" s="32"/>
      <c r="G785" s="32"/>
      <c r="H785" s="32"/>
      <c r="I785" s="14"/>
    </row>
    <row r="786">
      <c r="A786" s="31"/>
      <c r="B786" s="18"/>
      <c r="E786" s="32"/>
      <c r="F786" s="32"/>
      <c r="G786" s="32"/>
      <c r="H786" s="32"/>
      <c r="I786" s="14"/>
    </row>
    <row r="787">
      <c r="A787" s="31"/>
      <c r="B787" s="18"/>
      <c r="E787" s="32"/>
      <c r="F787" s="32"/>
      <c r="G787" s="32"/>
      <c r="H787" s="32"/>
      <c r="I787" s="14"/>
    </row>
    <row r="788">
      <c r="A788" s="31"/>
      <c r="B788" s="18"/>
      <c r="E788" s="32"/>
      <c r="F788" s="32"/>
      <c r="G788" s="32"/>
      <c r="H788" s="32"/>
      <c r="I788" s="14"/>
    </row>
    <row r="789">
      <c r="A789" s="31"/>
      <c r="B789" s="18"/>
      <c r="E789" s="32"/>
      <c r="F789" s="32"/>
      <c r="G789" s="32"/>
      <c r="H789" s="32"/>
      <c r="I789" s="14"/>
    </row>
    <row r="790">
      <c r="A790" s="31"/>
      <c r="B790" s="18"/>
      <c r="E790" s="32"/>
      <c r="F790" s="32"/>
      <c r="G790" s="32"/>
      <c r="H790" s="32"/>
      <c r="I790" s="14"/>
    </row>
    <row r="791">
      <c r="A791" s="31"/>
      <c r="B791" s="18"/>
      <c r="E791" s="32"/>
      <c r="F791" s="32"/>
      <c r="G791" s="32"/>
      <c r="H791" s="32"/>
      <c r="I791" s="14"/>
    </row>
    <row r="792">
      <c r="A792" s="31"/>
      <c r="B792" s="18"/>
      <c r="E792" s="32"/>
      <c r="F792" s="32"/>
      <c r="G792" s="32"/>
      <c r="H792" s="32"/>
      <c r="I792" s="14"/>
    </row>
    <row r="793">
      <c r="A793" s="31"/>
      <c r="B793" s="18"/>
      <c r="E793" s="32"/>
      <c r="F793" s="32"/>
      <c r="G793" s="32"/>
      <c r="H793" s="32"/>
      <c r="I793" s="14"/>
    </row>
    <row r="794">
      <c r="A794" s="31"/>
      <c r="B794" s="18"/>
      <c r="E794" s="32"/>
      <c r="F794" s="32"/>
      <c r="G794" s="32"/>
      <c r="H794" s="32"/>
      <c r="I794" s="14"/>
    </row>
    <row r="795">
      <c r="A795" s="31"/>
      <c r="B795" s="18"/>
      <c r="E795" s="32"/>
      <c r="F795" s="32"/>
      <c r="G795" s="32"/>
      <c r="H795" s="32"/>
      <c r="I795" s="14"/>
    </row>
    <row r="796">
      <c r="A796" s="31"/>
      <c r="B796" s="18"/>
      <c r="E796" s="32"/>
      <c r="F796" s="32"/>
      <c r="G796" s="32"/>
      <c r="H796" s="32"/>
      <c r="I796" s="14"/>
    </row>
    <row r="797">
      <c r="A797" s="31"/>
      <c r="B797" s="18"/>
      <c r="E797" s="32"/>
      <c r="F797" s="32"/>
      <c r="G797" s="32"/>
      <c r="H797" s="32"/>
      <c r="I797" s="14"/>
    </row>
    <row r="798">
      <c r="A798" s="31"/>
      <c r="B798" s="18"/>
      <c r="E798" s="32"/>
      <c r="F798" s="32"/>
      <c r="G798" s="32"/>
      <c r="H798" s="32"/>
      <c r="I798" s="14"/>
    </row>
    <row r="799">
      <c r="A799" s="31"/>
      <c r="B799" s="18"/>
      <c r="E799" s="32"/>
      <c r="F799" s="32"/>
      <c r="G799" s="32"/>
      <c r="H799" s="32"/>
      <c r="I799" s="14"/>
    </row>
    <row r="800">
      <c r="A800" s="31"/>
      <c r="B800" s="18"/>
      <c r="E800" s="32"/>
      <c r="F800" s="32"/>
      <c r="G800" s="32"/>
      <c r="H800" s="32"/>
      <c r="I800" s="14"/>
    </row>
    <row r="801">
      <c r="A801" s="31"/>
      <c r="B801" s="18"/>
      <c r="E801" s="32"/>
      <c r="F801" s="32"/>
      <c r="G801" s="32"/>
      <c r="H801" s="32"/>
      <c r="I801" s="14"/>
    </row>
    <row r="802">
      <c r="A802" s="31"/>
      <c r="B802" s="18"/>
      <c r="E802" s="32"/>
      <c r="F802" s="32"/>
      <c r="G802" s="32"/>
      <c r="H802" s="32"/>
      <c r="I802" s="14"/>
    </row>
    <row r="803">
      <c r="A803" s="31"/>
      <c r="B803" s="18"/>
      <c r="E803" s="32"/>
      <c r="F803" s="32"/>
      <c r="G803" s="32"/>
      <c r="H803" s="32"/>
      <c r="I803" s="14"/>
    </row>
    <row r="804">
      <c r="A804" s="31"/>
      <c r="B804" s="18"/>
      <c r="E804" s="32"/>
      <c r="F804" s="32"/>
      <c r="G804" s="32"/>
      <c r="H804" s="32"/>
      <c r="I804" s="14"/>
    </row>
    <row r="805">
      <c r="A805" s="31"/>
      <c r="B805" s="18"/>
      <c r="E805" s="32"/>
      <c r="F805" s="32"/>
      <c r="G805" s="32"/>
      <c r="H805" s="32"/>
      <c r="I805" s="14"/>
    </row>
    <row r="806">
      <c r="A806" s="31"/>
      <c r="B806" s="18"/>
      <c r="E806" s="32"/>
      <c r="F806" s="32"/>
      <c r="G806" s="32"/>
      <c r="H806" s="32"/>
      <c r="I806" s="14"/>
    </row>
    <row r="807">
      <c r="A807" s="31"/>
      <c r="B807" s="18"/>
      <c r="E807" s="32"/>
      <c r="F807" s="32"/>
      <c r="G807" s="32"/>
      <c r="H807" s="32"/>
      <c r="I807" s="14"/>
    </row>
    <row r="808">
      <c r="A808" s="31"/>
      <c r="B808" s="18"/>
      <c r="E808" s="32"/>
      <c r="F808" s="32"/>
      <c r="G808" s="32"/>
      <c r="H808" s="32"/>
      <c r="I808" s="14"/>
    </row>
    <row r="809">
      <c r="A809" s="31"/>
      <c r="B809" s="18"/>
      <c r="E809" s="32"/>
      <c r="F809" s="32"/>
      <c r="G809" s="32"/>
      <c r="H809" s="32"/>
      <c r="I809" s="14"/>
    </row>
    <row r="810">
      <c r="A810" s="31"/>
      <c r="B810" s="18"/>
      <c r="E810" s="32"/>
      <c r="F810" s="32"/>
      <c r="G810" s="32"/>
      <c r="H810" s="32"/>
      <c r="I810" s="14"/>
    </row>
    <row r="811">
      <c r="A811" s="31"/>
      <c r="B811" s="18"/>
      <c r="E811" s="32"/>
      <c r="F811" s="32"/>
      <c r="G811" s="32"/>
      <c r="H811" s="32"/>
      <c r="I811" s="14"/>
    </row>
    <row r="812">
      <c r="A812" s="31"/>
      <c r="B812" s="18"/>
      <c r="E812" s="32"/>
      <c r="F812" s="32"/>
      <c r="G812" s="32"/>
      <c r="H812" s="32"/>
      <c r="I812" s="14"/>
    </row>
    <row r="813">
      <c r="A813" s="31"/>
      <c r="B813" s="18"/>
      <c r="E813" s="32"/>
      <c r="F813" s="32"/>
      <c r="G813" s="32"/>
      <c r="H813" s="32"/>
      <c r="I813" s="14"/>
    </row>
    <row r="814">
      <c r="A814" s="31"/>
      <c r="B814" s="18"/>
      <c r="E814" s="32"/>
      <c r="F814" s="32"/>
      <c r="G814" s="32"/>
      <c r="H814" s="32"/>
      <c r="I814" s="14"/>
    </row>
    <row r="815">
      <c r="A815" s="31"/>
      <c r="B815" s="18"/>
      <c r="E815" s="32"/>
      <c r="F815" s="32"/>
      <c r="G815" s="32"/>
      <c r="H815" s="32"/>
      <c r="I815" s="14"/>
    </row>
    <row r="816">
      <c r="A816" s="31"/>
      <c r="B816" s="18"/>
      <c r="E816" s="32"/>
      <c r="F816" s="32"/>
      <c r="G816" s="32"/>
      <c r="H816" s="32"/>
      <c r="I816" s="14"/>
    </row>
    <row r="817">
      <c r="A817" s="31"/>
      <c r="B817" s="18"/>
      <c r="E817" s="32"/>
      <c r="F817" s="32"/>
      <c r="G817" s="32"/>
      <c r="H817" s="32"/>
      <c r="I817" s="14"/>
    </row>
    <row r="818">
      <c r="A818" s="31"/>
      <c r="B818" s="18"/>
      <c r="E818" s="32"/>
      <c r="F818" s="32"/>
      <c r="G818" s="32"/>
      <c r="H818" s="32"/>
      <c r="I818" s="14"/>
    </row>
    <row r="819">
      <c r="A819" s="31"/>
      <c r="B819" s="18"/>
      <c r="E819" s="32"/>
      <c r="F819" s="32"/>
      <c r="G819" s="32"/>
      <c r="H819" s="32"/>
      <c r="I819" s="14"/>
    </row>
    <row r="820">
      <c r="A820" s="31"/>
      <c r="B820" s="18"/>
      <c r="E820" s="32"/>
      <c r="F820" s="32"/>
      <c r="G820" s="32"/>
      <c r="H820" s="32"/>
      <c r="I820" s="14"/>
    </row>
    <row r="821">
      <c r="A821" s="31"/>
      <c r="B821" s="18"/>
      <c r="E821" s="32"/>
      <c r="F821" s="32"/>
      <c r="G821" s="32"/>
      <c r="H821" s="32"/>
      <c r="I821" s="14"/>
    </row>
    <row r="822">
      <c r="A822" s="31"/>
      <c r="B822" s="18"/>
      <c r="E822" s="32"/>
      <c r="F822" s="32"/>
      <c r="G822" s="32"/>
      <c r="H822" s="32"/>
      <c r="I822" s="14"/>
    </row>
    <row r="823">
      <c r="A823" s="31"/>
      <c r="B823" s="18"/>
      <c r="E823" s="32"/>
      <c r="F823" s="32"/>
      <c r="G823" s="32"/>
      <c r="H823" s="32"/>
      <c r="I823" s="14"/>
    </row>
    <row r="824">
      <c r="A824" s="31"/>
      <c r="B824" s="18"/>
      <c r="E824" s="32"/>
      <c r="F824" s="32"/>
      <c r="G824" s="32"/>
      <c r="H824" s="32"/>
      <c r="I824" s="14"/>
    </row>
    <row r="825">
      <c r="A825" s="31"/>
      <c r="B825" s="18"/>
      <c r="E825" s="32"/>
      <c r="F825" s="32"/>
      <c r="G825" s="32"/>
      <c r="H825" s="32"/>
      <c r="I825" s="14"/>
    </row>
    <row r="826">
      <c r="A826" s="31"/>
      <c r="B826" s="18"/>
      <c r="E826" s="32"/>
      <c r="F826" s="32"/>
      <c r="G826" s="32"/>
      <c r="H826" s="32"/>
      <c r="I826" s="14"/>
    </row>
    <row r="827">
      <c r="A827" s="31"/>
      <c r="B827" s="18"/>
      <c r="E827" s="32"/>
      <c r="F827" s="32"/>
      <c r="G827" s="32"/>
      <c r="H827" s="32"/>
      <c r="I827" s="14"/>
    </row>
    <row r="828">
      <c r="A828" s="31"/>
      <c r="B828" s="18"/>
      <c r="E828" s="32"/>
      <c r="F828" s="32"/>
      <c r="G828" s="32"/>
      <c r="H828" s="32"/>
      <c r="I828" s="14"/>
    </row>
    <row r="829">
      <c r="A829" s="31"/>
      <c r="B829" s="18"/>
      <c r="E829" s="32"/>
      <c r="F829" s="32"/>
      <c r="G829" s="32"/>
      <c r="H829" s="32"/>
      <c r="I829" s="14"/>
    </row>
    <row r="830">
      <c r="A830" s="31"/>
      <c r="B830" s="18"/>
      <c r="E830" s="32"/>
      <c r="F830" s="32"/>
      <c r="G830" s="32"/>
      <c r="H830" s="32"/>
      <c r="I830" s="14"/>
    </row>
    <row r="831">
      <c r="A831" s="31"/>
      <c r="B831" s="18"/>
      <c r="E831" s="32"/>
      <c r="F831" s="32"/>
      <c r="G831" s="32"/>
      <c r="H831" s="32"/>
      <c r="I831" s="14"/>
    </row>
    <row r="832">
      <c r="A832" s="31"/>
      <c r="B832" s="18"/>
      <c r="E832" s="32"/>
      <c r="F832" s="32"/>
      <c r="G832" s="32"/>
      <c r="H832" s="32"/>
      <c r="I832" s="14"/>
    </row>
    <row r="833">
      <c r="A833" s="31"/>
      <c r="B833" s="18"/>
      <c r="E833" s="32"/>
      <c r="F833" s="32"/>
      <c r="G833" s="32"/>
      <c r="H833" s="32"/>
      <c r="I833" s="14"/>
    </row>
    <row r="834">
      <c r="A834" s="31"/>
      <c r="B834" s="18"/>
      <c r="E834" s="32"/>
      <c r="F834" s="32"/>
      <c r="G834" s="32"/>
      <c r="H834" s="32"/>
      <c r="I834" s="14"/>
    </row>
    <row r="835">
      <c r="A835" s="31"/>
      <c r="B835" s="18"/>
      <c r="E835" s="32"/>
      <c r="F835" s="32"/>
      <c r="G835" s="32"/>
      <c r="H835" s="32"/>
      <c r="I835" s="14"/>
    </row>
    <row r="836">
      <c r="A836" s="31"/>
      <c r="B836" s="18"/>
      <c r="E836" s="32"/>
      <c r="F836" s="32"/>
      <c r="G836" s="32"/>
      <c r="H836" s="32"/>
      <c r="I836" s="14"/>
    </row>
    <row r="837">
      <c r="A837" s="31"/>
      <c r="B837" s="18"/>
      <c r="E837" s="32"/>
      <c r="F837" s="32"/>
      <c r="G837" s="32"/>
      <c r="H837" s="32"/>
      <c r="I837" s="14"/>
    </row>
    <row r="838">
      <c r="A838" s="31"/>
      <c r="B838" s="18"/>
      <c r="E838" s="32"/>
      <c r="F838" s="32"/>
      <c r="G838" s="32"/>
      <c r="H838" s="32"/>
      <c r="I838" s="14"/>
    </row>
    <row r="839">
      <c r="A839" s="31"/>
      <c r="B839" s="18"/>
      <c r="E839" s="32"/>
      <c r="F839" s="32"/>
      <c r="G839" s="32"/>
      <c r="H839" s="32"/>
      <c r="I839" s="14"/>
    </row>
    <row r="840">
      <c r="A840" s="31"/>
      <c r="B840" s="18"/>
      <c r="E840" s="32"/>
      <c r="F840" s="32"/>
      <c r="G840" s="32"/>
      <c r="H840" s="32"/>
      <c r="I840" s="14"/>
    </row>
    <row r="841">
      <c r="A841" s="31"/>
      <c r="B841" s="18"/>
      <c r="E841" s="32"/>
      <c r="F841" s="32"/>
      <c r="G841" s="32"/>
      <c r="H841" s="32"/>
      <c r="I841" s="14"/>
    </row>
    <row r="842">
      <c r="A842" s="31"/>
      <c r="B842" s="18"/>
      <c r="E842" s="32"/>
      <c r="F842" s="32"/>
      <c r="G842" s="32"/>
      <c r="H842" s="32"/>
      <c r="I842" s="14"/>
    </row>
    <row r="843">
      <c r="A843" s="31"/>
      <c r="B843" s="18"/>
      <c r="E843" s="32"/>
      <c r="F843" s="32"/>
      <c r="G843" s="32"/>
      <c r="H843" s="32"/>
      <c r="I843" s="14"/>
    </row>
    <row r="844">
      <c r="A844" s="31"/>
      <c r="B844" s="18"/>
      <c r="E844" s="32"/>
      <c r="F844" s="32"/>
      <c r="G844" s="32"/>
      <c r="H844" s="32"/>
      <c r="I844" s="14"/>
    </row>
    <row r="845">
      <c r="A845" s="31"/>
      <c r="B845" s="18"/>
      <c r="E845" s="32"/>
      <c r="F845" s="32"/>
      <c r="G845" s="32"/>
      <c r="H845" s="32"/>
      <c r="I845" s="14"/>
    </row>
    <row r="846">
      <c r="A846" s="31"/>
      <c r="B846" s="18"/>
      <c r="E846" s="32"/>
      <c r="F846" s="32"/>
      <c r="G846" s="32"/>
      <c r="H846" s="32"/>
      <c r="I846" s="14"/>
    </row>
    <row r="847">
      <c r="A847" s="31"/>
      <c r="B847" s="18"/>
      <c r="E847" s="32"/>
      <c r="F847" s="32"/>
      <c r="G847" s="32"/>
      <c r="H847" s="32"/>
      <c r="I847" s="14"/>
    </row>
    <row r="848">
      <c r="A848" s="31"/>
      <c r="B848" s="18"/>
      <c r="E848" s="32"/>
      <c r="F848" s="32"/>
      <c r="G848" s="32"/>
      <c r="H848" s="32"/>
      <c r="I848" s="14"/>
    </row>
    <row r="849">
      <c r="A849" s="31"/>
      <c r="B849" s="18"/>
      <c r="E849" s="32"/>
      <c r="F849" s="32"/>
      <c r="G849" s="32"/>
      <c r="H849" s="32"/>
      <c r="I849" s="14"/>
    </row>
    <row r="850">
      <c r="A850" s="31"/>
      <c r="B850" s="18"/>
      <c r="E850" s="32"/>
      <c r="F850" s="32"/>
      <c r="G850" s="32"/>
      <c r="H850" s="32"/>
      <c r="I850" s="14"/>
    </row>
    <row r="851">
      <c r="A851" s="31"/>
      <c r="B851" s="18"/>
      <c r="E851" s="32"/>
      <c r="F851" s="32"/>
      <c r="G851" s="32"/>
      <c r="H851" s="32"/>
      <c r="I851" s="14"/>
    </row>
    <row r="852">
      <c r="A852" s="31"/>
      <c r="B852" s="18"/>
      <c r="E852" s="32"/>
      <c r="F852" s="32"/>
      <c r="G852" s="32"/>
      <c r="H852" s="32"/>
      <c r="I852" s="14"/>
    </row>
    <row r="853">
      <c r="A853" s="31"/>
      <c r="B853" s="18"/>
      <c r="E853" s="32"/>
      <c r="F853" s="32"/>
      <c r="G853" s="32"/>
      <c r="H853" s="32"/>
      <c r="I853" s="14"/>
    </row>
    <row r="854">
      <c r="A854" s="31"/>
      <c r="B854" s="18"/>
      <c r="E854" s="32"/>
      <c r="F854" s="32"/>
      <c r="G854" s="32"/>
      <c r="H854" s="32"/>
      <c r="I854" s="14"/>
    </row>
    <row r="855">
      <c r="A855" s="31"/>
      <c r="B855" s="18"/>
      <c r="E855" s="32"/>
      <c r="F855" s="32"/>
      <c r="G855" s="32"/>
      <c r="H855" s="32"/>
      <c r="I855" s="14"/>
    </row>
    <row r="856">
      <c r="A856" s="31"/>
      <c r="B856" s="18"/>
      <c r="E856" s="32"/>
      <c r="F856" s="32"/>
      <c r="G856" s="32"/>
      <c r="H856" s="32"/>
      <c r="I856" s="14"/>
    </row>
    <row r="857">
      <c r="A857" s="31"/>
      <c r="B857" s="18"/>
      <c r="E857" s="32"/>
      <c r="F857" s="32"/>
      <c r="G857" s="32"/>
      <c r="H857" s="32"/>
      <c r="I857" s="14"/>
    </row>
    <row r="858">
      <c r="A858" s="31"/>
      <c r="B858" s="18"/>
      <c r="E858" s="32"/>
      <c r="F858" s="32"/>
      <c r="G858" s="32"/>
      <c r="H858" s="32"/>
      <c r="I858" s="14"/>
    </row>
    <row r="859">
      <c r="A859" s="31"/>
      <c r="B859" s="18"/>
      <c r="E859" s="32"/>
      <c r="F859" s="32"/>
      <c r="G859" s="32"/>
      <c r="H859" s="32"/>
      <c r="I859" s="14"/>
    </row>
    <row r="860">
      <c r="A860" s="31"/>
      <c r="B860" s="18"/>
      <c r="E860" s="32"/>
      <c r="F860" s="32"/>
      <c r="G860" s="32"/>
      <c r="H860" s="32"/>
      <c r="I860" s="14"/>
    </row>
    <row r="861">
      <c r="A861" s="31"/>
      <c r="B861" s="18"/>
      <c r="E861" s="32"/>
      <c r="F861" s="32"/>
      <c r="G861" s="32"/>
      <c r="H861" s="32"/>
      <c r="I861" s="14"/>
    </row>
    <row r="862">
      <c r="A862" s="31"/>
      <c r="B862" s="18"/>
      <c r="E862" s="32"/>
      <c r="F862" s="32"/>
      <c r="G862" s="32"/>
      <c r="H862" s="32"/>
      <c r="I862" s="14"/>
    </row>
    <row r="863">
      <c r="A863" s="31"/>
      <c r="B863" s="18"/>
      <c r="E863" s="32"/>
      <c r="F863" s="32"/>
      <c r="G863" s="32"/>
      <c r="H863" s="32"/>
      <c r="I863" s="14"/>
    </row>
    <row r="864">
      <c r="A864" s="31"/>
      <c r="B864" s="18"/>
      <c r="E864" s="32"/>
      <c r="F864" s="32"/>
      <c r="G864" s="32"/>
      <c r="H864" s="32"/>
      <c r="I864" s="14"/>
    </row>
    <row r="865">
      <c r="A865" s="31"/>
      <c r="B865" s="18"/>
      <c r="E865" s="32"/>
      <c r="F865" s="32"/>
      <c r="G865" s="32"/>
      <c r="H865" s="32"/>
      <c r="I865" s="14"/>
    </row>
    <row r="866">
      <c r="A866" s="31"/>
      <c r="B866" s="18"/>
      <c r="E866" s="32"/>
      <c r="F866" s="32"/>
      <c r="G866" s="32"/>
      <c r="H866" s="32"/>
      <c r="I866" s="14"/>
    </row>
    <row r="867">
      <c r="A867" s="31"/>
      <c r="B867" s="18"/>
      <c r="E867" s="32"/>
      <c r="F867" s="32"/>
      <c r="G867" s="32"/>
      <c r="H867" s="32"/>
      <c r="I867" s="14"/>
    </row>
    <row r="868">
      <c r="A868" s="31"/>
      <c r="B868" s="18"/>
      <c r="E868" s="32"/>
      <c r="F868" s="32"/>
      <c r="G868" s="32"/>
      <c r="H868" s="32"/>
      <c r="I868" s="14"/>
    </row>
    <row r="869">
      <c r="A869" s="31"/>
      <c r="B869" s="18"/>
      <c r="E869" s="32"/>
      <c r="F869" s="32"/>
      <c r="G869" s="32"/>
      <c r="H869" s="32"/>
      <c r="I869" s="14"/>
    </row>
    <row r="870">
      <c r="A870" s="31"/>
      <c r="B870" s="18"/>
      <c r="E870" s="32"/>
      <c r="F870" s="32"/>
      <c r="G870" s="32"/>
      <c r="H870" s="32"/>
      <c r="I870" s="14"/>
    </row>
    <row r="871">
      <c r="A871" s="31"/>
      <c r="B871" s="18"/>
      <c r="E871" s="32"/>
      <c r="F871" s="32"/>
      <c r="G871" s="32"/>
      <c r="H871" s="32"/>
      <c r="I871" s="14"/>
    </row>
    <row r="872">
      <c r="A872" s="31"/>
      <c r="B872" s="18"/>
      <c r="E872" s="32"/>
      <c r="F872" s="32"/>
      <c r="G872" s="32"/>
      <c r="H872" s="32"/>
      <c r="I872" s="14"/>
    </row>
    <row r="873">
      <c r="A873" s="31"/>
      <c r="B873" s="18"/>
      <c r="E873" s="32"/>
      <c r="F873" s="32"/>
      <c r="G873" s="32"/>
      <c r="H873" s="32"/>
      <c r="I873" s="14"/>
    </row>
    <row r="874">
      <c r="A874" s="31"/>
      <c r="B874" s="18"/>
      <c r="E874" s="32"/>
      <c r="F874" s="32"/>
      <c r="G874" s="32"/>
      <c r="H874" s="32"/>
      <c r="I874" s="14"/>
    </row>
    <row r="875">
      <c r="A875" s="31"/>
      <c r="B875" s="18"/>
      <c r="E875" s="32"/>
      <c r="F875" s="32"/>
      <c r="G875" s="32"/>
      <c r="H875" s="32"/>
      <c r="I875" s="14"/>
    </row>
    <row r="876">
      <c r="A876" s="31"/>
      <c r="B876" s="18"/>
      <c r="E876" s="32"/>
      <c r="F876" s="32"/>
      <c r="G876" s="32"/>
      <c r="H876" s="32"/>
      <c r="I876" s="14"/>
    </row>
    <row r="877">
      <c r="A877" s="31"/>
      <c r="B877" s="18"/>
      <c r="E877" s="32"/>
      <c r="F877" s="32"/>
      <c r="G877" s="32"/>
      <c r="H877" s="32"/>
      <c r="I877" s="14"/>
    </row>
    <row r="878">
      <c r="A878" s="31"/>
      <c r="B878" s="18"/>
      <c r="E878" s="32"/>
      <c r="F878" s="32"/>
      <c r="G878" s="32"/>
      <c r="H878" s="32"/>
      <c r="I878" s="14"/>
    </row>
    <row r="879">
      <c r="A879" s="31"/>
      <c r="B879" s="18"/>
      <c r="E879" s="32"/>
      <c r="F879" s="32"/>
      <c r="G879" s="32"/>
      <c r="H879" s="32"/>
      <c r="I879" s="14"/>
    </row>
    <row r="880">
      <c r="A880" s="31"/>
      <c r="B880" s="18"/>
      <c r="E880" s="32"/>
      <c r="F880" s="32"/>
      <c r="G880" s="32"/>
      <c r="H880" s="32"/>
      <c r="I880" s="14"/>
    </row>
    <row r="881">
      <c r="A881" s="31"/>
      <c r="B881" s="18"/>
      <c r="E881" s="32"/>
      <c r="F881" s="32"/>
      <c r="G881" s="32"/>
      <c r="H881" s="32"/>
      <c r="I881" s="14"/>
    </row>
    <row r="882">
      <c r="A882" s="31"/>
      <c r="B882" s="18"/>
      <c r="E882" s="32"/>
      <c r="F882" s="32"/>
      <c r="G882" s="32"/>
      <c r="H882" s="32"/>
      <c r="I882" s="14"/>
    </row>
    <row r="883">
      <c r="A883" s="31"/>
      <c r="B883" s="18"/>
      <c r="E883" s="32"/>
      <c r="F883" s="32"/>
      <c r="G883" s="32"/>
      <c r="H883" s="32"/>
      <c r="I883" s="14"/>
    </row>
    <row r="884">
      <c r="A884" s="31"/>
      <c r="B884" s="18"/>
      <c r="E884" s="32"/>
      <c r="F884" s="32"/>
      <c r="G884" s="32"/>
      <c r="H884" s="32"/>
      <c r="I884" s="14"/>
    </row>
    <row r="885">
      <c r="A885" s="31"/>
      <c r="B885" s="18"/>
      <c r="E885" s="32"/>
      <c r="F885" s="32"/>
      <c r="G885" s="32"/>
      <c r="H885" s="32"/>
      <c r="I885" s="14"/>
    </row>
    <row r="886">
      <c r="A886" s="31"/>
      <c r="B886" s="18"/>
      <c r="E886" s="32"/>
      <c r="F886" s="32"/>
      <c r="G886" s="32"/>
      <c r="H886" s="32"/>
      <c r="I886" s="14"/>
    </row>
    <row r="887">
      <c r="A887" s="31"/>
      <c r="B887" s="18"/>
      <c r="E887" s="32"/>
      <c r="F887" s="32"/>
      <c r="G887" s="32"/>
      <c r="H887" s="32"/>
      <c r="I887" s="14"/>
    </row>
    <row r="888">
      <c r="A888" s="31"/>
      <c r="B888" s="18"/>
      <c r="E888" s="32"/>
      <c r="F888" s="32"/>
      <c r="G888" s="32"/>
      <c r="H888" s="32"/>
      <c r="I888" s="14"/>
    </row>
    <row r="889">
      <c r="A889" s="31"/>
      <c r="B889" s="18"/>
      <c r="E889" s="32"/>
      <c r="F889" s="32"/>
      <c r="G889" s="32"/>
      <c r="H889" s="32"/>
      <c r="I889" s="14"/>
    </row>
    <row r="890">
      <c r="A890" s="31"/>
      <c r="B890" s="18"/>
      <c r="E890" s="32"/>
      <c r="F890" s="32"/>
      <c r="G890" s="32"/>
      <c r="H890" s="32"/>
      <c r="I890" s="14"/>
    </row>
    <row r="891">
      <c r="A891" s="31"/>
      <c r="B891" s="18"/>
      <c r="E891" s="32"/>
      <c r="F891" s="32"/>
      <c r="G891" s="32"/>
      <c r="H891" s="32"/>
      <c r="I891" s="14"/>
    </row>
    <row r="892">
      <c r="A892" s="31"/>
      <c r="B892" s="18"/>
      <c r="E892" s="32"/>
      <c r="F892" s="32"/>
      <c r="G892" s="32"/>
      <c r="H892" s="32"/>
      <c r="I892" s="14"/>
    </row>
    <row r="893">
      <c r="A893" s="31"/>
      <c r="B893" s="18"/>
      <c r="E893" s="32"/>
      <c r="F893" s="32"/>
      <c r="G893" s="32"/>
      <c r="H893" s="32"/>
      <c r="I893" s="14"/>
    </row>
    <row r="894">
      <c r="A894" s="31"/>
      <c r="B894" s="18"/>
      <c r="E894" s="32"/>
      <c r="F894" s="32"/>
      <c r="G894" s="32"/>
      <c r="H894" s="32"/>
      <c r="I894" s="14"/>
    </row>
    <row r="895">
      <c r="A895" s="31"/>
      <c r="B895" s="18"/>
      <c r="E895" s="32"/>
      <c r="F895" s="32"/>
      <c r="G895" s="32"/>
      <c r="H895" s="32"/>
      <c r="I895" s="14"/>
    </row>
    <row r="896">
      <c r="A896" s="31"/>
      <c r="B896" s="18"/>
      <c r="E896" s="32"/>
      <c r="F896" s="32"/>
      <c r="G896" s="32"/>
      <c r="H896" s="32"/>
      <c r="I896" s="14"/>
    </row>
    <row r="897">
      <c r="A897" s="31"/>
      <c r="B897" s="18"/>
      <c r="E897" s="32"/>
      <c r="F897" s="32"/>
      <c r="G897" s="32"/>
      <c r="H897" s="32"/>
      <c r="I897" s="14"/>
    </row>
    <row r="898">
      <c r="A898" s="31"/>
      <c r="B898" s="18"/>
      <c r="E898" s="32"/>
      <c r="F898" s="32"/>
      <c r="G898" s="32"/>
      <c r="H898" s="32"/>
      <c r="I898" s="14"/>
    </row>
    <row r="899">
      <c r="A899" s="31"/>
      <c r="B899" s="18"/>
      <c r="E899" s="32"/>
      <c r="F899" s="32"/>
      <c r="G899" s="32"/>
      <c r="H899" s="32"/>
      <c r="I899" s="14"/>
    </row>
    <row r="900">
      <c r="A900" s="31"/>
      <c r="B900" s="18"/>
      <c r="E900" s="32"/>
      <c r="F900" s="32"/>
      <c r="G900" s="32"/>
      <c r="H900" s="32"/>
      <c r="I900" s="14"/>
    </row>
    <row r="901">
      <c r="A901" s="31"/>
      <c r="B901" s="18"/>
      <c r="E901" s="32"/>
      <c r="F901" s="32"/>
      <c r="G901" s="32"/>
      <c r="H901" s="32"/>
      <c r="I901" s="14"/>
    </row>
    <row r="902">
      <c r="A902" s="31"/>
      <c r="B902" s="18"/>
      <c r="E902" s="32"/>
      <c r="F902" s="32"/>
      <c r="G902" s="32"/>
      <c r="H902" s="32"/>
      <c r="I902" s="14"/>
    </row>
    <row r="903">
      <c r="A903" s="31"/>
      <c r="B903" s="18"/>
      <c r="E903" s="32"/>
      <c r="F903" s="32"/>
      <c r="G903" s="32"/>
      <c r="H903" s="32"/>
      <c r="I903" s="14"/>
    </row>
    <row r="904">
      <c r="A904" s="31"/>
      <c r="B904" s="18"/>
      <c r="E904" s="32"/>
      <c r="F904" s="32"/>
      <c r="G904" s="32"/>
      <c r="H904" s="32"/>
      <c r="I904" s="14"/>
    </row>
    <row r="905">
      <c r="A905" s="31"/>
      <c r="B905" s="18"/>
      <c r="E905" s="32"/>
      <c r="F905" s="32"/>
      <c r="G905" s="32"/>
      <c r="H905" s="32"/>
      <c r="I905" s="14"/>
    </row>
    <row r="906">
      <c r="A906" s="31"/>
      <c r="B906" s="18"/>
      <c r="E906" s="32"/>
      <c r="F906" s="32"/>
      <c r="G906" s="32"/>
      <c r="H906" s="32"/>
      <c r="I906" s="14"/>
    </row>
    <row r="907">
      <c r="A907" s="31"/>
      <c r="B907" s="18"/>
      <c r="E907" s="32"/>
      <c r="F907" s="32"/>
      <c r="G907" s="32"/>
      <c r="H907" s="32"/>
      <c r="I907" s="14"/>
    </row>
    <row r="908">
      <c r="A908" s="31"/>
      <c r="B908" s="18"/>
      <c r="E908" s="32"/>
      <c r="F908" s="32"/>
      <c r="G908" s="32"/>
      <c r="H908" s="32"/>
      <c r="I908" s="14"/>
    </row>
    <row r="909">
      <c r="A909" s="31"/>
      <c r="B909" s="18"/>
      <c r="E909" s="32"/>
      <c r="F909" s="32"/>
      <c r="G909" s="32"/>
      <c r="H909" s="32"/>
      <c r="I909" s="14"/>
    </row>
    <row r="910">
      <c r="A910" s="31"/>
      <c r="B910" s="18"/>
      <c r="E910" s="32"/>
      <c r="F910" s="32"/>
      <c r="G910" s="32"/>
      <c r="H910" s="32"/>
      <c r="I910" s="14"/>
    </row>
    <row r="911">
      <c r="A911" s="31"/>
      <c r="B911" s="18"/>
      <c r="E911" s="32"/>
      <c r="F911" s="32"/>
      <c r="G911" s="32"/>
      <c r="H911" s="32"/>
      <c r="I911" s="14"/>
    </row>
    <row r="912">
      <c r="A912" s="31"/>
      <c r="B912" s="18"/>
      <c r="E912" s="32"/>
      <c r="F912" s="32"/>
      <c r="G912" s="32"/>
      <c r="H912" s="32"/>
      <c r="I912" s="14"/>
    </row>
    <row r="913">
      <c r="A913" s="31"/>
      <c r="B913" s="18"/>
      <c r="E913" s="32"/>
      <c r="F913" s="32"/>
      <c r="G913" s="32"/>
      <c r="H913" s="32"/>
      <c r="I913" s="14"/>
    </row>
    <row r="914">
      <c r="A914" s="31"/>
      <c r="B914" s="18"/>
      <c r="E914" s="32"/>
      <c r="F914" s="32"/>
      <c r="G914" s="32"/>
      <c r="H914" s="32"/>
      <c r="I914" s="14"/>
    </row>
    <row r="915">
      <c r="A915" s="31"/>
      <c r="B915" s="18"/>
      <c r="E915" s="32"/>
      <c r="F915" s="32"/>
      <c r="G915" s="32"/>
      <c r="H915" s="32"/>
      <c r="I915" s="14"/>
    </row>
    <row r="916">
      <c r="A916" s="31"/>
      <c r="B916" s="18"/>
      <c r="E916" s="32"/>
      <c r="F916" s="32"/>
      <c r="G916" s="32"/>
      <c r="H916" s="32"/>
      <c r="I916" s="14"/>
    </row>
    <row r="917">
      <c r="A917" s="31"/>
      <c r="B917" s="18"/>
      <c r="E917" s="32"/>
      <c r="F917" s="32"/>
      <c r="G917" s="32"/>
      <c r="H917" s="32"/>
      <c r="I917" s="14"/>
    </row>
    <row r="918">
      <c r="A918" s="31"/>
      <c r="B918" s="18"/>
      <c r="E918" s="32"/>
      <c r="F918" s="32"/>
      <c r="G918" s="32"/>
      <c r="H918" s="32"/>
      <c r="I918" s="14"/>
    </row>
    <row r="919">
      <c r="A919" s="31"/>
      <c r="B919" s="18"/>
      <c r="E919" s="32"/>
      <c r="F919" s="32"/>
      <c r="G919" s="32"/>
      <c r="H919" s="32"/>
      <c r="I919" s="14"/>
    </row>
    <row r="920">
      <c r="A920" s="31"/>
      <c r="B920" s="18"/>
      <c r="E920" s="32"/>
      <c r="F920" s="32"/>
      <c r="G920" s="32"/>
      <c r="H920" s="32"/>
      <c r="I920" s="14"/>
    </row>
    <row r="921">
      <c r="A921" s="31"/>
      <c r="B921" s="18"/>
      <c r="E921" s="32"/>
      <c r="F921" s="32"/>
      <c r="G921" s="32"/>
      <c r="H921" s="32"/>
      <c r="I921" s="14"/>
    </row>
    <row r="922">
      <c r="A922" s="31"/>
      <c r="B922" s="18"/>
      <c r="E922" s="32"/>
      <c r="F922" s="32"/>
      <c r="G922" s="32"/>
      <c r="H922" s="32"/>
      <c r="I922" s="14"/>
    </row>
    <row r="923">
      <c r="A923" s="31"/>
      <c r="B923" s="18"/>
      <c r="E923" s="32"/>
      <c r="F923" s="32"/>
      <c r="G923" s="32"/>
      <c r="H923" s="32"/>
      <c r="I923" s="14"/>
    </row>
    <row r="924">
      <c r="A924" s="31"/>
      <c r="B924" s="18"/>
      <c r="E924" s="32"/>
      <c r="F924" s="32"/>
      <c r="G924" s="32"/>
      <c r="H924" s="32"/>
      <c r="I924" s="14"/>
    </row>
    <row r="925">
      <c r="A925" s="31"/>
      <c r="B925" s="18"/>
      <c r="E925" s="32"/>
      <c r="F925" s="32"/>
      <c r="G925" s="32"/>
      <c r="H925" s="32"/>
      <c r="I925" s="14"/>
    </row>
    <row r="926">
      <c r="A926" s="31"/>
      <c r="B926" s="18"/>
      <c r="E926" s="32"/>
      <c r="F926" s="32"/>
      <c r="G926" s="32"/>
      <c r="H926" s="32"/>
      <c r="I926" s="14"/>
    </row>
    <row r="927">
      <c r="A927" s="31"/>
      <c r="B927" s="18"/>
      <c r="E927" s="32"/>
      <c r="F927" s="32"/>
      <c r="G927" s="32"/>
      <c r="H927" s="32"/>
      <c r="I927" s="14"/>
    </row>
    <row r="928">
      <c r="A928" s="31"/>
      <c r="B928" s="18"/>
      <c r="E928" s="32"/>
      <c r="F928" s="32"/>
      <c r="G928" s="32"/>
      <c r="H928" s="32"/>
      <c r="I928" s="14"/>
    </row>
    <row r="929">
      <c r="A929" s="31"/>
      <c r="B929" s="18"/>
      <c r="E929" s="32"/>
      <c r="F929" s="32"/>
      <c r="G929" s="32"/>
      <c r="H929" s="32"/>
      <c r="I929" s="14"/>
    </row>
    <row r="930">
      <c r="A930" s="31"/>
      <c r="B930" s="18"/>
      <c r="E930" s="32"/>
      <c r="F930" s="32"/>
      <c r="G930" s="32"/>
      <c r="H930" s="32"/>
      <c r="I930" s="14"/>
    </row>
    <row r="931">
      <c r="A931" s="31"/>
      <c r="B931" s="18"/>
      <c r="E931" s="32"/>
      <c r="F931" s="32"/>
      <c r="G931" s="32"/>
      <c r="H931" s="32"/>
      <c r="I931" s="14"/>
    </row>
    <row r="932">
      <c r="A932" s="31"/>
      <c r="B932" s="18"/>
      <c r="E932" s="32"/>
      <c r="F932" s="32"/>
      <c r="G932" s="32"/>
      <c r="H932" s="32"/>
      <c r="I932" s="14"/>
    </row>
    <row r="933">
      <c r="A933" s="31"/>
      <c r="B933" s="18"/>
      <c r="E933" s="32"/>
      <c r="F933" s="32"/>
      <c r="G933" s="32"/>
      <c r="H933" s="32"/>
      <c r="I933" s="14"/>
    </row>
    <row r="934">
      <c r="A934" s="31"/>
      <c r="B934" s="18"/>
      <c r="E934" s="32"/>
      <c r="F934" s="32"/>
      <c r="G934" s="32"/>
      <c r="H934" s="32"/>
      <c r="I934" s="14"/>
    </row>
    <row r="935">
      <c r="A935" s="31"/>
      <c r="B935" s="18"/>
      <c r="E935" s="32"/>
      <c r="F935" s="32"/>
      <c r="G935" s="32"/>
      <c r="H935" s="32"/>
      <c r="I935" s="14"/>
    </row>
    <row r="936">
      <c r="A936" s="31"/>
      <c r="B936" s="18"/>
      <c r="E936" s="32"/>
      <c r="F936" s="32"/>
      <c r="G936" s="32"/>
      <c r="H936" s="32"/>
      <c r="I936" s="14"/>
    </row>
    <row r="937">
      <c r="A937" s="31"/>
      <c r="B937" s="18"/>
      <c r="E937" s="32"/>
      <c r="F937" s="32"/>
      <c r="G937" s="32"/>
      <c r="H937" s="32"/>
      <c r="I937" s="14"/>
    </row>
    <row r="938">
      <c r="A938" s="31"/>
      <c r="B938" s="18"/>
      <c r="E938" s="32"/>
      <c r="F938" s="32"/>
      <c r="G938" s="32"/>
      <c r="H938" s="32"/>
      <c r="I938" s="14"/>
    </row>
    <row r="939">
      <c r="A939" s="31"/>
      <c r="B939" s="18"/>
      <c r="E939" s="32"/>
      <c r="F939" s="32"/>
      <c r="G939" s="32"/>
      <c r="H939" s="32"/>
      <c r="I939" s="14"/>
    </row>
    <row r="940">
      <c r="A940" s="31"/>
      <c r="B940" s="18"/>
      <c r="E940" s="32"/>
      <c r="F940" s="32"/>
      <c r="G940" s="32"/>
      <c r="H940" s="32"/>
      <c r="I940" s="14"/>
    </row>
    <row r="941">
      <c r="A941" s="31"/>
      <c r="B941" s="18"/>
      <c r="E941" s="32"/>
      <c r="F941" s="32"/>
      <c r="G941" s="32"/>
      <c r="H941" s="32"/>
      <c r="I941" s="14"/>
    </row>
    <row r="942">
      <c r="A942" s="31"/>
      <c r="B942" s="18"/>
      <c r="E942" s="32"/>
      <c r="F942" s="32"/>
      <c r="G942" s="32"/>
      <c r="H942" s="32"/>
      <c r="I942" s="14"/>
    </row>
    <row r="943">
      <c r="A943" s="31"/>
      <c r="B943" s="18"/>
      <c r="E943" s="32"/>
      <c r="F943" s="32"/>
      <c r="G943" s="32"/>
      <c r="H943" s="32"/>
      <c r="I943" s="14"/>
    </row>
    <row r="944">
      <c r="A944" s="31"/>
      <c r="B944" s="18"/>
      <c r="E944" s="32"/>
      <c r="F944" s="32"/>
      <c r="G944" s="32"/>
      <c r="H944" s="32"/>
      <c r="I944" s="14"/>
    </row>
    <row r="945">
      <c r="A945" s="31"/>
      <c r="B945" s="18"/>
      <c r="E945" s="32"/>
      <c r="F945" s="32"/>
      <c r="G945" s="32"/>
      <c r="H945" s="32"/>
      <c r="I945" s="14"/>
    </row>
    <row r="946">
      <c r="A946" s="31"/>
      <c r="B946" s="18"/>
      <c r="E946" s="32"/>
      <c r="F946" s="32"/>
      <c r="G946" s="32"/>
      <c r="H946" s="32"/>
      <c r="I946" s="14"/>
    </row>
    <row r="947">
      <c r="A947" s="31"/>
      <c r="B947" s="18"/>
      <c r="E947" s="32"/>
      <c r="F947" s="32"/>
      <c r="G947" s="32"/>
      <c r="H947" s="32"/>
      <c r="I947" s="14"/>
    </row>
    <row r="948">
      <c r="A948" s="31"/>
      <c r="B948" s="18"/>
      <c r="E948" s="32"/>
      <c r="F948" s="32"/>
      <c r="G948" s="32"/>
      <c r="H948" s="32"/>
      <c r="I948" s="14"/>
    </row>
    <row r="949">
      <c r="A949" s="31"/>
      <c r="B949" s="18"/>
      <c r="E949" s="32"/>
      <c r="F949" s="32"/>
      <c r="G949" s="32"/>
      <c r="H949" s="32"/>
      <c r="I949" s="14"/>
    </row>
    <row r="950">
      <c r="A950" s="31"/>
      <c r="B950" s="18"/>
      <c r="E950" s="32"/>
      <c r="F950" s="32"/>
      <c r="G950" s="32"/>
      <c r="H950" s="32"/>
      <c r="I950" s="14"/>
    </row>
    <row r="951">
      <c r="A951" s="31"/>
      <c r="B951" s="18"/>
      <c r="E951" s="32"/>
      <c r="F951" s="32"/>
      <c r="G951" s="32"/>
      <c r="H951" s="32"/>
      <c r="I951" s="14"/>
    </row>
    <row r="952">
      <c r="A952" s="31"/>
      <c r="B952" s="18"/>
      <c r="E952" s="32"/>
      <c r="F952" s="32"/>
      <c r="G952" s="32"/>
      <c r="H952" s="32"/>
      <c r="I952" s="14"/>
    </row>
    <row r="953">
      <c r="A953" s="31"/>
      <c r="B953" s="18"/>
      <c r="E953" s="32"/>
      <c r="F953" s="32"/>
      <c r="G953" s="32"/>
      <c r="H953" s="32"/>
      <c r="I953" s="14"/>
    </row>
    <row r="954">
      <c r="A954" s="31"/>
      <c r="B954" s="18"/>
      <c r="E954" s="32"/>
      <c r="F954" s="32"/>
      <c r="G954" s="32"/>
      <c r="H954" s="32"/>
      <c r="I954" s="14"/>
    </row>
    <row r="955">
      <c r="A955" s="31"/>
      <c r="B955" s="18"/>
      <c r="E955" s="32"/>
      <c r="F955" s="32"/>
      <c r="G955" s="32"/>
      <c r="H955" s="32"/>
      <c r="I955" s="14"/>
    </row>
    <row r="956">
      <c r="A956" s="31"/>
      <c r="B956" s="18"/>
      <c r="E956" s="32"/>
      <c r="F956" s="32"/>
      <c r="G956" s="32"/>
      <c r="H956" s="32"/>
      <c r="I956" s="14"/>
    </row>
    <row r="957">
      <c r="A957" s="31"/>
      <c r="B957" s="18"/>
      <c r="E957" s="32"/>
      <c r="F957" s="32"/>
      <c r="G957" s="32"/>
      <c r="H957" s="32"/>
      <c r="I957" s="14"/>
    </row>
    <row r="958">
      <c r="A958" s="31"/>
      <c r="B958" s="18"/>
      <c r="E958" s="32"/>
      <c r="F958" s="32"/>
      <c r="G958" s="32"/>
      <c r="H958" s="32"/>
      <c r="I958" s="14"/>
    </row>
    <row r="959">
      <c r="A959" s="31"/>
      <c r="B959" s="18"/>
      <c r="E959" s="32"/>
      <c r="F959" s="32"/>
      <c r="G959" s="32"/>
      <c r="H959" s="32"/>
      <c r="I959" s="14"/>
    </row>
    <row r="960">
      <c r="A960" s="31"/>
      <c r="B960" s="18"/>
      <c r="E960" s="32"/>
      <c r="F960" s="32"/>
      <c r="G960" s="32"/>
      <c r="H960" s="32"/>
      <c r="I960" s="14"/>
    </row>
    <row r="961">
      <c r="A961" s="31"/>
      <c r="B961" s="18"/>
      <c r="E961" s="32"/>
      <c r="F961" s="32"/>
      <c r="G961" s="32"/>
      <c r="H961" s="32"/>
      <c r="I961" s="14"/>
    </row>
    <row r="962">
      <c r="A962" s="31"/>
      <c r="B962" s="18"/>
      <c r="E962" s="32"/>
      <c r="F962" s="32"/>
      <c r="G962" s="32"/>
      <c r="H962" s="32"/>
      <c r="I962" s="14"/>
    </row>
    <row r="963">
      <c r="A963" s="31"/>
      <c r="B963" s="18"/>
      <c r="E963" s="32"/>
      <c r="F963" s="32"/>
      <c r="G963" s="32"/>
      <c r="H963" s="32"/>
      <c r="I963" s="14"/>
    </row>
    <row r="964">
      <c r="A964" s="31"/>
      <c r="B964" s="18"/>
      <c r="E964" s="32"/>
      <c r="F964" s="32"/>
      <c r="G964" s="32"/>
      <c r="H964" s="32"/>
      <c r="I964" s="14"/>
    </row>
    <row r="965">
      <c r="A965" s="31"/>
      <c r="B965" s="18"/>
      <c r="E965" s="32"/>
      <c r="F965" s="32"/>
      <c r="G965" s="32"/>
      <c r="H965" s="32"/>
      <c r="I965" s="14"/>
    </row>
    <row r="966">
      <c r="A966" s="31"/>
      <c r="B966" s="18"/>
      <c r="E966" s="32"/>
      <c r="F966" s="32"/>
      <c r="G966" s="32"/>
      <c r="H966" s="32"/>
      <c r="I966" s="14"/>
    </row>
    <row r="967">
      <c r="A967" s="31"/>
      <c r="B967" s="18"/>
      <c r="E967" s="32"/>
      <c r="F967" s="32"/>
      <c r="G967" s="32"/>
      <c r="H967" s="32"/>
      <c r="I967" s="14"/>
    </row>
    <row r="968">
      <c r="A968" s="31"/>
      <c r="B968" s="18"/>
      <c r="E968" s="32"/>
      <c r="F968" s="32"/>
      <c r="G968" s="32"/>
      <c r="H968" s="32"/>
      <c r="I968" s="14"/>
    </row>
    <row r="969">
      <c r="A969" s="31"/>
      <c r="B969" s="18"/>
      <c r="E969" s="32"/>
      <c r="F969" s="32"/>
      <c r="G969" s="32"/>
      <c r="H969" s="32"/>
      <c r="I969" s="14"/>
    </row>
    <row r="970">
      <c r="A970" s="31"/>
      <c r="B970" s="18"/>
      <c r="E970" s="32"/>
      <c r="F970" s="32"/>
      <c r="G970" s="32"/>
      <c r="H970" s="32"/>
      <c r="I970" s="14"/>
    </row>
    <row r="971">
      <c r="A971" s="31"/>
      <c r="B971" s="18"/>
      <c r="E971" s="32"/>
      <c r="F971" s="32"/>
      <c r="G971" s="32"/>
      <c r="H971" s="32"/>
      <c r="I971" s="14"/>
    </row>
    <row r="972">
      <c r="A972" s="31"/>
      <c r="B972" s="18"/>
      <c r="E972" s="32"/>
      <c r="F972" s="32"/>
      <c r="G972" s="32"/>
      <c r="H972" s="32"/>
      <c r="I972" s="14"/>
    </row>
    <row r="973">
      <c r="A973" s="31"/>
      <c r="B973" s="18"/>
      <c r="E973" s="32"/>
      <c r="F973" s="32"/>
      <c r="G973" s="32"/>
      <c r="H973" s="32"/>
      <c r="I973" s="14"/>
    </row>
    <row r="974">
      <c r="A974" s="31"/>
      <c r="B974" s="18"/>
      <c r="E974" s="32"/>
      <c r="F974" s="32"/>
      <c r="G974" s="32"/>
      <c r="H974" s="32"/>
      <c r="I974" s="14"/>
    </row>
    <row r="975">
      <c r="A975" s="31"/>
      <c r="B975" s="18"/>
      <c r="E975" s="32"/>
      <c r="F975" s="32"/>
      <c r="G975" s="32"/>
      <c r="H975" s="32"/>
      <c r="I975" s="14"/>
    </row>
    <row r="976">
      <c r="A976" s="31"/>
      <c r="B976" s="18"/>
      <c r="E976" s="32"/>
      <c r="F976" s="32"/>
      <c r="G976" s="32"/>
      <c r="H976" s="32"/>
      <c r="I976" s="14"/>
    </row>
    <row r="977">
      <c r="A977" s="31"/>
      <c r="B977" s="18"/>
      <c r="E977" s="32"/>
      <c r="F977" s="32"/>
      <c r="G977" s="32"/>
      <c r="H977" s="32"/>
      <c r="I977" s="14"/>
    </row>
    <row r="978">
      <c r="A978" s="31"/>
      <c r="B978" s="18"/>
      <c r="E978" s="32"/>
      <c r="F978" s="32"/>
      <c r="G978" s="32"/>
      <c r="H978" s="32"/>
      <c r="I978" s="14"/>
    </row>
    <row r="979">
      <c r="A979" s="31"/>
      <c r="B979" s="18"/>
      <c r="E979" s="32"/>
      <c r="F979" s="32"/>
      <c r="G979" s="32"/>
      <c r="H979" s="32"/>
      <c r="I979" s="14"/>
    </row>
    <row r="980">
      <c r="A980" s="31"/>
      <c r="B980" s="18"/>
      <c r="E980" s="32"/>
      <c r="F980" s="32"/>
      <c r="G980" s="32"/>
      <c r="H980" s="32"/>
      <c r="I980" s="14"/>
    </row>
    <row r="981">
      <c r="A981" s="31"/>
      <c r="B981" s="18"/>
      <c r="E981" s="32"/>
      <c r="F981" s="32"/>
      <c r="G981" s="32"/>
      <c r="H981" s="32"/>
      <c r="I981" s="14"/>
    </row>
    <row r="982">
      <c r="A982" s="31"/>
      <c r="B982" s="18"/>
      <c r="E982" s="32"/>
      <c r="F982" s="32"/>
      <c r="G982" s="32"/>
      <c r="H982" s="32"/>
      <c r="I982" s="14"/>
    </row>
    <row r="983">
      <c r="A983" s="31"/>
      <c r="B983" s="18"/>
      <c r="E983" s="32"/>
      <c r="F983" s="32"/>
      <c r="G983" s="32"/>
      <c r="H983" s="32"/>
      <c r="I983" s="14"/>
    </row>
    <row r="984">
      <c r="A984" s="31"/>
      <c r="B984" s="18"/>
      <c r="E984" s="32"/>
      <c r="F984" s="32"/>
      <c r="G984" s="32"/>
      <c r="H984" s="32"/>
      <c r="I984" s="14"/>
    </row>
    <row r="985">
      <c r="A985" s="31"/>
      <c r="B985" s="18"/>
      <c r="E985" s="32"/>
      <c r="F985" s="32"/>
      <c r="G985" s="32"/>
      <c r="H985" s="32"/>
      <c r="I985" s="14"/>
    </row>
    <row r="986">
      <c r="A986" s="31"/>
      <c r="B986" s="18"/>
      <c r="E986" s="32"/>
      <c r="F986" s="32"/>
      <c r="G986" s="32"/>
      <c r="H986" s="32"/>
      <c r="I986" s="14"/>
    </row>
    <row r="987">
      <c r="A987" s="31"/>
      <c r="B987" s="18"/>
      <c r="E987" s="32"/>
      <c r="F987" s="32"/>
      <c r="G987" s="32"/>
      <c r="H987" s="32"/>
      <c r="I987" s="14"/>
    </row>
    <row r="988">
      <c r="A988" s="31"/>
      <c r="B988" s="18"/>
      <c r="E988" s="32"/>
      <c r="F988" s="32"/>
      <c r="G988" s="32"/>
      <c r="H988" s="32"/>
      <c r="I988" s="14"/>
    </row>
    <row r="989">
      <c r="A989" s="31"/>
      <c r="B989" s="18"/>
      <c r="E989" s="32"/>
      <c r="F989" s="32"/>
      <c r="G989" s="32"/>
      <c r="H989" s="32"/>
      <c r="I989" s="14"/>
    </row>
    <row r="990">
      <c r="A990" s="31"/>
      <c r="B990" s="18"/>
      <c r="E990" s="32"/>
      <c r="F990" s="32"/>
      <c r="G990" s="32"/>
      <c r="H990" s="32"/>
      <c r="I990" s="14"/>
    </row>
    <row r="991">
      <c r="A991" s="31"/>
      <c r="B991" s="18"/>
      <c r="E991" s="32"/>
      <c r="F991" s="32"/>
      <c r="G991" s="32"/>
      <c r="H991" s="32"/>
      <c r="I991" s="14"/>
    </row>
    <row r="992">
      <c r="A992" s="31"/>
      <c r="B992" s="18"/>
      <c r="E992" s="32"/>
      <c r="F992" s="32"/>
      <c r="G992" s="32"/>
      <c r="H992" s="32"/>
      <c r="I992" s="14"/>
    </row>
    <row r="993">
      <c r="A993" s="31"/>
      <c r="B993" s="18"/>
      <c r="E993" s="32"/>
      <c r="F993" s="32"/>
      <c r="G993" s="32"/>
      <c r="H993" s="32"/>
      <c r="I993" s="14"/>
    </row>
    <row r="994">
      <c r="A994" s="31"/>
      <c r="B994" s="18"/>
      <c r="E994" s="32"/>
      <c r="F994" s="32"/>
      <c r="G994" s="32"/>
      <c r="H994" s="32"/>
      <c r="I994" s="14"/>
    </row>
    <row r="995">
      <c r="A995" s="31"/>
      <c r="B995" s="18"/>
      <c r="E995" s="32"/>
      <c r="F995" s="32"/>
      <c r="G995" s="32"/>
      <c r="H995" s="32"/>
      <c r="I995" s="14"/>
    </row>
    <row r="996">
      <c r="A996" s="31"/>
      <c r="B996" s="18"/>
      <c r="E996" s="32"/>
      <c r="F996" s="32"/>
      <c r="G996" s="32"/>
      <c r="H996" s="32"/>
      <c r="I996" s="14"/>
    </row>
    <row r="997">
      <c r="A997" s="31"/>
      <c r="B997" s="18"/>
      <c r="E997" s="32"/>
      <c r="F997" s="32"/>
      <c r="G997" s="32"/>
      <c r="H997" s="32"/>
      <c r="I997" s="14"/>
    </row>
    <row r="998">
      <c r="A998" s="31"/>
      <c r="B998" s="18"/>
      <c r="E998" s="32"/>
      <c r="F998" s="32"/>
      <c r="G998" s="32"/>
      <c r="H998" s="32"/>
      <c r="I998" s="14"/>
    </row>
    <row r="999">
      <c r="A999" s="31"/>
      <c r="B999" s="18"/>
      <c r="E999" s="32"/>
      <c r="F999" s="32"/>
      <c r="G999" s="32"/>
      <c r="H999" s="32"/>
      <c r="I999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22.63"/>
    <col customWidth="1" min="5" max="5" width="14.38"/>
    <col customWidth="1" min="7" max="7" width="31.38"/>
    <col customWidth="1" min="9" max="9" width="16.13"/>
    <col customWidth="1" min="12" max="12" width="11.63"/>
  </cols>
  <sheetData>
    <row r="1">
      <c r="A1" s="1" t="s">
        <v>0</v>
      </c>
      <c r="B1" s="2" t="s">
        <v>1</v>
      </c>
      <c r="C1" s="2" t="s">
        <v>2</v>
      </c>
      <c r="D1" s="2" t="s">
        <v>103</v>
      </c>
      <c r="E1" s="2" t="s">
        <v>4</v>
      </c>
      <c r="F1" s="2" t="s">
        <v>5</v>
      </c>
      <c r="G1" s="2" t="s">
        <v>6</v>
      </c>
      <c r="I1" s="3" t="s">
        <v>7</v>
      </c>
      <c r="J1" s="2" t="s">
        <v>8</v>
      </c>
      <c r="K1" s="55" t="s">
        <v>104</v>
      </c>
      <c r="L1" s="36">
        <v>45803.0</v>
      </c>
      <c r="M1" s="5">
        <v>45809.0</v>
      </c>
      <c r="N1" s="5">
        <v>45839.0</v>
      </c>
      <c r="O1" s="36">
        <v>45849.0</v>
      </c>
      <c r="P1" s="36">
        <v>45868.0</v>
      </c>
      <c r="Q1" s="5">
        <v>45869.0</v>
      </c>
      <c r="R1" s="5">
        <v>45901.0</v>
      </c>
    </row>
    <row r="2">
      <c r="A2" s="6">
        <v>45803.0</v>
      </c>
      <c r="B2" s="7">
        <v>202.01</v>
      </c>
      <c r="C2" s="8">
        <v>1.0</v>
      </c>
      <c r="D2" s="9"/>
      <c r="E2" s="9"/>
      <c r="F2" s="9"/>
      <c r="G2" s="10" t="s">
        <v>83</v>
      </c>
      <c r="I2" s="11" t="s">
        <v>10</v>
      </c>
      <c r="J2" s="12">
        <v>0.0</v>
      </c>
      <c r="K2" s="12"/>
      <c r="L2" s="56">
        <v>0.0</v>
      </c>
      <c r="M2" s="56">
        <f>L2*$C$3*1+L2+(L3*$C$3*$J$3)+(L4*$C$3*$J$4)+(L5*$C$3*$J$5)+(L6*$C$3*$J$6)</f>
        <v>0.005294767586</v>
      </c>
      <c r="N2" s="56">
        <f>M2*$C$5*1+M2+(M3*$C$5*$J$3)+(M4*$C$5*$J$4)+(M5*$C$5*$J$5)+(M6*$C$5*$J$6)</f>
        <v>0.09129814967</v>
      </c>
      <c r="O2" s="56">
        <f>N2*$C$7*1+N2+(N3*$C$7*$J$3)+(N4*$C$7*$J$4)+(N5*$C$7*$J$5)+(N6*$C$7*$J$6)+0.898</f>
        <v>1.04761671</v>
      </c>
      <c r="P2" s="56">
        <f>O2*$C$9*1+O2+(O3*$C$9*$J$3)+(O4*$C$9*$J$4)+(O5*$C$9*$J$5)+(O6*$C$9*$J$6)+(O7*$C$9*$J$7)+(O8*$C$9*$J$8)+(O9*$C$9*$J$9)</f>
        <v>1.160068076</v>
      </c>
      <c r="Q2" s="56">
        <f>P2*$C$11*1+P2+(P3*$C$11*$J$3)+(P4*$C$11*$J$4)+(P5*$C$11*$J$5)+(P6*$C$11*$J$6)+(P7*$C$11*$J$7)+(P8*$C$11*$J$8)+(P9*$C$11*$J$9)</f>
        <v>1.160068076</v>
      </c>
      <c r="R2" s="56">
        <f>Q2*$C$12*1+Q2+(Q3*$C$12*$J$3)+(Q4*$C$12*$J$4)+(Q5*$C$12*$J$5)+(Q6*$C$12*$J$6)+(Q7*$C$12*$J$7)+(Q8*$C$12*$J$8)+(Q9*$C$12*$J$9)+(Q10*$C$12*$J$10)</f>
        <v>1.41978919</v>
      </c>
    </row>
    <row r="3">
      <c r="A3" s="6">
        <v>45807.0</v>
      </c>
      <c r="B3" s="7">
        <v>202.23</v>
      </c>
      <c r="C3" s="14">
        <f>(B3*$C$2/B2)-100%</f>
        <v>0.001089054997</v>
      </c>
      <c r="D3" s="57">
        <f>B3-B2</f>
        <v>0.22</v>
      </c>
      <c r="E3" s="14">
        <f>C3*0.8</f>
        <v>0.0008712439978</v>
      </c>
      <c r="F3" s="16">
        <f>C3*12</f>
        <v>0.01306865997</v>
      </c>
      <c r="G3" s="17"/>
      <c r="I3" s="11" t="s">
        <v>52</v>
      </c>
      <c r="J3" s="12">
        <v>0.18</v>
      </c>
      <c r="K3" s="12">
        <v>0.02</v>
      </c>
      <c r="L3" s="56">
        <v>27.01</v>
      </c>
      <c r="M3" s="56">
        <v>59.28353230038117</v>
      </c>
      <c r="N3" s="56">
        <v>59.665579989199344</v>
      </c>
      <c r="O3" s="56">
        <v>59.922588783056064</v>
      </c>
      <c r="P3" s="56">
        <v>60.14389191835805</v>
      </c>
      <c r="Q3" s="56">
        <v>60.14389191835805</v>
      </c>
      <c r="R3" s="56">
        <f>Q3*$C$12*(1-$J3)+Q3</f>
        <v>60.56638541</v>
      </c>
    </row>
    <row r="4">
      <c r="A4" s="6">
        <v>45807.0</v>
      </c>
      <c r="B4" s="7">
        <f>B3+32.25+3.0466</f>
        <v>237.5266</v>
      </c>
      <c r="C4" s="8">
        <v>1.0</v>
      </c>
      <c r="D4" s="9"/>
      <c r="E4" s="9"/>
      <c r="F4" s="9"/>
      <c r="G4" s="58" t="s">
        <v>105</v>
      </c>
      <c r="I4" s="11" t="s">
        <v>106</v>
      </c>
      <c r="J4" s="12">
        <v>0.0</v>
      </c>
      <c r="K4" s="12"/>
      <c r="L4" s="59">
        <v>175.0</v>
      </c>
      <c r="M4" s="56">
        <f>L4*$C$3*(1-$J4)+L4</f>
        <v>175.1905846</v>
      </c>
      <c r="N4" s="56">
        <f>M4*$C$5*(1-$J4)+M4</f>
        <v>176.6018357</v>
      </c>
      <c r="O4" s="56">
        <f>N4*$C$7*(1-$J4)+N4</f>
        <v>177.5527236</v>
      </c>
      <c r="P4" s="56">
        <f>(O4*$C$9*(1-$J4)+O4)</f>
        <v>178.3723848</v>
      </c>
      <c r="Q4" s="56">
        <f>(P4*$C$11*(1-$J4)+P4)-(P4*$C$11*(1-$J4)+P4)</f>
        <v>0</v>
      </c>
      <c r="R4" s="56">
        <f>(Q4*$C$12*(1-$J4)+Q4)-(Q4*$C$12*(1-$J4)+Q4)</f>
        <v>0</v>
      </c>
    </row>
    <row r="5">
      <c r="A5" s="6">
        <v>45838.0</v>
      </c>
      <c r="B5" s="7">
        <v>239.44</v>
      </c>
      <c r="C5" s="14">
        <f>(B5*$C$2/B4)-100%</f>
        <v>0.008055518835</v>
      </c>
      <c r="D5" s="57">
        <f>B5-B4</f>
        <v>1.9134</v>
      </c>
      <c r="E5" s="14">
        <f>C5*0.8</f>
        <v>0.006444415068</v>
      </c>
      <c r="F5" s="16">
        <f>C5*12</f>
        <v>0.09666622601</v>
      </c>
      <c r="G5" s="17"/>
      <c r="I5" s="11" t="s">
        <v>21</v>
      </c>
      <c r="J5" s="12">
        <v>0.0</v>
      </c>
      <c r="K5" s="12"/>
      <c r="L5" s="56">
        <v>0.0</v>
      </c>
      <c r="M5" s="56">
        <f>L5*$C$3*(1-$J5)+L5+3.0466</f>
        <v>3.0466</v>
      </c>
      <c r="N5" s="56">
        <f>M5*$C$5*(1-$J5)+M5+2</f>
        <v>5.071141944</v>
      </c>
      <c r="O5" s="56">
        <f>N5*$C$7*(1-$J5)+N5+26.6797</f>
        <v>31.7781468</v>
      </c>
      <c r="P5" s="56">
        <f t="shared" ref="P5:P7" si="1">O5*$C$9*(1-$J5)+O5</f>
        <v>31.92484865</v>
      </c>
      <c r="Q5" s="56">
        <f t="shared" ref="Q5:Q7" si="2">P5*$C$11*(1-$J5)+P5</f>
        <v>31.92484865</v>
      </c>
      <c r="R5" s="56">
        <f t="shared" ref="R5:R7" si="3">Q5*$C$12*(1-$J5)+Q5</f>
        <v>32.19833993</v>
      </c>
    </row>
    <row r="6">
      <c r="A6" s="6">
        <v>45838.0</v>
      </c>
      <c r="B6" s="7">
        <f>B5+2</f>
        <v>241.44</v>
      </c>
      <c r="C6" s="8">
        <v>1.0</v>
      </c>
      <c r="D6" s="9"/>
      <c r="E6" s="9"/>
      <c r="F6" s="9"/>
      <c r="G6" s="10" t="s">
        <v>107</v>
      </c>
      <c r="I6" s="11" t="s">
        <v>32</v>
      </c>
      <c r="J6" s="12">
        <v>0.2</v>
      </c>
      <c r="K6" s="12"/>
      <c r="L6" s="56">
        <v>0.0</v>
      </c>
      <c r="M6" s="56">
        <f t="shared" ref="M6:M10" si="4">L6*$C$3*(1-$J6)+L6</f>
        <v>0</v>
      </c>
      <c r="N6" s="56">
        <f t="shared" ref="N6:N10" si="5">M6*$C$5*(1-$J6)+M6</f>
        <v>0</v>
      </c>
      <c r="O6" s="56">
        <f>N6*$C$7*(1-$J6)+N6+62.6261</f>
        <v>62.6261</v>
      </c>
      <c r="P6" s="56">
        <f t="shared" si="1"/>
        <v>62.85738761</v>
      </c>
      <c r="Q6" s="56">
        <f t="shared" si="2"/>
        <v>62.85738761</v>
      </c>
      <c r="R6" s="56">
        <f t="shared" si="3"/>
        <v>63.28817299</v>
      </c>
    </row>
    <row r="7">
      <c r="A7" s="6">
        <v>45849.0</v>
      </c>
      <c r="B7" s="7">
        <f>242.88-0.14</f>
        <v>242.74</v>
      </c>
      <c r="C7" s="14">
        <f>(B7*$C$2/B6)-100%</f>
        <v>0.005384360504</v>
      </c>
      <c r="D7" s="57">
        <f>B7-B6</f>
        <v>1.3</v>
      </c>
      <c r="E7" s="14">
        <f>C7*0.8</f>
        <v>0.004307488403</v>
      </c>
      <c r="F7" s="16">
        <f>C7*12</f>
        <v>0.06461232604</v>
      </c>
      <c r="G7" s="17"/>
      <c r="I7" s="11" t="s">
        <v>24</v>
      </c>
      <c r="J7" s="12">
        <v>0.0</v>
      </c>
      <c r="K7" s="12"/>
      <c r="L7" s="56">
        <v>0.0</v>
      </c>
      <c r="M7" s="56">
        <f t="shared" si="4"/>
        <v>0</v>
      </c>
      <c r="N7" s="56">
        <f t="shared" si="5"/>
        <v>0</v>
      </c>
      <c r="O7" s="56">
        <f>N7*$C$7*(1-$J7)+N7+119.7862</f>
        <v>119.7862</v>
      </c>
      <c r="P7" s="56">
        <f t="shared" si="1"/>
        <v>120.3391856</v>
      </c>
      <c r="Q7" s="56">
        <f t="shared" si="2"/>
        <v>120.3391856</v>
      </c>
      <c r="R7" s="56">
        <f t="shared" si="3"/>
        <v>121.3700978</v>
      </c>
    </row>
    <row r="8">
      <c r="A8" s="6">
        <v>45849.0</v>
      </c>
      <c r="B8" s="7">
        <f>B7+209.99</f>
        <v>452.73</v>
      </c>
      <c r="C8" s="8">
        <v>1.0</v>
      </c>
      <c r="D8" s="9"/>
      <c r="E8" s="9"/>
      <c r="F8" s="9"/>
      <c r="G8" s="10" t="s">
        <v>108</v>
      </c>
      <c r="I8" s="7" t="s">
        <v>79</v>
      </c>
      <c r="J8" s="12">
        <v>0.18</v>
      </c>
      <c r="K8" s="12">
        <v>0.02</v>
      </c>
      <c r="L8" s="56">
        <v>0.0</v>
      </c>
      <c r="M8" s="56">
        <f t="shared" si="4"/>
        <v>0</v>
      </c>
      <c r="N8" s="56">
        <f t="shared" si="5"/>
        <v>0</v>
      </c>
      <c r="O8" s="56">
        <f t="shared" ref="O8:O10" si="6">N8*$C$7*(1-$J8)+N8</f>
        <v>0</v>
      </c>
      <c r="P8" s="56">
        <f>O8*$C$9*(1-($J8+$K8))+O8+32</f>
        <v>32</v>
      </c>
      <c r="Q8" s="56">
        <f>P8*$C$11*(1-($J8+$K8))+P8</f>
        <v>32</v>
      </c>
      <c r="R8" s="56">
        <f>Q8*$C$12*(1-($J8+$K8))+Q8</f>
        <v>32.21930807</v>
      </c>
    </row>
    <row r="9">
      <c r="A9" s="6">
        <v>45868.0</v>
      </c>
      <c r="B9" s="7">
        <v>454.82</v>
      </c>
      <c r="C9" s="14">
        <f>(B9*$C$2/B8)-100%</f>
        <v>0.004616438054</v>
      </c>
      <c r="D9" s="57">
        <f>B9-B8</f>
        <v>2.09</v>
      </c>
      <c r="E9" s="14">
        <f>C9*0.8</f>
        <v>0.003693150443</v>
      </c>
      <c r="F9" s="16">
        <f>C9*12</f>
        <v>0.05539725664</v>
      </c>
      <c r="G9" s="17"/>
      <c r="I9" s="7" t="s">
        <v>109</v>
      </c>
      <c r="J9" s="12">
        <v>0.2</v>
      </c>
      <c r="L9" s="56">
        <v>0.0</v>
      </c>
      <c r="M9" s="56">
        <f t="shared" si="4"/>
        <v>0</v>
      </c>
      <c r="N9" s="56">
        <f t="shared" si="5"/>
        <v>0</v>
      </c>
      <c r="O9" s="56">
        <f t="shared" si="6"/>
        <v>0</v>
      </c>
      <c r="P9" s="56">
        <f t="shared" ref="P9:P10" si="7">(O9*$C$9*(1-$J9)+O9)+(O8*$C$9*$K$8)</f>
        <v>0</v>
      </c>
      <c r="Q9" s="56">
        <f t="shared" ref="Q9:Q10" si="8">(P9*$C$11*(1-$J9)+P9)+(P8*$C$11*$K$8)</f>
        <v>0</v>
      </c>
      <c r="R9" s="56">
        <f>(Q9*$C$12*(1-$J9)+Q9)+(Q8*$C$12*$K$8)</f>
        <v>0.005482701678</v>
      </c>
    </row>
    <row r="10">
      <c r="A10" s="6">
        <v>45868.0</v>
      </c>
      <c r="B10" s="7">
        <f>B9+32</f>
        <v>486.82</v>
      </c>
      <c r="C10" s="8">
        <v>1.0</v>
      </c>
      <c r="D10" s="9"/>
      <c r="E10" s="9"/>
      <c r="F10" s="9"/>
      <c r="G10" s="46" t="s">
        <v>110</v>
      </c>
      <c r="I10" s="7" t="s">
        <v>111</v>
      </c>
      <c r="J10" s="12">
        <v>0.2</v>
      </c>
      <c r="L10" s="56">
        <v>0.0</v>
      </c>
      <c r="M10" s="56">
        <f t="shared" si="4"/>
        <v>0</v>
      </c>
      <c r="N10" s="56">
        <f t="shared" si="5"/>
        <v>0</v>
      </c>
      <c r="O10" s="56">
        <f t="shared" si="6"/>
        <v>0</v>
      </c>
      <c r="P10" s="56">
        <f t="shared" si="7"/>
        <v>0</v>
      </c>
      <c r="Q10" s="56">
        <f t="shared" si="8"/>
        <v>0</v>
      </c>
      <c r="R10" s="56">
        <f>(Q10*$C$12*(1-$J10)+Q10)+(Q3*$C$12*$K$3)</f>
        <v>0.01030471929</v>
      </c>
    </row>
    <row r="11">
      <c r="A11" s="6">
        <v>45869.0</v>
      </c>
      <c r="B11" s="60">
        <f>B10-(O4*$C$9*(1-$J4)+O4)                                                                                                                                                                   </f>
        <v>308.4476152</v>
      </c>
      <c r="C11" s="8">
        <v>0.0</v>
      </c>
      <c r="D11" s="9"/>
      <c r="E11" s="9"/>
      <c r="F11" s="9"/>
      <c r="G11" s="46" t="s">
        <v>112</v>
      </c>
      <c r="I11" s="11" t="s">
        <v>17</v>
      </c>
      <c r="J11" s="18"/>
      <c r="K11" s="18"/>
      <c r="L11" s="61">
        <f t="shared" ref="L11:R11" si="9">SUM(L2:L9)</f>
        <v>202.01</v>
      </c>
      <c r="M11" s="61">
        <f t="shared" si="9"/>
        <v>237.5260117</v>
      </c>
      <c r="N11" s="61">
        <f t="shared" si="9"/>
        <v>241.4298558</v>
      </c>
      <c r="O11" s="61">
        <f t="shared" si="9"/>
        <v>452.7133759</v>
      </c>
      <c r="P11" s="61">
        <f t="shared" si="9"/>
        <v>486.7977666</v>
      </c>
      <c r="Q11" s="61">
        <f t="shared" si="9"/>
        <v>308.4253818</v>
      </c>
      <c r="R11" s="61">
        <f t="shared" si="9"/>
        <v>311.0675761</v>
      </c>
    </row>
    <row r="12">
      <c r="A12" s="6">
        <v>45901.0</v>
      </c>
      <c r="B12" s="7">
        <v>311.09</v>
      </c>
      <c r="C12" s="14">
        <f>(B12*$C$2/B11)-100%</f>
        <v>0.008566721372</v>
      </c>
      <c r="D12" s="57">
        <f>B12-B11</f>
        <v>2.642384777</v>
      </c>
      <c r="E12" s="14">
        <f>C12*0.8</f>
        <v>0.006853377097</v>
      </c>
      <c r="F12" s="16">
        <f>C12*12</f>
        <v>0.1028006565</v>
      </c>
    </row>
    <row r="13">
      <c r="B13" s="7"/>
      <c r="C13" s="11"/>
      <c r="D13" s="13"/>
      <c r="I13" s="11" t="s">
        <v>10</v>
      </c>
      <c r="L13" s="21">
        <f t="shared" ref="L13:R13" si="10">IFERROR(L2/L$11,"")</f>
        <v>0</v>
      </c>
      <c r="M13" s="21">
        <f t="shared" si="10"/>
        <v>0.00002229131685</v>
      </c>
      <c r="N13" s="21">
        <f t="shared" si="10"/>
        <v>0.0003781560047</v>
      </c>
      <c r="O13" s="21">
        <f t="shared" si="10"/>
        <v>0.002314083847</v>
      </c>
      <c r="P13" s="21">
        <f t="shared" si="10"/>
        <v>0.002383059569</v>
      </c>
      <c r="Q13" s="21">
        <f t="shared" si="10"/>
        <v>0.003761260078</v>
      </c>
      <c r="R13" s="21">
        <f t="shared" si="10"/>
        <v>0.004564246802</v>
      </c>
    </row>
    <row r="14">
      <c r="B14" s="7"/>
      <c r="I14" s="11" t="s">
        <v>52</v>
      </c>
      <c r="L14" s="21">
        <f t="shared" ref="L14:R14" si="11">IFERROR(L3/L$11,"")</f>
        <v>0.1337062522</v>
      </c>
      <c r="M14" s="21">
        <f t="shared" si="11"/>
        <v>0.2495875373</v>
      </c>
      <c r="N14" s="21">
        <f t="shared" si="11"/>
        <v>0.2471342237</v>
      </c>
      <c r="O14" s="21">
        <f t="shared" si="11"/>
        <v>0.1323631948</v>
      </c>
      <c r="P14" s="21">
        <f t="shared" si="11"/>
        <v>0.1235500572</v>
      </c>
      <c r="Q14" s="21">
        <f t="shared" si="11"/>
        <v>0.1950030557</v>
      </c>
      <c r="R14" s="21">
        <f t="shared" si="11"/>
        <v>0.1947049132</v>
      </c>
    </row>
    <row r="15">
      <c r="B15" s="7"/>
      <c r="I15" s="11" t="s">
        <v>54</v>
      </c>
      <c r="L15" s="21">
        <f t="shared" ref="L15:R15" si="12">IFERROR(L4/L$11,"")</f>
        <v>0.8662937478</v>
      </c>
      <c r="M15" s="21">
        <f t="shared" si="12"/>
        <v>0.7375637867</v>
      </c>
      <c r="N15" s="21">
        <f t="shared" si="12"/>
        <v>0.7314830021</v>
      </c>
      <c r="O15" s="21">
        <f t="shared" si="12"/>
        <v>0.3921967697</v>
      </c>
      <c r="P15" s="21">
        <f t="shared" si="12"/>
        <v>0.3664198914</v>
      </c>
      <c r="Q15" s="21">
        <f t="shared" si="12"/>
        <v>0</v>
      </c>
      <c r="R15" s="21">
        <f t="shared" si="12"/>
        <v>0</v>
      </c>
    </row>
    <row r="16">
      <c r="B16" s="7"/>
      <c r="I16" s="11" t="s">
        <v>21</v>
      </c>
      <c r="L16" s="21">
        <f t="shared" ref="L16:R16" si="13">IFERROR(L5/L$11,"")</f>
        <v>0</v>
      </c>
      <c r="M16" s="21">
        <f t="shared" si="13"/>
        <v>0.01282638469</v>
      </c>
      <c r="N16" s="21">
        <f t="shared" si="13"/>
        <v>0.02100461821</v>
      </c>
      <c r="O16" s="21">
        <f t="shared" si="13"/>
        <v>0.07019484842</v>
      </c>
      <c r="P16" s="21">
        <f t="shared" si="13"/>
        <v>0.06558133754</v>
      </c>
      <c r="Q16" s="21">
        <f t="shared" si="13"/>
        <v>0.1035091485</v>
      </c>
      <c r="R16" s="21">
        <f t="shared" si="13"/>
        <v>0.1035091485</v>
      </c>
    </row>
    <row r="17">
      <c r="B17" s="7"/>
      <c r="I17" s="11" t="s">
        <v>32</v>
      </c>
      <c r="L17" s="21">
        <f t="shared" ref="L17:R17" si="14">IFERROR(L6/L$11,"")</f>
        <v>0</v>
      </c>
      <c r="M17" s="21">
        <f t="shared" si="14"/>
        <v>0</v>
      </c>
      <c r="N17" s="21">
        <f t="shared" si="14"/>
        <v>0</v>
      </c>
      <c r="O17" s="21">
        <f t="shared" si="14"/>
        <v>0.1383349893</v>
      </c>
      <c r="P17" s="21">
        <f t="shared" si="14"/>
        <v>0.1291242317</v>
      </c>
      <c r="Q17" s="21">
        <f t="shared" si="14"/>
        <v>0.2038009558</v>
      </c>
      <c r="R17" s="21">
        <f t="shared" si="14"/>
        <v>0.2034547405</v>
      </c>
    </row>
    <row r="18">
      <c r="B18" s="7"/>
      <c r="I18" s="11" t="s">
        <v>24</v>
      </c>
      <c r="L18" s="21">
        <f t="shared" ref="L18:R18" si="15">IFERROR(L7/L$11,"")</f>
        <v>0</v>
      </c>
      <c r="M18" s="21">
        <f t="shared" si="15"/>
        <v>0</v>
      </c>
      <c r="N18" s="21">
        <f t="shared" si="15"/>
        <v>0</v>
      </c>
      <c r="O18" s="21">
        <f t="shared" si="15"/>
        <v>0.2645961139</v>
      </c>
      <c r="P18" s="21">
        <f t="shared" si="15"/>
        <v>0.247205706</v>
      </c>
      <c r="Q18" s="21">
        <f t="shared" si="15"/>
        <v>0.39017277</v>
      </c>
      <c r="R18" s="21">
        <f t="shared" si="15"/>
        <v>0.39017277</v>
      </c>
    </row>
    <row r="19">
      <c r="B19" s="7"/>
      <c r="I19" s="7" t="s">
        <v>79</v>
      </c>
      <c r="L19" s="21">
        <f t="shared" ref="L19:R19" si="16">IFERROR(L8/L$11,"")</f>
        <v>0</v>
      </c>
      <c r="M19" s="21">
        <f t="shared" si="16"/>
        <v>0</v>
      </c>
      <c r="N19" s="21">
        <f t="shared" si="16"/>
        <v>0</v>
      </c>
      <c r="O19" s="21">
        <f t="shared" si="16"/>
        <v>0</v>
      </c>
      <c r="P19" s="21">
        <f t="shared" si="16"/>
        <v>0.06573571655</v>
      </c>
      <c r="Q19" s="21">
        <f t="shared" si="16"/>
        <v>0.1037528099</v>
      </c>
      <c r="R19" s="21">
        <f t="shared" si="16"/>
        <v>0.1035765555</v>
      </c>
    </row>
    <row r="20">
      <c r="B20" s="7"/>
      <c r="I20" s="7" t="s">
        <v>109</v>
      </c>
      <c r="L20" s="21">
        <f t="shared" ref="L20:R20" si="17">IFERROR(L9/L$11,"")</f>
        <v>0</v>
      </c>
      <c r="M20" s="21">
        <f t="shared" si="17"/>
        <v>0</v>
      </c>
      <c r="N20" s="21">
        <f t="shared" si="17"/>
        <v>0</v>
      </c>
      <c r="O20" s="21">
        <f t="shared" si="17"/>
        <v>0</v>
      </c>
      <c r="P20" s="21">
        <f t="shared" si="17"/>
        <v>0</v>
      </c>
      <c r="Q20" s="21">
        <f t="shared" si="17"/>
        <v>0</v>
      </c>
      <c r="R20" s="21">
        <f t="shared" si="17"/>
        <v>0.00001762543607</v>
      </c>
    </row>
    <row r="21">
      <c r="B21" s="7"/>
    </row>
    <row r="22">
      <c r="B22" s="7"/>
      <c r="I22" s="11" t="s">
        <v>14</v>
      </c>
      <c r="J22" s="18"/>
      <c r="K22" s="18"/>
      <c r="L22" s="28">
        <f t="shared" ref="L22:R22" si="18">SUM(L13:L20)</f>
        <v>1</v>
      </c>
      <c r="M22" s="28">
        <f t="shared" si="18"/>
        <v>1</v>
      </c>
      <c r="N22" s="28">
        <f t="shared" si="18"/>
        <v>1</v>
      </c>
      <c r="O22" s="28">
        <f t="shared" si="18"/>
        <v>1</v>
      </c>
      <c r="P22" s="28">
        <f t="shared" si="18"/>
        <v>1</v>
      </c>
      <c r="Q22" s="28">
        <f t="shared" si="18"/>
        <v>1</v>
      </c>
      <c r="R22" s="28">
        <f t="shared" si="18"/>
        <v>1</v>
      </c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22.63"/>
    <col customWidth="1" min="5" max="5" width="14.38"/>
    <col customWidth="1" min="7" max="7" width="21.25"/>
    <col customWidth="1" min="9" max="9" width="17.38"/>
    <col customWidth="1" min="17" max="17" width="12.63"/>
    <col customWidth="1" min="19" max="20" width="10.5"/>
  </cols>
  <sheetData>
    <row r="1">
      <c r="A1" s="1" t="s">
        <v>0</v>
      </c>
      <c r="B1" s="2" t="s">
        <v>1</v>
      </c>
      <c r="C1" s="2" t="s">
        <v>2</v>
      </c>
      <c r="D1" s="2" t="s">
        <v>103</v>
      </c>
      <c r="E1" s="2" t="s">
        <v>4</v>
      </c>
      <c r="F1" s="2" t="s">
        <v>5</v>
      </c>
      <c r="G1" s="2" t="s">
        <v>6</v>
      </c>
      <c r="I1" s="3" t="s">
        <v>7</v>
      </c>
      <c r="J1" s="2" t="s">
        <v>8</v>
      </c>
      <c r="K1" s="55" t="s">
        <v>104</v>
      </c>
      <c r="L1" s="36">
        <v>45824.0</v>
      </c>
      <c r="M1" s="62">
        <v>45839.0</v>
      </c>
      <c r="N1" s="36">
        <v>45852.0</v>
      </c>
      <c r="O1" s="36">
        <v>45857.0</v>
      </c>
      <c r="P1" s="36">
        <v>45861.0</v>
      </c>
      <c r="Q1" s="62">
        <v>45869.0</v>
      </c>
      <c r="R1" s="36">
        <v>45873.0</v>
      </c>
      <c r="S1" s="36">
        <v>45883.0</v>
      </c>
      <c r="T1" s="36">
        <v>45888.0</v>
      </c>
      <c r="U1" s="62">
        <v>45901.0</v>
      </c>
    </row>
    <row r="2">
      <c r="A2" s="6">
        <v>45824.0</v>
      </c>
      <c r="B2" s="63">
        <f> 134026.75+1700</f>
        <v>135726.75</v>
      </c>
      <c r="C2" s="8">
        <v>1.0</v>
      </c>
      <c r="D2" s="9"/>
      <c r="E2" s="9"/>
      <c r="F2" s="9"/>
      <c r="G2" s="10" t="s">
        <v>113</v>
      </c>
      <c r="I2" s="11" t="s">
        <v>10</v>
      </c>
      <c r="J2" s="12">
        <v>0.0</v>
      </c>
      <c r="K2" s="12"/>
      <c r="L2" s="59">
        <v>0.0</v>
      </c>
      <c r="M2" s="56">
        <f>L2*$C$3*1+L2+(L4*$C$3*$J$4)+(L5*$C$3*$J$5)</f>
        <v>0</v>
      </c>
      <c r="N2" s="56">
        <f>M2*$C$4*1+M2+(M3*$C$4*20%)+(M4*$C$4*$J$4)+(M5*$C$4*$J$5)+(M6*$C$4*$J$6)+(M7*$C$4*$J$7)+(M8*$C$4*$J$8)</f>
        <v>41.8995375</v>
      </c>
      <c r="O2" s="56">
        <f>N2*$C$6*1+N2+(N3*$C$6*20%)+(N4*$C$6*$J$4)+(N5*$C$6*$J$5)+(N6*$C$6*$J$6)+(N7*$C$6*$J$7)+(N8*$C$6*$J$8)+(N9*$C$6*$J$9)</f>
        <v>210.5354624</v>
      </c>
      <c r="P2" s="56">
        <f>O2*$C$8*1+O2+(O3*$C$8*20%)+(O4*$C$8*$J$4)+(O5*$C$8*$J$5)+(O6*$C$8*$J$6)+(O7*$C$8*$J$7)+(O8*$C$8*$J$8)+(O9*$C$8*$J$9)+(O10*$C$8*$J$10)+(O11*$C$8*$J$11)+(O12*$C$8*$J$12)</f>
        <v>416.0112766</v>
      </c>
      <c r="Q2" s="56">
        <f>P2*$C$10*1+P2+(P3*$C$10*20%)+(P4*$C$10*$J$4)+(P5*$C$10*$J$5)+(P6*$C$10*$J$6)+(P7*$C$10*$J$7)+(P8*$C$10*$J$8)+(P9*$C$10*$J$9)+(P10*$C$10*$J$10)+(P11*$C$10*$J$11)+(P12*$C$10*$J$12)</f>
        <v>919.7724406</v>
      </c>
      <c r="R2" s="56">
        <f>Q2*$C$11*1+Q2+(Q3*$C$11*20%)+(Q4*$C$11*$J$4)+(Q5*$C$11*$J$5)+(Q6*$C$11*$J$6)+(Q7*$C$11*$J$7)+(Q8*$C$11*$J$8)+(Q9*$C$11*$J$9)+(Q10*$C$11*$J$10)+(Q11*$C$11*$J$11)+(Q12*$C$11*$J$12)</f>
        <v>1042.103058</v>
      </c>
      <c r="S2" s="56">
        <f>R2*$C$13*1+R2+(R3*$C$13*20%)+(R4*$C$13*$J$4)+(R5*$C$13*$J$5)+(R6*$C$13*$J$6)+(R7*$C$13*$J$7)+(R8*$C$13*$J$8)+(R9*$C$13*$J$9)+(R10*$C$13*$J$10)+(R11*$C$13*$J$11)+(R12*$C$13*$J$12)</f>
        <v>1898.585941</v>
      </c>
      <c r="T2" s="56">
        <f>S2*$C$15*1+S2+(S3*$C$15*20%)+(S4*$C$15*$J$4)+(S5*$C$15*$J$5)+(S6*$C$15*$J$6)+(S7*$C$15*$J$7)+(S8*$C$15*$J$8)+(S9*$C$15*$J$9)+(S10*$C$15*$J$10)+(S11*$C$15*$J$11)+(S12*$C$15*$J$12)+(S13*$C$15*$J$13)+(S14*$C$15*$J$14)</f>
        <v>2272.259882</v>
      </c>
      <c r="U2" s="56">
        <f>T2*$C$17*1+T2+(T3*$C$17*$J$3)+(T4*$C$17*$J$4)+(T5*$C$17*$J$5)+(T6*$C$17*$J$6)+(T7*$C$17*$J$7)+(T8*$C$17*$J$8)+(T9*$C$17*$J$9)+(T10*$C$17*$J$10)+(T11*$C$17*$J$11)+(T12*$C$17*$J$12)+(T13*$C$17*$J$13)+(T14*$C$17*$J$14)</f>
        <v>3157.862002</v>
      </c>
    </row>
    <row r="3">
      <c r="A3" s="6">
        <v>45839.0</v>
      </c>
      <c r="B3" s="63">
        <f>(B2*8.5%/12/30*14)+B2</f>
        <v>136175.4023</v>
      </c>
      <c r="C3" s="14">
        <f t="shared" ref="C3:C4" si="1">(B3*$C$2/B2)-100%</f>
        <v>0.003305555556</v>
      </c>
      <c r="D3" s="57">
        <f t="shared" ref="D3:D4" si="2">B3-B2</f>
        <v>448.6523125</v>
      </c>
      <c r="E3" s="14">
        <f t="shared" ref="E3:E4" si="3">C3*0.8</f>
        <v>0.002644444444</v>
      </c>
      <c r="F3" s="16">
        <f t="shared" ref="F3:F4" si="4">C3*12</f>
        <v>0.03966666667</v>
      </c>
      <c r="G3" s="17"/>
      <c r="I3" s="11" t="s">
        <v>52</v>
      </c>
      <c r="J3" s="12">
        <v>0.18</v>
      </c>
      <c r="K3" s="12">
        <v>0.02</v>
      </c>
      <c r="L3" s="59">
        <f> 134026.75+1700</f>
        <v>135726.75</v>
      </c>
      <c r="M3" s="56">
        <f>L3*$C$3+L3</f>
        <v>136175.4023</v>
      </c>
      <c r="N3" s="56">
        <f>M3*$C$4*(1-20%)+M3</f>
        <v>136343.0005</v>
      </c>
      <c r="O3" s="56">
        <f>N3*$C$6*(1-20%)+N3+46955.28</f>
        <v>183460.926</v>
      </c>
      <c r="P3" s="56">
        <f>O3*$C$8*(1-20%)+O3</f>
        <v>183646.2468</v>
      </c>
      <c r="Q3" s="56">
        <f>P3*$C$10*(1-20%)+P3</f>
        <v>183981.0952</v>
      </c>
      <c r="R3" s="56">
        <f>Q3*$C$11*(1-$J3)+Q3+10000</f>
        <v>194064.2396</v>
      </c>
      <c r="S3" s="56">
        <f t="shared" ref="S3:S6" si="5">R3*$C$13*(1-$J3)+R3</f>
        <v>194672.1662</v>
      </c>
      <c r="T3" s="56">
        <f t="shared" ref="T3:T13" si="6">S3*$C$15*(1-$J3)+S3</f>
        <v>194933.3513</v>
      </c>
      <c r="U3" s="56">
        <f t="shared" ref="U3:U15" si="7">T3*$C$17*(1-$J3)+T3</f>
        <v>195562.0041</v>
      </c>
    </row>
    <row r="4">
      <c r="A4" s="6">
        <v>45852.0</v>
      </c>
      <c r="B4" s="63">
        <v>136384.9</v>
      </c>
      <c r="C4" s="14">
        <f t="shared" si="1"/>
        <v>0.001538440012</v>
      </c>
      <c r="D4" s="57">
        <f t="shared" si="2"/>
        <v>209.4976875</v>
      </c>
      <c r="E4" s="14">
        <f t="shared" si="3"/>
        <v>0.001230752009</v>
      </c>
      <c r="F4" s="16">
        <f t="shared" si="4"/>
        <v>0.01846128014</v>
      </c>
      <c r="G4" s="17"/>
      <c r="I4" s="11" t="s">
        <v>114</v>
      </c>
      <c r="J4" s="12">
        <v>0.1</v>
      </c>
      <c r="K4" s="12"/>
      <c r="L4" s="59">
        <v>0.0</v>
      </c>
      <c r="M4" s="56">
        <f t="shared" ref="M4:M15" si="8">L4*$C$3*(1-$J4)+L4</f>
        <v>0</v>
      </c>
      <c r="N4" s="56">
        <f>M4*$C$4*(1-$J4)+M4+109392</f>
        <v>109392</v>
      </c>
      <c r="O4" s="56">
        <f t="shared" ref="O4:O8" si="9">N4*$C$6*(1-$J4)+N4</f>
        <v>109538.8072</v>
      </c>
      <c r="P4" s="56">
        <f t="shared" ref="P4:P9" si="10">O4*$C$8*(1-$J4)+O4</f>
        <v>109663.2876</v>
      </c>
      <c r="Q4" s="56">
        <f t="shared" ref="Q4:Q15" si="11">P4*$C$10*(1-$J4)+P4</f>
        <v>109888.2345</v>
      </c>
      <c r="R4" s="56">
        <f t="shared" ref="R4:R12" si="12">Q4*$C$11*(1-$J4)+Q4</f>
        <v>109942.74</v>
      </c>
      <c r="S4" s="56">
        <f t="shared" si="5"/>
        <v>110320.7478</v>
      </c>
      <c r="T4" s="56">
        <f t="shared" si="6"/>
        <v>110483.2018</v>
      </c>
      <c r="U4" s="56">
        <f t="shared" si="7"/>
        <v>110874.2674</v>
      </c>
    </row>
    <row r="5">
      <c r="A5" s="6">
        <v>45852.0</v>
      </c>
      <c r="B5" s="63">
        <f>B4+109392+109776+109333+255504+273807</f>
        <v>994196.9</v>
      </c>
      <c r="C5" s="8">
        <v>1.0</v>
      </c>
      <c r="D5" s="9"/>
      <c r="E5" s="9"/>
      <c r="F5" s="9"/>
      <c r="G5" s="10" t="s">
        <v>115</v>
      </c>
      <c r="I5" s="11" t="s">
        <v>69</v>
      </c>
      <c r="J5" s="12">
        <v>0.1</v>
      </c>
      <c r="K5" s="12"/>
      <c r="L5" s="59">
        <v>0.0</v>
      </c>
      <c r="M5" s="56">
        <f t="shared" si="8"/>
        <v>0</v>
      </c>
      <c r="N5" s="56">
        <f>M5*$C$4*(1-$J5)+M5+109776</f>
        <v>109776</v>
      </c>
      <c r="O5" s="56">
        <f t="shared" si="9"/>
        <v>109923.3226</v>
      </c>
      <c r="P5" s="56">
        <f t="shared" si="10"/>
        <v>110048.2399</v>
      </c>
      <c r="Q5" s="56">
        <f t="shared" si="11"/>
        <v>110273.9765</v>
      </c>
      <c r="R5" s="56">
        <f t="shared" si="12"/>
        <v>110328.6732</v>
      </c>
      <c r="S5" s="56">
        <f t="shared" si="5"/>
        <v>110708.008</v>
      </c>
      <c r="T5" s="56">
        <f t="shared" si="6"/>
        <v>110871.0323</v>
      </c>
      <c r="U5" s="56">
        <f t="shared" si="7"/>
        <v>111263.4707</v>
      </c>
    </row>
    <row r="6">
      <c r="A6" s="6">
        <v>45857.0</v>
      </c>
      <c r="B6" s="63">
        <v>995679.39</v>
      </c>
      <c r="C6" s="14">
        <f>(B6*$C$2/B5)-100%</f>
        <v>0.001491143253</v>
      </c>
      <c r="D6" s="57">
        <f>B6-B5</f>
        <v>1482.49</v>
      </c>
      <c r="E6" s="14">
        <f>C6*0.8</f>
        <v>0.001192914603</v>
      </c>
      <c r="F6" s="16">
        <f>C6*12</f>
        <v>0.01789371904</v>
      </c>
      <c r="G6" s="17"/>
      <c r="I6" s="11" t="s">
        <v>70</v>
      </c>
      <c r="J6" s="12">
        <v>0.1</v>
      </c>
      <c r="K6" s="12"/>
      <c r="L6" s="59">
        <v>0.0</v>
      </c>
      <c r="M6" s="56">
        <f t="shared" si="8"/>
        <v>0</v>
      </c>
      <c r="N6" s="56">
        <f>M6*$C$4*(1-$J6)+M6+109333</f>
        <v>109333</v>
      </c>
      <c r="O6" s="56">
        <f t="shared" si="9"/>
        <v>109479.728</v>
      </c>
      <c r="P6" s="56">
        <f t="shared" si="10"/>
        <v>109604.1413</v>
      </c>
      <c r="Q6" s="56">
        <f t="shared" si="11"/>
        <v>109828.9669</v>
      </c>
      <c r="R6" s="56">
        <f t="shared" si="12"/>
        <v>109883.4429</v>
      </c>
      <c r="S6" s="56">
        <f t="shared" si="5"/>
        <v>110261.2469</v>
      </c>
      <c r="T6" s="56">
        <f t="shared" si="6"/>
        <v>110423.6133</v>
      </c>
      <c r="U6" s="56">
        <f t="shared" si="7"/>
        <v>110814.468</v>
      </c>
    </row>
    <row r="7">
      <c r="A7" s="6">
        <v>45857.0</v>
      </c>
      <c r="B7" s="63">
        <f>B6+199659.72+46955.28</f>
        <v>1242294.39</v>
      </c>
      <c r="C7" s="8">
        <v>1.0</v>
      </c>
      <c r="D7" s="9"/>
      <c r="E7" s="9"/>
      <c r="F7" s="9"/>
      <c r="G7" s="10" t="s">
        <v>116</v>
      </c>
      <c r="I7" s="11" t="s">
        <v>71</v>
      </c>
      <c r="J7" s="12">
        <v>0.1</v>
      </c>
      <c r="K7" s="12"/>
      <c r="L7" s="59">
        <v>0.0</v>
      </c>
      <c r="M7" s="56">
        <f t="shared" si="8"/>
        <v>0</v>
      </c>
      <c r="N7" s="56">
        <f>M7*$C$4*(1-$J7)+M7+255504</f>
        <v>255504</v>
      </c>
      <c r="O7" s="56">
        <f t="shared" si="9"/>
        <v>255846.8938</v>
      </c>
      <c r="P7" s="56">
        <f t="shared" si="10"/>
        <v>256137.6393</v>
      </c>
      <c r="Q7" s="56">
        <f t="shared" si="11"/>
        <v>256663.0419</v>
      </c>
      <c r="R7" s="56">
        <f t="shared" si="12"/>
        <v>256790.3487</v>
      </c>
      <c r="S7" s="56">
        <f>R7*$C$13*(1-$J7)+R7+25900</f>
        <v>283573.2517</v>
      </c>
      <c r="T7" s="56">
        <f t="shared" si="6"/>
        <v>283990.8305</v>
      </c>
      <c r="U7" s="56">
        <f t="shared" si="7"/>
        <v>284996.0426</v>
      </c>
    </row>
    <row r="8">
      <c r="A8" s="6">
        <v>45861.0</v>
      </c>
      <c r="B8" s="63">
        <v>1243863.0</v>
      </c>
      <c r="C8" s="14">
        <f>(B8*$C$2/B7)-100%</f>
        <v>0.001262671725</v>
      </c>
      <c r="D8" s="57">
        <f>B8-B7</f>
        <v>1568.61</v>
      </c>
      <c r="E8" s="14">
        <f>C8*0.8</f>
        <v>0.00101013738</v>
      </c>
      <c r="F8" s="16">
        <f>C8*12</f>
        <v>0.0151520607</v>
      </c>
      <c r="I8" s="11" t="s">
        <v>72</v>
      </c>
      <c r="J8" s="12">
        <v>0.1</v>
      </c>
      <c r="K8" s="12"/>
      <c r="L8" s="59">
        <v>0.0</v>
      </c>
      <c r="M8" s="56">
        <f t="shared" si="8"/>
        <v>0</v>
      </c>
      <c r="N8" s="56">
        <f>M8*$C$4*(1-$J8)+M8+273807</f>
        <v>273807</v>
      </c>
      <c r="O8" s="56">
        <f t="shared" si="9"/>
        <v>274174.4569</v>
      </c>
      <c r="P8" s="56">
        <f t="shared" si="10"/>
        <v>274486.03</v>
      </c>
      <c r="Q8" s="56">
        <f t="shared" si="11"/>
        <v>275049.0697</v>
      </c>
      <c r="R8" s="56">
        <f t="shared" si="12"/>
        <v>275185.4962</v>
      </c>
      <c r="S8" s="56">
        <f t="shared" ref="S8:S15" si="13">R8*$C$13*(1-$J8)+R8</f>
        <v>276131.6458</v>
      </c>
      <c r="T8" s="56">
        <f t="shared" si="6"/>
        <v>276538.2664</v>
      </c>
      <c r="U8" s="56">
        <f t="shared" si="7"/>
        <v>277517.0995</v>
      </c>
    </row>
    <row r="9">
      <c r="A9" s="6">
        <v>45861.0</v>
      </c>
      <c r="B9" s="61">
        <f>B8+579171</f>
        <v>1823034</v>
      </c>
      <c r="C9" s="8">
        <v>1.0</v>
      </c>
      <c r="D9" s="9"/>
      <c r="E9" s="9"/>
      <c r="F9" s="9"/>
      <c r="G9" s="10" t="s">
        <v>117</v>
      </c>
      <c r="I9" s="11" t="s">
        <v>74</v>
      </c>
      <c r="J9" s="12">
        <v>0.2</v>
      </c>
      <c r="K9" s="12"/>
      <c r="L9" s="59">
        <v>0.0</v>
      </c>
      <c r="M9" s="56">
        <f t="shared" si="8"/>
        <v>0</v>
      </c>
      <c r="N9" s="56">
        <f t="shared" ref="N9:N15" si="14">M9*$C$4*(1-$J9)+M9</f>
        <v>0</v>
      </c>
      <c r="O9" s="56">
        <f>N9*$C$6*(1-$J9)+N9+199659.72</f>
        <v>199659.72</v>
      </c>
      <c r="P9" s="56">
        <f t="shared" si="10"/>
        <v>199861.4037</v>
      </c>
      <c r="Q9" s="56">
        <f t="shared" si="11"/>
        <v>200225.8179</v>
      </c>
      <c r="R9" s="56">
        <f t="shared" si="12"/>
        <v>200314.0966</v>
      </c>
      <c r="S9" s="56">
        <f t="shared" si="13"/>
        <v>200926.2965</v>
      </c>
      <c r="T9" s="56">
        <f t="shared" si="6"/>
        <v>201189.2975</v>
      </c>
      <c r="U9" s="56">
        <f t="shared" si="7"/>
        <v>201822.3005</v>
      </c>
    </row>
    <row r="10">
      <c r="A10" s="6">
        <v>45869.0</v>
      </c>
      <c r="B10" s="61">
        <v>1827189.0</v>
      </c>
      <c r="C10" s="14">
        <f t="shared" ref="C10:C11" si="15">(B10*$C$2/B9)-100%</f>
        <v>0.002279167585</v>
      </c>
      <c r="D10" s="57">
        <f t="shared" ref="D10:D11" si="16">B10-B9</f>
        <v>4155</v>
      </c>
      <c r="E10" s="14">
        <f t="shared" ref="E10:E11" si="17">C10*0.8</f>
        <v>0.001823334068</v>
      </c>
      <c r="F10" s="16">
        <f t="shared" ref="F10:F11" si="18">C10*12</f>
        <v>0.02735001103</v>
      </c>
      <c r="G10" s="17"/>
      <c r="I10" s="11" t="s">
        <v>75</v>
      </c>
      <c r="J10" s="12">
        <v>0.1</v>
      </c>
      <c r="K10" s="12"/>
      <c r="L10" s="59">
        <v>0.0</v>
      </c>
      <c r="M10" s="56">
        <f t="shared" si="8"/>
        <v>0</v>
      </c>
      <c r="N10" s="56">
        <f t="shared" si="14"/>
        <v>0</v>
      </c>
      <c r="O10" s="56">
        <f t="shared" ref="O10:O15" si="19">N10*$C$6*(1-$J10)+N10</f>
        <v>0</v>
      </c>
      <c r="P10" s="56">
        <f>O10*$C$8*(1-$J10)+O10+136737</f>
        <v>136737</v>
      </c>
      <c r="Q10" s="56">
        <f t="shared" si="11"/>
        <v>137017.4819</v>
      </c>
      <c r="R10" s="56">
        <f t="shared" si="12"/>
        <v>137085.4436</v>
      </c>
      <c r="S10" s="56">
        <f t="shared" si="13"/>
        <v>137556.7742</v>
      </c>
      <c r="T10" s="56">
        <f t="shared" si="6"/>
        <v>137759.3349</v>
      </c>
      <c r="U10" s="56">
        <f t="shared" si="7"/>
        <v>138246.9469</v>
      </c>
    </row>
    <row r="11">
      <c r="A11" s="6">
        <v>45873.0</v>
      </c>
      <c r="B11" s="61">
        <v>1828196.0</v>
      </c>
      <c r="C11" s="14">
        <f t="shared" si="15"/>
        <v>0.0005511197802</v>
      </c>
      <c r="D11" s="57">
        <f t="shared" si="16"/>
        <v>1007</v>
      </c>
      <c r="E11" s="14">
        <f t="shared" si="17"/>
        <v>0.0004408958241</v>
      </c>
      <c r="F11" s="16">
        <f t="shared" si="18"/>
        <v>0.006613437362</v>
      </c>
      <c r="G11" s="17"/>
      <c r="I11" s="11" t="s">
        <v>76</v>
      </c>
      <c r="J11" s="12">
        <v>0.1</v>
      </c>
      <c r="K11" s="12"/>
      <c r="L11" s="59">
        <v>0.0</v>
      </c>
      <c r="M11" s="56">
        <f t="shared" si="8"/>
        <v>0</v>
      </c>
      <c r="N11" s="56">
        <f t="shared" si="14"/>
        <v>0</v>
      </c>
      <c r="O11" s="56">
        <f t="shared" si="19"/>
        <v>0</v>
      </c>
      <c r="P11" s="56">
        <f>O11*$C$8*(1-$J11)+O11+222687</f>
        <v>222687</v>
      </c>
      <c r="Q11" s="56">
        <f t="shared" si="11"/>
        <v>223143.7869</v>
      </c>
      <c r="R11" s="56">
        <f t="shared" si="12"/>
        <v>223254.468</v>
      </c>
      <c r="S11" s="56">
        <f t="shared" si="13"/>
        <v>224022.067</v>
      </c>
      <c r="T11" s="56">
        <f t="shared" si="6"/>
        <v>224351.9531</v>
      </c>
      <c r="U11" s="56">
        <f t="shared" si="7"/>
        <v>225146.0678</v>
      </c>
    </row>
    <row r="12">
      <c r="A12" s="6">
        <v>45873.0</v>
      </c>
      <c r="B12" s="61">
        <f>B11+130000+10000</f>
        <v>1968196</v>
      </c>
      <c r="C12" s="8">
        <v>1.0</v>
      </c>
      <c r="D12" s="9"/>
      <c r="E12" s="9"/>
      <c r="F12" s="9"/>
      <c r="G12" s="10" t="s">
        <v>118</v>
      </c>
      <c r="I12" s="11" t="s">
        <v>77</v>
      </c>
      <c r="J12" s="12">
        <v>0.1</v>
      </c>
      <c r="K12" s="12"/>
      <c r="L12" s="59">
        <v>0.0</v>
      </c>
      <c r="M12" s="56">
        <f t="shared" si="8"/>
        <v>0</v>
      </c>
      <c r="N12" s="56">
        <f t="shared" si="14"/>
        <v>0</v>
      </c>
      <c r="O12" s="56">
        <f t="shared" si="19"/>
        <v>0</v>
      </c>
      <c r="P12" s="56">
        <f>O12*$C$8*(1-$J12)+O12+219747</f>
        <v>219747</v>
      </c>
      <c r="Q12" s="56">
        <f t="shared" si="11"/>
        <v>220197.7562</v>
      </c>
      <c r="R12" s="56">
        <f t="shared" si="12"/>
        <v>220306.976</v>
      </c>
      <c r="S12" s="56">
        <f t="shared" si="13"/>
        <v>221064.4409</v>
      </c>
      <c r="T12" s="56">
        <f t="shared" si="6"/>
        <v>221389.9717</v>
      </c>
      <c r="U12" s="56">
        <f t="shared" si="7"/>
        <v>222173.6022</v>
      </c>
    </row>
    <row r="13">
      <c r="A13" s="6">
        <v>45883.0</v>
      </c>
      <c r="B13" s="61">
        <v>1975715.0</v>
      </c>
      <c r="C13" s="14">
        <f>(B13*$C$2/B12)-100%</f>
        <v>0.003820249609</v>
      </c>
      <c r="D13" s="57">
        <f>B13-B12</f>
        <v>7519</v>
      </c>
      <c r="E13" s="14">
        <f>C13*0.8</f>
        <v>0.003056199687</v>
      </c>
      <c r="F13" s="16">
        <f>C13*12</f>
        <v>0.04584299531</v>
      </c>
      <c r="G13" s="17"/>
      <c r="I13" s="11" t="s">
        <v>119</v>
      </c>
      <c r="J13" s="12">
        <v>0.0</v>
      </c>
      <c r="K13" s="12"/>
      <c r="L13" s="59">
        <v>0.0</v>
      </c>
      <c r="M13" s="56">
        <f t="shared" si="8"/>
        <v>0</v>
      </c>
      <c r="N13" s="56">
        <f t="shared" si="14"/>
        <v>0</v>
      </c>
      <c r="O13" s="56">
        <f t="shared" si="19"/>
        <v>0</v>
      </c>
      <c r="P13" s="56">
        <f t="shared" ref="P13:P15" si="20">O13*$C$8*(1-$J13)+O13</f>
        <v>0</v>
      </c>
      <c r="Q13" s="56">
        <f t="shared" si="11"/>
        <v>0</v>
      </c>
      <c r="R13" s="56">
        <f>Q13*$C$11*(1-$J13)+Q13+130000</f>
        <v>130000</v>
      </c>
      <c r="S13" s="56">
        <f t="shared" si="13"/>
        <v>130496.6324</v>
      </c>
      <c r="T13" s="56">
        <f t="shared" si="6"/>
        <v>130710.1483</v>
      </c>
      <c r="U13" s="56">
        <f t="shared" si="7"/>
        <v>131224.2158</v>
      </c>
    </row>
    <row r="14">
      <c r="A14" s="6">
        <v>45883.0</v>
      </c>
      <c r="B14" s="61">
        <f>B13+25900</f>
        <v>2001615</v>
      </c>
      <c r="C14" s="8">
        <v>1.0</v>
      </c>
      <c r="D14" s="9"/>
      <c r="E14" s="9"/>
      <c r="F14" s="9"/>
      <c r="G14" s="10" t="s">
        <v>120</v>
      </c>
      <c r="I14" s="11" t="s">
        <v>106</v>
      </c>
      <c r="J14" s="12">
        <v>0.0</v>
      </c>
      <c r="K14" s="12"/>
      <c r="L14" s="59">
        <v>0.0</v>
      </c>
      <c r="M14" s="56">
        <f t="shared" si="8"/>
        <v>0</v>
      </c>
      <c r="N14" s="56">
        <f t="shared" si="14"/>
        <v>0</v>
      </c>
      <c r="O14" s="56">
        <f t="shared" si="19"/>
        <v>0</v>
      </c>
      <c r="P14" s="56">
        <f t="shared" si="20"/>
        <v>0</v>
      </c>
      <c r="Q14" s="56">
        <f t="shared" si="11"/>
        <v>0</v>
      </c>
      <c r="R14" s="56">
        <f t="shared" ref="R14:R15" si="21">Q14*$C$11*(1-$J14)+Q14</f>
        <v>0</v>
      </c>
      <c r="S14" s="56">
        <f t="shared" si="13"/>
        <v>0</v>
      </c>
      <c r="T14" s="56">
        <f>S14*$C$15*(1-$J14)+S14+111370</f>
        <v>111370</v>
      </c>
      <c r="U14" s="56">
        <f t="shared" si="7"/>
        <v>111808.005</v>
      </c>
    </row>
    <row r="15">
      <c r="A15" s="6">
        <v>45888.0</v>
      </c>
      <c r="B15" s="61">
        <v>2004890.0</v>
      </c>
      <c r="C15" s="14">
        <f>(B15*$C$2/B14)-100%</f>
        <v>0.001636178786</v>
      </c>
      <c r="D15" s="57">
        <f>B15-B14</f>
        <v>3275</v>
      </c>
      <c r="E15" s="14">
        <f>C15*0.8</f>
        <v>0.001308943029</v>
      </c>
      <c r="F15" s="16">
        <f>C15*12</f>
        <v>0.01963414543</v>
      </c>
      <c r="I15" s="11" t="s">
        <v>111</v>
      </c>
      <c r="J15" s="12">
        <v>0.2</v>
      </c>
      <c r="L15" s="59">
        <v>0.0</v>
      </c>
      <c r="M15" s="56">
        <f t="shared" si="8"/>
        <v>0</v>
      </c>
      <c r="N15" s="56">
        <f t="shared" si="14"/>
        <v>0</v>
      </c>
      <c r="O15" s="56">
        <f t="shared" si="19"/>
        <v>0</v>
      </c>
      <c r="P15" s="56">
        <f t="shared" si="20"/>
        <v>0</v>
      </c>
      <c r="Q15" s="56">
        <f t="shared" si="11"/>
        <v>0</v>
      </c>
      <c r="R15" s="56">
        <f t="shared" si="21"/>
        <v>0</v>
      </c>
      <c r="S15" s="56">
        <f t="shared" si="13"/>
        <v>0</v>
      </c>
      <c r="T15" s="56">
        <f>S15*$C$15*(1-$J15)+S15</f>
        <v>0</v>
      </c>
      <c r="U15" s="56">
        <f t="shared" si="7"/>
        <v>0</v>
      </c>
    </row>
    <row r="16">
      <c r="A16" s="6">
        <v>45888.0</v>
      </c>
      <c r="B16" s="61">
        <f>B15+111370</f>
        <v>2116260</v>
      </c>
      <c r="C16" s="8">
        <v>1.0</v>
      </c>
      <c r="D16" s="9"/>
      <c r="E16" s="9"/>
      <c r="F16" s="9"/>
      <c r="G16" s="46" t="s">
        <v>121</v>
      </c>
      <c r="I16" s="11" t="s">
        <v>17</v>
      </c>
      <c r="J16" s="18"/>
      <c r="K16" s="61"/>
      <c r="L16" s="61">
        <f t="shared" ref="L16:U16" si="22">SUM(L2:L14)</f>
        <v>135726.75</v>
      </c>
      <c r="M16" s="61">
        <f t="shared" si="22"/>
        <v>136175.4023</v>
      </c>
      <c r="N16" s="61">
        <f t="shared" si="22"/>
        <v>994196.9</v>
      </c>
      <c r="O16" s="61">
        <f t="shared" si="22"/>
        <v>1242294.39</v>
      </c>
      <c r="P16" s="61">
        <f t="shared" si="22"/>
        <v>1823034</v>
      </c>
      <c r="Q16" s="61">
        <f t="shared" si="22"/>
        <v>1827189</v>
      </c>
      <c r="R16" s="61">
        <f t="shared" si="22"/>
        <v>1968198.028</v>
      </c>
      <c r="S16" s="61">
        <f t="shared" si="22"/>
        <v>2001631.863</v>
      </c>
      <c r="T16" s="61">
        <f t="shared" si="22"/>
        <v>2116283.261</v>
      </c>
      <c r="U16" s="61">
        <f t="shared" si="22"/>
        <v>2124606.353</v>
      </c>
    </row>
    <row r="17">
      <c r="A17" s="6">
        <v>45901.0</v>
      </c>
      <c r="B17" s="63">
        <v>2124583.0</v>
      </c>
      <c r="C17" s="14">
        <f>(B17*$C$2/B16)-100%</f>
        <v>0.003932881593</v>
      </c>
      <c r="D17" s="57">
        <f>B17-B16</f>
        <v>8323</v>
      </c>
      <c r="E17" s="14">
        <f>C17*0.8</f>
        <v>0.003146305274</v>
      </c>
      <c r="F17" s="16">
        <f>C17*12</f>
        <v>0.04719457912</v>
      </c>
    </row>
    <row r="18">
      <c r="A18" s="6"/>
      <c r="B18" s="49"/>
      <c r="C18" s="14"/>
      <c r="D18" s="57"/>
      <c r="E18" s="14"/>
      <c r="F18" s="16"/>
      <c r="I18" s="11" t="s">
        <v>10</v>
      </c>
      <c r="K18" s="21"/>
      <c r="L18" s="21">
        <f t="shared" ref="L18:U18" si="23">IFERROR(L2/L$16,"")</f>
        <v>0</v>
      </c>
      <c r="M18" s="21">
        <f t="shared" si="23"/>
        <v>0</v>
      </c>
      <c r="N18" s="21">
        <f t="shared" si="23"/>
        <v>0.00004214410395</v>
      </c>
      <c r="O18" s="21">
        <f t="shared" si="23"/>
        <v>0.0001694730847</v>
      </c>
      <c r="P18" s="21">
        <f t="shared" si="23"/>
        <v>0.0002281972122</v>
      </c>
      <c r="Q18" s="21">
        <f t="shared" si="23"/>
        <v>0.0005033811175</v>
      </c>
      <c r="R18" s="21">
        <f t="shared" si="23"/>
        <v>0.0005294706341</v>
      </c>
      <c r="S18" s="21">
        <f t="shared" si="23"/>
        <v>0.0009485190437</v>
      </c>
      <c r="T18" s="21">
        <f t="shared" si="23"/>
        <v>0.001073703093</v>
      </c>
      <c r="U18" s="21">
        <f t="shared" si="23"/>
        <v>0.001486328043</v>
      </c>
    </row>
    <row r="19">
      <c r="A19" s="6"/>
      <c r="B19" s="49"/>
      <c r="C19" s="14"/>
      <c r="D19" s="57"/>
      <c r="E19" s="14"/>
      <c r="F19" s="16"/>
      <c r="I19" s="11" t="s">
        <v>52</v>
      </c>
      <c r="K19" s="21"/>
      <c r="L19" s="21">
        <f t="shared" ref="L19:U19" si="24">IFERROR(L3/L$16,"")</f>
        <v>1</v>
      </c>
      <c r="M19" s="21">
        <f t="shared" si="24"/>
        <v>1</v>
      </c>
      <c r="N19" s="21">
        <f t="shared" si="24"/>
        <v>0.1371388308</v>
      </c>
      <c r="O19" s="21">
        <f t="shared" si="24"/>
        <v>0.1476791069</v>
      </c>
      <c r="P19" s="21">
        <f t="shared" si="24"/>
        <v>0.1007366</v>
      </c>
      <c r="Q19" s="21">
        <f t="shared" si="24"/>
        <v>0.1006907853</v>
      </c>
      <c r="R19" s="21">
        <f t="shared" si="24"/>
        <v>0.09859995634</v>
      </c>
      <c r="S19" s="21">
        <f t="shared" si="24"/>
        <v>0.09725672825</v>
      </c>
      <c r="T19" s="21">
        <f t="shared" si="24"/>
        <v>0.09211118138</v>
      </c>
      <c r="U19" s="21">
        <f t="shared" si="24"/>
        <v>0.0920462296</v>
      </c>
    </row>
    <row r="20">
      <c r="A20" s="6"/>
      <c r="B20" s="49"/>
      <c r="C20" s="14"/>
      <c r="D20" s="57"/>
      <c r="E20" s="14"/>
      <c r="F20" s="16"/>
      <c r="I20" s="11" t="s">
        <v>61</v>
      </c>
      <c r="K20" s="21"/>
      <c r="L20" s="21">
        <f t="shared" ref="L20:U20" si="25">IFERROR(L4/L$16,"")</f>
        <v>0</v>
      </c>
      <c r="M20" s="21">
        <f t="shared" si="25"/>
        <v>0</v>
      </c>
      <c r="N20" s="21">
        <f t="shared" si="25"/>
        <v>0.1100305181</v>
      </c>
      <c r="O20" s="21">
        <f t="shared" si="25"/>
        <v>0.08817459703</v>
      </c>
      <c r="P20" s="21">
        <f t="shared" si="25"/>
        <v>0.06015427448</v>
      </c>
      <c r="Q20" s="21">
        <f t="shared" si="25"/>
        <v>0.06014059549</v>
      </c>
      <c r="R20" s="21">
        <f t="shared" si="25"/>
        <v>0.05585959258</v>
      </c>
      <c r="S20" s="21">
        <f t="shared" si="25"/>
        <v>0.0551154035</v>
      </c>
      <c r="T20" s="21">
        <f t="shared" si="25"/>
        <v>0.05220624472</v>
      </c>
      <c r="U20" s="21">
        <f t="shared" si="25"/>
        <v>0.05218579305</v>
      </c>
    </row>
    <row r="21">
      <c r="A21" s="6"/>
      <c r="B21" s="49"/>
      <c r="C21" s="14"/>
      <c r="D21" s="57"/>
      <c r="E21" s="14"/>
      <c r="F21" s="16"/>
      <c r="I21" s="11" t="s">
        <v>63</v>
      </c>
      <c r="K21" s="21"/>
      <c r="L21" s="21">
        <f t="shared" ref="L21:U21" si="26">IFERROR(L5/L$16,"")</f>
        <v>0</v>
      </c>
      <c r="M21" s="21">
        <f t="shared" si="26"/>
        <v>0</v>
      </c>
      <c r="N21" s="21">
        <f t="shared" si="26"/>
        <v>0.1104167595</v>
      </c>
      <c r="O21" s="21">
        <f t="shared" si="26"/>
        <v>0.08848411733</v>
      </c>
      <c r="P21" s="21">
        <f t="shared" si="26"/>
        <v>0.06036543473</v>
      </c>
      <c r="Q21" s="21">
        <f t="shared" si="26"/>
        <v>0.06035170772</v>
      </c>
      <c r="R21" s="21">
        <f t="shared" si="26"/>
        <v>0.05605567715</v>
      </c>
      <c r="S21" s="21">
        <f t="shared" si="26"/>
        <v>0.05530887574</v>
      </c>
      <c r="T21" s="21">
        <f t="shared" si="26"/>
        <v>0.0523895049</v>
      </c>
      <c r="U21" s="21">
        <f t="shared" si="26"/>
        <v>0.05236898144</v>
      </c>
    </row>
    <row r="22">
      <c r="A22" s="6"/>
      <c r="B22" s="49"/>
      <c r="C22" s="14"/>
      <c r="D22" s="57"/>
      <c r="E22" s="14"/>
      <c r="F22" s="16"/>
      <c r="I22" s="11" t="s">
        <v>65</v>
      </c>
      <c r="K22" s="21"/>
      <c r="L22" s="21">
        <f t="shared" ref="L22:U22" si="27">IFERROR(L6/L$16,"")</f>
        <v>0</v>
      </c>
      <c r="M22" s="21">
        <f t="shared" si="27"/>
        <v>0</v>
      </c>
      <c r="N22" s="21">
        <f t="shared" si="27"/>
        <v>0.1099711737</v>
      </c>
      <c r="O22" s="21">
        <f t="shared" si="27"/>
        <v>0.08812704052</v>
      </c>
      <c r="P22" s="21">
        <f t="shared" si="27"/>
        <v>0.06012183059</v>
      </c>
      <c r="Q22" s="21">
        <f t="shared" si="27"/>
        <v>0.06010815898</v>
      </c>
      <c r="R22" s="21">
        <f t="shared" si="27"/>
        <v>0.055829465</v>
      </c>
      <c r="S22" s="21">
        <f t="shared" si="27"/>
        <v>0.0550856773</v>
      </c>
      <c r="T22" s="21">
        <f t="shared" si="27"/>
        <v>0.05217808755</v>
      </c>
      <c r="U22" s="21">
        <f t="shared" si="27"/>
        <v>0.05215764692</v>
      </c>
    </row>
    <row r="23">
      <c r="A23" s="6"/>
      <c r="B23" s="49"/>
      <c r="C23" s="14"/>
      <c r="D23" s="57"/>
      <c r="E23" s="14"/>
      <c r="F23" s="16"/>
      <c r="I23" s="11" t="s">
        <v>67</v>
      </c>
      <c r="K23" s="21"/>
      <c r="L23" s="21">
        <f t="shared" ref="L23:U23" si="28">IFERROR(L7/L$16,"")</f>
        <v>0</v>
      </c>
      <c r="M23" s="21">
        <f t="shared" si="28"/>
        <v>0</v>
      </c>
      <c r="N23" s="21">
        <f t="shared" si="28"/>
        <v>0.2569953698</v>
      </c>
      <c r="O23" s="21">
        <f t="shared" si="28"/>
        <v>0.2059470733</v>
      </c>
      <c r="P23" s="21">
        <f t="shared" si="28"/>
        <v>0.1405007473</v>
      </c>
      <c r="Q23" s="21">
        <f t="shared" si="28"/>
        <v>0.1404687976</v>
      </c>
      <c r="R23" s="21">
        <f t="shared" si="28"/>
        <v>0.1304697724</v>
      </c>
      <c r="S23" s="21">
        <f t="shared" si="28"/>
        <v>0.141671032</v>
      </c>
      <c r="T23" s="21">
        <f t="shared" si="28"/>
        <v>0.1341932036</v>
      </c>
      <c r="U23" s="21">
        <f t="shared" si="28"/>
        <v>0.1341406338</v>
      </c>
    </row>
    <row r="24">
      <c r="A24" s="6"/>
      <c r="B24" s="49"/>
      <c r="C24" s="14"/>
      <c r="D24" s="57"/>
      <c r="E24" s="14"/>
      <c r="F24" s="16"/>
      <c r="I24" s="11" t="s">
        <v>122</v>
      </c>
      <c r="K24" s="21"/>
      <c r="L24" s="21">
        <f t="shared" ref="L24:U24" si="29">IFERROR(L8/L$16,"")</f>
        <v>0</v>
      </c>
      <c r="M24" s="21">
        <f t="shared" si="29"/>
        <v>0</v>
      </c>
      <c r="N24" s="21">
        <f t="shared" si="29"/>
        <v>0.2754052039</v>
      </c>
      <c r="O24" s="21">
        <f t="shared" si="29"/>
        <v>0.2207000685</v>
      </c>
      <c r="P24" s="21">
        <f t="shared" si="29"/>
        <v>0.1505655024</v>
      </c>
      <c r="Q24" s="21">
        <f t="shared" si="29"/>
        <v>0.150531264</v>
      </c>
      <c r="R24" s="21">
        <f t="shared" si="29"/>
        <v>0.1398159597</v>
      </c>
      <c r="S24" s="21">
        <f t="shared" si="29"/>
        <v>0.1379532625</v>
      </c>
      <c r="T24" s="21">
        <f t="shared" si="29"/>
        <v>0.1306716693</v>
      </c>
      <c r="U24" s="21">
        <f t="shared" si="29"/>
        <v>0.130620479</v>
      </c>
    </row>
    <row r="25">
      <c r="A25" s="6"/>
      <c r="B25" s="49"/>
      <c r="C25" s="14"/>
      <c r="D25" s="57"/>
      <c r="E25" s="14"/>
      <c r="F25" s="16"/>
      <c r="I25" s="11" t="s">
        <v>74</v>
      </c>
      <c r="J25" s="18"/>
      <c r="K25" s="21"/>
      <c r="L25" s="21">
        <f t="shared" ref="L25:U25" si="30">IFERROR(L9/L$16,"")</f>
        <v>0</v>
      </c>
      <c r="M25" s="21">
        <f t="shared" si="30"/>
        <v>0</v>
      </c>
      <c r="N25" s="21">
        <f t="shared" si="30"/>
        <v>0</v>
      </c>
      <c r="O25" s="21">
        <f t="shared" si="30"/>
        <v>0.1607185234</v>
      </c>
      <c r="P25" s="21">
        <f t="shared" si="30"/>
        <v>0.1096311993</v>
      </c>
      <c r="Q25" s="21">
        <f t="shared" si="30"/>
        <v>0.1095813393</v>
      </c>
      <c r="R25" s="21">
        <f t="shared" si="30"/>
        <v>0.1017753771</v>
      </c>
      <c r="S25" s="21">
        <f t="shared" si="30"/>
        <v>0.100381244</v>
      </c>
      <c r="T25" s="21">
        <f t="shared" si="30"/>
        <v>0.09506728198</v>
      </c>
      <c r="U25" s="21">
        <f t="shared" si="30"/>
        <v>0.09499279725</v>
      </c>
    </row>
    <row r="26">
      <c r="A26" s="6"/>
      <c r="B26" s="49"/>
      <c r="C26" s="14"/>
      <c r="D26" s="57"/>
      <c r="E26" s="14"/>
      <c r="F26" s="16"/>
      <c r="I26" s="11" t="s">
        <v>123</v>
      </c>
      <c r="J26" s="18"/>
      <c r="K26" s="21"/>
      <c r="L26" s="21">
        <f t="shared" ref="L26:U26" si="31">IFERROR(L10/L$16,"")</f>
        <v>0</v>
      </c>
      <c r="M26" s="21">
        <f t="shared" si="31"/>
        <v>0</v>
      </c>
      <c r="N26" s="21">
        <f t="shared" si="31"/>
        <v>0</v>
      </c>
      <c r="O26" s="21">
        <f t="shared" si="31"/>
        <v>0</v>
      </c>
      <c r="P26" s="21">
        <f t="shared" si="31"/>
        <v>0.07500518367</v>
      </c>
      <c r="Q26" s="21">
        <f t="shared" si="31"/>
        <v>0.0749881276</v>
      </c>
      <c r="R26" s="21">
        <f t="shared" si="31"/>
        <v>0.06965022913</v>
      </c>
      <c r="S26" s="21">
        <f t="shared" si="31"/>
        <v>0.06872231438</v>
      </c>
      <c r="T26" s="21">
        <f t="shared" si="31"/>
        <v>0.06509494142</v>
      </c>
      <c r="U26" s="21">
        <f t="shared" si="31"/>
        <v>0.06506944064</v>
      </c>
    </row>
    <row r="27">
      <c r="A27" s="6"/>
      <c r="B27" s="49"/>
      <c r="C27" s="14"/>
      <c r="D27" s="57"/>
      <c r="E27" s="14"/>
      <c r="F27" s="16"/>
      <c r="I27" s="11" t="s">
        <v>124</v>
      </c>
      <c r="J27" s="18"/>
      <c r="K27" s="21"/>
      <c r="L27" s="21">
        <f t="shared" ref="L27:U27" si="32">IFERROR(L11/L$16,"")</f>
        <v>0</v>
      </c>
      <c r="M27" s="21">
        <f t="shared" si="32"/>
        <v>0</v>
      </c>
      <c r="N27" s="21">
        <f t="shared" si="32"/>
        <v>0</v>
      </c>
      <c r="O27" s="21">
        <f t="shared" si="32"/>
        <v>0</v>
      </c>
      <c r="P27" s="21">
        <f t="shared" si="32"/>
        <v>0.1221518633</v>
      </c>
      <c r="Q27" s="21">
        <f t="shared" si="32"/>
        <v>0.1221240862</v>
      </c>
      <c r="R27" s="21">
        <f t="shared" si="32"/>
        <v>0.1134308971</v>
      </c>
      <c r="S27" s="21">
        <f t="shared" si="32"/>
        <v>0.1119197147</v>
      </c>
      <c r="T27" s="21">
        <f t="shared" si="32"/>
        <v>0.1060122514</v>
      </c>
      <c r="U27" s="21">
        <f t="shared" si="32"/>
        <v>0.1059707214</v>
      </c>
    </row>
    <row r="28">
      <c r="A28" s="6"/>
      <c r="B28" s="49"/>
      <c r="C28" s="14"/>
      <c r="D28" s="57"/>
      <c r="E28" s="14"/>
      <c r="F28" s="16"/>
      <c r="I28" s="11" t="s">
        <v>125</v>
      </c>
      <c r="J28" s="18"/>
      <c r="K28" s="21"/>
      <c r="L28" s="21">
        <f t="shared" ref="L28:U28" si="33">IFERROR(L12/L$16,"")</f>
        <v>0</v>
      </c>
      <c r="M28" s="21">
        <f t="shared" si="33"/>
        <v>0</v>
      </c>
      <c r="N28" s="21">
        <f t="shared" si="33"/>
        <v>0</v>
      </c>
      <c r="O28" s="21">
        <f t="shared" si="33"/>
        <v>0</v>
      </c>
      <c r="P28" s="21">
        <f t="shared" si="33"/>
        <v>0.1205391671</v>
      </c>
      <c r="Q28" s="21">
        <f t="shared" si="33"/>
        <v>0.1205117567</v>
      </c>
      <c r="R28" s="21">
        <f t="shared" si="33"/>
        <v>0.1119333385</v>
      </c>
      <c r="S28" s="21">
        <f t="shared" si="33"/>
        <v>0.1104421072</v>
      </c>
      <c r="T28" s="21">
        <f t="shared" si="33"/>
        <v>0.1046126366</v>
      </c>
      <c r="U28" s="21">
        <f t="shared" si="33"/>
        <v>0.1045716549</v>
      </c>
    </row>
    <row r="29">
      <c r="A29" s="6"/>
      <c r="B29" s="49"/>
      <c r="C29" s="14"/>
      <c r="D29" s="57"/>
      <c r="E29" s="14"/>
      <c r="F29" s="16"/>
      <c r="I29" s="11" t="s">
        <v>119</v>
      </c>
      <c r="K29" s="21"/>
      <c r="L29" s="21">
        <f t="shared" ref="L29:U29" si="34">IFERROR(L13/L$16,"")</f>
        <v>0</v>
      </c>
      <c r="M29" s="21">
        <f t="shared" si="34"/>
        <v>0</v>
      </c>
      <c r="N29" s="21">
        <f t="shared" si="34"/>
        <v>0</v>
      </c>
      <c r="O29" s="21">
        <f t="shared" si="34"/>
        <v>0</v>
      </c>
      <c r="P29" s="21">
        <f t="shared" si="34"/>
        <v>0</v>
      </c>
      <c r="Q29" s="21">
        <f t="shared" si="34"/>
        <v>0</v>
      </c>
      <c r="R29" s="21">
        <f t="shared" si="34"/>
        <v>0.06605026433</v>
      </c>
      <c r="S29" s="21">
        <f t="shared" si="34"/>
        <v>0.06519512147</v>
      </c>
      <c r="T29" s="21">
        <f t="shared" si="34"/>
        <v>0.06176401367</v>
      </c>
      <c r="U29" s="21">
        <f t="shared" si="34"/>
        <v>0.06176401367</v>
      </c>
    </row>
    <row r="30">
      <c r="A30" s="6"/>
      <c r="B30" s="49"/>
      <c r="C30" s="14"/>
      <c r="D30" s="57"/>
      <c r="E30" s="14"/>
      <c r="F30" s="16"/>
      <c r="I30" s="11" t="s">
        <v>54</v>
      </c>
      <c r="K30" s="21"/>
      <c r="L30" s="21">
        <f t="shared" ref="L30:U30" si="35">IFERROR(L14/L$16,"")</f>
        <v>0</v>
      </c>
      <c r="M30" s="21">
        <f t="shared" si="35"/>
        <v>0</v>
      </c>
      <c r="N30" s="21">
        <f t="shared" si="35"/>
        <v>0</v>
      </c>
      <c r="O30" s="21">
        <f t="shared" si="35"/>
        <v>0</v>
      </c>
      <c r="P30" s="21">
        <f t="shared" si="35"/>
        <v>0</v>
      </c>
      <c r="Q30" s="21">
        <f t="shared" si="35"/>
        <v>0</v>
      </c>
      <c r="R30" s="21">
        <f t="shared" si="35"/>
        <v>0</v>
      </c>
      <c r="S30" s="21">
        <f t="shared" si="35"/>
        <v>0</v>
      </c>
      <c r="T30" s="21">
        <f t="shared" si="35"/>
        <v>0.05262528039</v>
      </c>
      <c r="U30" s="21">
        <f t="shared" si="35"/>
        <v>0.05262528039</v>
      </c>
    </row>
    <row r="31">
      <c r="A31" s="6"/>
      <c r="B31" s="49"/>
      <c r="C31" s="14"/>
      <c r="D31" s="57"/>
      <c r="E31" s="14"/>
      <c r="F31" s="16"/>
      <c r="I31" s="11" t="s">
        <v>111</v>
      </c>
    </row>
    <row r="32">
      <c r="A32" s="6"/>
      <c r="B32" s="49"/>
      <c r="C32" s="14"/>
      <c r="D32" s="57"/>
      <c r="E32" s="14"/>
      <c r="F32" s="16"/>
      <c r="I32" s="11" t="s">
        <v>14</v>
      </c>
      <c r="J32" s="18"/>
      <c r="K32" s="64"/>
      <c r="L32" s="64">
        <f t="shared" ref="L32:U32" si="36">SUM(L18:L30)</f>
        <v>1</v>
      </c>
      <c r="M32" s="64">
        <f t="shared" si="36"/>
        <v>1</v>
      </c>
      <c r="N32" s="64">
        <f t="shared" si="36"/>
        <v>1</v>
      </c>
      <c r="O32" s="64">
        <f t="shared" si="36"/>
        <v>1</v>
      </c>
      <c r="P32" s="64">
        <f t="shared" si="36"/>
        <v>1</v>
      </c>
      <c r="Q32" s="64">
        <f t="shared" si="36"/>
        <v>1</v>
      </c>
      <c r="R32" s="64">
        <f t="shared" si="36"/>
        <v>1</v>
      </c>
      <c r="S32" s="64">
        <f t="shared" si="36"/>
        <v>1</v>
      </c>
      <c r="T32" s="64">
        <f t="shared" si="36"/>
        <v>1</v>
      </c>
      <c r="U32" s="64">
        <f t="shared" si="36"/>
        <v>1</v>
      </c>
    </row>
    <row r="33">
      <c r="A33" s="6"/>
      <c r="B33" s="49"/>
      <c r="C33" s="14"/>
      <c r="D33" s="57"/>
      <c r="E33" s="14"/>
      <c r="F33" s="16"/>
    </row>
    <row r="34">
      <c r="A34" s="6"/>
      <c r="B34" s="49"/>
      <c r="C34" s="14"/>
      <c r="D34" s="57"/>
      <c r="E34" s="14"/>
      <c r="F34" s="16"/>
    </row>
    <row r="35">
      <c r="A35" s="6"/>
      <c r="B35" s="49"/>
      <c r="C35" s="14"/>
      <c r="D35" s="57"/>
      <c r="E35" s="14"/>
      <c r="F35" s="16"/>
    </row>
    <row r="36">
      <c r="A36" s="6"/>
      <c r="B36" s="49"/>
      <c r="C36" s="14"/>
      <c r="D36" s="57"/>
      <c r="E36" s="14"/>
      <c r="F36" s="16"/>
    </row>
    <row r="37">
      <c r="A37" s="6"/>
      <c r="B37" s="49"/>
      <c r="C37" s="14"/>
      <c r="D37" s="57"/>
      <c r="E37" s="14"/>
      <c r="F37" s="16"/>
    </row>
    <row r="38">
      <c r="A38" s="6"/>
      <c r="B38" s="49"/>
      <c r="C38" s="14"/>
      <c r="D38" s="57"/>
      <c r="E38" s="14"/>
      <c r="F38" s="16"/>
    </row>
    <row r="39">
      <c r="A39" s="6"/>
      <c r="B39" s="49"/>
      <c r="C39" s="14"/>
      <c r="D39" s="57"/>
      <c r="E39" s="14"/>
      <c r="F39" s="16"/>
    </row>
    <row r="40">
      <c r="A40" s="6"/>
      <c r="B40" s="49"/>
      <c r="C40" s="14"/>
      <c r="D40" s="57"/>
      <c r="E40" s="14"/>
      <c r="F40" s="16"/>
    </row>
    <row r="41">
      <c r="A41" s="6"/>
      <c r="B41" s="49"/>
      <c r="C41" s="14"/>
      <c r="D41" s="57"/>
      <c r="E41" s="14"/>
      <c r="F41" s="16"/>
    </row>
    <row r="42">
      <c r="A42" s="6"/>
      <c r="B42" s="49"/>
      <c r="C42" s="14"/>
      <c r="D42" s="57"/>
      <c r="E42" s="14"/>
      <c r="F42" s="16"/>
    </row>
    <row r="43">
      <c r="A43" s="6"/>
      <c r="B43" s="49"/>
      <c r="C43" s="14"/>
      <c r="D43" s="57"/>
      <c r="E43" s="14"/>
      <c r="F43" s="16"/>
    </row>
    <row r="44">
      <c r="A44" s="6"/>
      <c r="B44" s="49"/>
      <c r="C44" s="14"/>
      <c r="D44" s="57"/>
      <c r="E44" s="14"/>
      <c r="F44" s="16"/>
    </row>
    <row r="45">
      <c r="A45" s="6"/>
      <c r="B45" s="49"/>
      <c r="C45" s="14"/>
      <c r="D45" s="57"/>
      <c r="E45" s="14"/>
      <c r="F45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 outlineLevelRow="1"/>
  <cols>
    <col customWidth="1" min="1" max="1" width="18.63"/>
    <col customWidth="1" min="6" max="6" width="2.88"/>
    <col customWidth="1" min="7" max="7" width="17.75"/>
    <col customWidth="1" min="12" max="12" width="2.88"/>
    <col customWidth="1" min="18" max="18" width="2.88"/>
    <col customWidth="1" min="24" max="24" width="2.88"/>
    <col customWidth="1" min="25" max="29" width="12.88"/>
    <col customWidth="1" min="30" max="30" width="2.88"/>
    <col customWidth="1" min="31" max="35" width="12.88"/>
    <col customWidth="1" min="36" max="36" width="2.88"/>
    <col customWidth="1" min="42" max="42" width="2.88"/>
    <col customWidth="1" min="48" max="48" width="2.88"/>
    <col customWidth="1" min="54" max="54" width="2.88"/>
    <col customWidth="1" min="55" max="59" width="12.88"/>
    <col customWidth="1" min="60" max="60" width="2.88"/>
    <col customWidth="1" min="66" max="66" width="2.88"/>
    <col customWidth="1" min="72" max="72" width="2.88"/>
    <col customWidth="1" min="78" max="78" width="2.88"/>
    <col customWidth="1" min="84" max="84" width="2.88"/>
    <col customWidth="1" min="90" max="90" width="2.88"/>
    <col customWidth="1" min="96" max="96" width="2.88"/>
    <col customWidth="1" min="102" max="102" width="2.88"/>
    <col customWidth="1" min="108" max="108" width="2.88"/>
    <col customWidth="1" min="114" max="114" width="2.88"/>
    <col customWidth="1" min="120" max="120" width="2.88"/>
    <col customWidth="1" min="126" max="126" width="2.88"/>
    <col customWidth="1" min="132" max="132" width="2.88"/>
    <col customWidth="1" min="138" max="138" width="2.88"/>
    <col customWidth="1" min="144" max="144" width="2.88"/>
  </cols>
  <sheetData>
    <row r="1" hidden="1" outlineLevel="1">
      <c r="A1" s="65"/>
      <c r="B1" s="65" t="s">
        <v>46</v>
      </c>
      <c r="C1" s="65" t="s">
        <v>47</v>
      </c>
      <c r="D1" s="65" t="s">
        <v>59</v>
      </c>
      <c r="E1" s="65"/>
      <c r="F1" s="66"/>
      <c r="G1" s="65"/>
      <c r="H1" s="66"/>
      <c r="I1" s="66"/>
      <c r="J1" s="66"/>
      <c r="K1" s="66"/>
      <c r="L1" s="66"/>
      <c r="M1" s="65"/>
      <c r="N1" s="66"/>
      <c r="O1" s="66"/>
      <c r="P1" s="66"/>
      <c r="Q1" s="66"/>
      <c r="R1" s="66"/>
      <c r="S1" s="65"/>
      <c r="Y1" s="65"/>
      <c r="AE1" s="65"/>
      <c r="AK1" s="65"/>
      <c r="AQ1" s="65"/>
      <c r="AW1" s="65"/>
      <c r="BC1" s="65"/>
      <c r="BD1" s="66"/>
      <c r="BE1" s="66"/>
      <c r="BF1" s="66"/>
      <c r="BG1" s="66"/>
      <c r="BI1" s="67"/>
      <c r="BO1" s="65"/>
      <c r="BU1" s="46"/>
      <c r="CA1" s="46"/>
      <c r="CG1" s="46"/>
      <c r="CM1" s="46"/>
      <c r="CS1" s="46"/>
      <c r="CY1" s="46"/>
      <c r="DE1" s="46"/>
      <c r="DK1" s="46"/>
      <c r="DQ1" s="46"/>
      <c r="DW1" s="46"/>
      <c r="EC1" s="46"/>
      <c r="EI1" s="46"/>
      <c r="EO1" s="46"/>
    </row>
    <row r="2" hidden="1" outlineLevel="1">
      <c r="A2" s="65" t="s">
        <v>126</v>
      </c>
      <c r="B2" s="66"/>
      <c r="C2" s="66"/>
      <c r="D2" s="66"/>
      <c r="E2" s="66"/>
      <c r="F2" s="66"/>
      <c r="G2" s="65"/>
      <c r="H2" s="66"/>
      <c r="I2" s="66"/>
      <c r="J2" s="66"/>
      <c r="K2" s="66"/>
      <c r="L2" s="66"/>
      <c r="M2" s="65"/>
      <c r="N2" s="66"/>
      <c r="O2" s="66"/>
      <c r="P2" s="66"/>
      <c r="Q2" s="66"/>
      <c r="R2" s="66"/>
      <c r="S2" s="65"/>
      <c r="Y2" s="65"/>
      <c r="AE2" s="65"/>
      <c r="AK2" s="65"/>
      <c r="AQ2" s="65"/>
      <c r="AW2" s="65"/>
      <c r="BC2" s="65"/>
      <c r="BD2" s="66"/>
      <c r="BE2" s="66"/>
      <c r="BF2" s="66"/>
      <c r="BG2" s="66"/>
      <c r="BI2" s="67"/>
      <c r="BO2" s="65"/>
      <c r="BU2" s="46"/>
      <c r="CA2" s="46"/>
      <c r="CG2" s="46"/>
      <c r="CM2" s="46"/>
      <c r="CS2" s="46"/>
      <c r="CY2" s="46"/>
      <c r="DE2" s="46"/>
      <c r="DK2" s="46"/>
      <c r="DQ2" s="46"/>
      <c r="DW2" s="46"/>
      <c r="EC2" s="46"/>
      <c r="EI2" s="46"/>
      <c r="EO2" s="46"/>
    </row>
    <row r="3" hidden="1" outlineLevel="1">
      <c r="A3" s="65" t="s">
        <v>127</v>
      </c>
      <c r="B3" s="66"/>
      <c r="C3" s="66"/>
      <c r="D3" s="66"/>
      <c r="E3" s="66"/>
      <c r="F3" s="66"/>
      <c r="G3" s="65"/>
      <c r="H3" s="66"/>
      <c r="I3" s="66"/>
      <c r="J3" s="66"/>
      <c r="K3" s="66"/>
      <c r="L3" s="66"/>
      <c r="M3" s="65"/>
      <c r="N3" s="66"/>
      <c r="O3" s="66"/>
      <c r="P3" s="66"/>
      <c r="Q3" s="66"/>
      <c r="R3" s="66"/>
      <c r="S3" s="65"/>
      <c r="Y3" s="65"/>
      <c r="AE3" s="65"/>
      <c r="AK3" s="65"/>
      <c r="AQ3" s="65"/>
      <c r="AW3" s="65"/>
      <c r="BC3" s="65"/>
      <c r="BD3" s="66"/>
      <c r="BE3" s="66"/>
      <c r="BF3" s="66"/>
      <c r="BG3" s="66"/>
      <c r="BI3" s="67"/>
      <c r="BO3" s="65"/>
      <c r="BU3" s="46"/>
      <c r="CA3" s="46"/>
      <c r="CG3" s="46"/>
      <c r="CM3" s="46"/>
      <c r="CS3" s="46"/>
      <c r="CY3" s="46"/>
      <c r="DE3" s="46"/>
      <c r="DK3" s="46"/>
      <c r="DQ3" s="46"/>
      <c r="DW3" s="46"/>
      <c r="EC3" s="46"/>
      <c r="EI3" s="46"/>
      <c r="EO3" s="46"/>
    </row>
    <row r="4" hidden="1" outlineLevel="1">
      <c r="A4" s="65" t="s">
        <v>128</v>
      </c>
      <c r="B4" s="66"/>
      <c r="C4" s="66"/>
      <c r="D4" s="66"/>
      <c r="E4" s="66"/>
      <c r="F4" s="66"/>
      <c r="G4" s="65"/>
      <c r="H4" s="66"/>
      <c r="I4" s="66"/>
      <c r="J4" s="66"/>
      <c r="K4" s="66"/>
      <c r="L4" s="66"/>
      <c r="M4" s="65"/>
      <c r="N4" s="66"/>
      <c r="O4" s="66"/>
      <c r="P4" s="66"/>
      <c r="Q4" s="66"/>
      <c r="R4" s="66"/>
      <c r="S4" s="65"/>
      <c r="Y4" s="65"/>
      <c r="AE4" s="65"/>
      <c r="AK4" s="65"/>
      <c r="AQ4" s="65"/>
      <c r="AW4" s="65"/>
      <c r="BC4" s="65"/>
      <c r="BD4" s="66"/>
      <c r="BE4" s="66"/>
      <c r="BF4" s="66"/>
      <c r="BG4" s="66"/>
      <c r="BI4" s="67"/>
      <c r="BO4" s="65"/>
      <c r="BU4" s="46"/>
      <c r="CA4" s="46"/>
      <c r="CG4" s="46"/>
      <c r="CM4" s="46"/>
      <c r="CS4" s="46"/>
      <c r="CY4" s="46"/>
      <c r="DE4" s="46"/>
      <c r="DK4" s="46"/>
      <c r="DQ4" s="46"/>
      <c r="DW4" s="46"/>
      <c r="EC4" s="46"/>
      <c r="EI4" s="46"/>
      <c r="EO4" s="46"/>
    </row>
    <row r="5" hidden="1" outlineLevel="1">
      <c r="A5" s="66"/>
      <c r="B5" s="66"/>
      <c r="C5" s="66"/>
      <c r="D5" s="66"/>
      <c r="E5" s="66"/>
      <c r="F5" s="66"/>
      <c r="G5" s="65"/>
      <c r="H5" s="66"/>
      <c r="I5" s="66"/>
      <c r="J5" s="66"/>
      <c r="K5" s="66"/>
      <c r="L5" s="66"/>
      <c r="M5" s="65"/>
      <c r="N5" s="66"/>
      <c r="O5" s="66"/>
      <c r="P5" s="66"/>
      <c r="Q5" s="66"/>
      <c r="R5" s="66"/>
      <c r="S5" s="65"/>
      <c r="Y5" s="65"/>
      <c r="AE5" s="65"/>
      <c r="AK5" s="65"/>
      <c r="AQ5" s="65"/>
      <c r="AW5" s="65"/>
      <c r="BC5" s="65"/>
      <c r="BD5" s="66"/>
      <c r="BE5" s="66"/>
      <c r="BF5" s="66"/>
      <c r="BG5" s="66"/>
      <c r="BI5" s="67"/>
      <c r="BO5" s="65"/>
      <c r="BU5" s="46"/>
      <c r="CA5" s="46"/>
      <c r="CG5" s="46"/>
      <c r="CM5" s="46"/>
      <c r="CS5" s="46"/>
      <c r="CY5" s="46"/>
      <c r="DE5" s="46"/>
      <c r="DK5" s="46"/>
      <c r="DQ5" s="46"/>
      <c r="DW5" s="46"/>
      <c r="EC5" s="46"/>
      <c r="EI5" s="46"/>
      <c r="EO5" s="46"/>
    </row>
    <row r="6" hidden="1" outlineLevel="1">
      <c r="A6" s="66"/>
      <c r="B6" s="66"/>
      <c r="C6" s="66"/>
      <c r="D6" s="66"/>
      <c r="E6" s="66"/>
      <c r="F6" s="66"/>
      <c r="G6" s="65"/>
      <c r="H6" s="66"/>
      <c r="I6" s="66"/>
      <c r="J6" s="66"/>
      <c r="K6" s="66"/>
      <c r="L6" s="66"/>
      <c r="M6" s="65"/>
      <c r="N6" s="66"/>
      <c r="O6" s="66"/>
      <c r="P6" s="66"/>
      <c r="Q6" s="66"/>
      <c r="R6" s="66"/>
      <c r="S6" s="65"/>
      <c r="Y6" s="65"/>
      <c r="AE6" s="65"/>
      <c r="AK6" s="65"/>
      <c r="AQ6" s="65"/>
      <c r="AW6" s="65"/>
      <c r="BC6" s="65"/>
      <c r="BD6" s="66"/>
      <c r="BE6" s="66"/>
      <c r="BF6" s="66"/>
      <c r="BG6" s="66"/>
      <c r="BI6" s="67"/>
      <c r="BO6" s="65"/>
      <c r="BU6" s="46"/>
      <c r="CA6" s="46"/>
      <c r="CG6" s="46"/>
      <c r="CM6" s="46"/>
      <c r="CS6" s="46"/>
      <c r="CY6" s="46"/>
      <c r="DE6" s="46"/>
      <c r="DK6" s="46"/>
      <c r="DQ6" s="46"/>
      <c r="DW6" s="46"/>
      <c r="EC6" s="46"/>
      <c r="EI6" s="46"/>
      <c r="EO6" s="46"/>
    </row>
    <row r="7" collapsed="1">
      <c r="A7" s="66" t="s">
        <v>129</v>
      </c>
      <c r="B7" s="66"/>
      <c r="C7" s="66"/>
      <c r="D7" s="66"/>
      <c r="E7" s="66"/>
      <c r="F7" s="66"/>
      <c r="G7" s="65" t="s">
        <v>130</v>
      </c>
      <c r="H7" s="66"/>
      <c r="I7" s="66"/>
      <c r="J7" s="66"/>
      <c r="K7" s="66"/>
      <c r="L7" s="66"/>
      <c r="M7" s="65" t="s">
        <v>131</v>
      </c>
      <c r="N7" s="66"/>
      <c r="O7" s="66"/>
      <c r="P7" s="66"/>
      <c r="Q7" s="66"/>
      <c r="R7" s="66"/>
      <c r="S7" s="65" t="s">
        <v>132</v>
      </c>
      <c r="Y7" s="65" t="s">
        <v>133</v>
      </c>
      <c r="AE7" s="65" t="s">
        <v>134</v>
      </c>
      <c r="AK7" s="65" t="s">
        <v>135</v>
      </c>
      <c r="AQ7" s="65" t="s">
        <v>136</v>
      </c>
      <c r="AW7" s="65" t="s">
        <v>137</v>
      </c>
      <c r="BC7" s="65" t="s">
        <v>138</v>
      </c>
      <c r="BD7" s="66"/>
      <c r="BE7" s="66"/>
      <c r="BF7" s="66"/>
      <c r="BG7" s="66"/>
      <c r="BI7" s="67" t="s">
        <v>139</v>
      </c>
      <c r="BO7" s="65" t="s">
        <v>140</v>
      </c>
      <c r="BU7" s="46" t="s">
        <v>141</v>
      </c>
      <c r="CA7" s="46" t="s">
        <v>71</v>
      </c>
      <c r="CG7" s="46" t="s">
        <v>114</v>
      </c>
      <c r="CM7" s="46" t="s">
        <v>69</v>
      </c>
      <c r="CS7" s="46"/>
      <c r="CY7" s="46"/>
      <c r="DE7" s="46"/>
      <c r="DK7" s="46"/>
      <c r="DQ7" s="46"/>
      <c r="DW7" s="46"/>
      <c r="EC7" s="46"/>
      <c r="EI7" s="46"/>
      <c r="EO7" s="46"/>
    </row>
    <row r="8">
      <c r="A8" s="66" t="s">
        <v>142</v>
      </c>
      <c r="B8" s="66"/>
      <c r="C8" s="66"/>
      <c r="D8" s="66"/>
      <c r="E8" s="66"/>
      <c r="F8" s="66"/>
      <c r="G8" s="65" t="s">
        <v>143</v>
      </c>
      <c r="H8" s="66"/>
      <c r="I8" s="66"/>
      <c r="J8" s="66"/>
      <c r="K8" s="66"/>
      <c r="L8" s="66"/>
      <c r="M8" s="65" t="s">
        <v>144</v>
      </c>
      <c r="N8" s="66"/>
      <c r="O8" s="66"/>
      <c r="P8" s="66"/>
      <c r="Q8" s="66"/>
      <c r="R8" s="66"/>
      <c r="S8" s="65" t="s">
        <v>145</v>
      </c>
      <c r="Y8" s="65" t="s">
        <v>146</v>
      </c>
      <c r="AE8" s="65" t="s">
        <v>147</v>
      </c>
      <c r="AK8" s="65" t="s">
        <v>148</v>
      </c>
      <c r="AQ8" s="65" t="s">
        <v>149</v>
      </c>
      <c r="AW8" s="65" t="s">
        <v>150</v>
      </c>
      <c r="BC8" s="65" t="s">
        <v>151</v>
      </c>
      <c r="BD8" s="66"/>
      <c r="BE8" s="66"/>
      <c r="BF8" s="66"/>
      <c r="BG8" s="66"/>
      <c r="BI8" s="67" t="s">
        <v>152</v>
      </c>
      <c r="BO8" s="65" t="s">
        <v>153</v>
      </c>
      <c r="BU8" s="46" t="s">
        <v>154</v>
      </c>
      <c r="CA8" s="46" t="s">
        <v>155</v>
      </c>
      <c r="CG8" s="46" t="s">
        <v>156</v>
      </c>
      <c r="CM8" s="46" t="s">
        <v>157</v>
      </c>
      <c r="CS8" s="46"/>
      <c r="CY8" s="46"/>
      <c r="DE8" s="46"/>
      <c r="DK8" s="46"/>
      <c r="DQ8" s="46"/>
      <c r="DW8" s="46"/>
      <c r="EC8" s="46"/>
      <c r="EI8" s="46"/>
      <c r="EO8" s="46"/>
    </row>
    <row r="10">
      <c r="A10" s="68" t="s">
        <v>158</v>
      </c>
      <c r="G10" s="68" t="s">
        <v>16</v>
      </c>
      <c r="M10" s="68" t="s">
        <v>12</v>
      </c>
      <c r="S10" s="68" t="s">
        <v>22</v>
      </c>
      <c r="Y10" s="68" t="s">
        <v>13</v>
      </c>
      <c r="AD10" s="69"/>
      <c r="AE10" s="68" t="s">
        <v>50</v>
      </c>
      <c r="AJ10" s="69"/>
      <c r="AK10" s="68" t="s">
        <v>24</v>
      </c>
      <c r="AP10" s="69"/>
      <c r="AQ10" s="68" t="s">
        <v>136</v>
      </c>
      <c r="AV10" s="69"/>
      <c r="AW10" s="68" t="s">
        <v>52</v>
      </c>
      <c r="BB10" s="69"/>
      <c r="BC10" s="68" t="s">
        <v>106</v>
      </c>
      <c r="BH10" s="69"/>
      <c r="BI10" s="68" t="s">
        <v>159</v>
      </c>
      <c r="BN10" s="69"/>
      <c r="BO10" s="68" t="s">
        <v>140</v>
      </c>
      <c r="BT10" s="69"/>
      <c r="BU10" s="68" t="s">
        <v>141</v>
      </c>
      <c r="BZ10" s="69"/>
      <c r="CA10" s="68" t="s">
        <v>71</v>
      </c>
      <c r="CF10" s="69"/>
      <c r="CG10" s="68" t="s">
        <v>114</v>
      </c>
      <c r="CL10" s="69"/>
      <c r="CM10" s="68" t="s">
        <v>69</v>
      </c>
      <c r="CR10" s="69"/>
      <c r="CS10" s="68" t="s">
        <v>92</v>
      </c>
      <c r="CX10" s="69"/>
      <c r="CY10" s="68" t="s">
        <v>74</v>
      </c>
      <c r="DD10" s="69"/>
      <c r="DE10" s="68" t="s">
        <v>123</v>
      </c>
      <c r="DJ10" s="69"/>
      <c r="DK10" s="68" t="s">
        <v>124</v>
      </c>
      <c r="DP10" s="69"/>
      <c r="DQ10" s="68" t="s">
        <v>125</v>
      </c>
      <c r="DV10" s="69"/>
      <c r="DW10" s="68" t="s">
        <v>79</v>
      </c>
      <c r="EB10" s="69"/>
      <c r="EC10" s="68" t="s">
        <v>109</v>
      </c>
      <c r="EH10" s="69"/>
      <c r="EI10" s="68" t="s">
        <v>119</v>
      </c>
      <c r="EN10" s="69"/>
      <c r="EO10" s="68" t="s">
        <v>111</v>
      </c>
    </row>
    <row r="11">
      <c r="G11" s="70" t="s">
        <v>160</v>
      </c>
    </row>
    <row r="12">
      <c r="A12" s="71" t="s">
        <v>161</v>
      </c>
      <c r="B12" s="72"/>
      <c r="C12" s="72"/>
      <c r="D12" s="72"/>
      <c r="E12" s="73"/>
      <c r="G12" s="71" t="s">
        <v>162</v>
      </c>
      <c r="H12" s="72"/>
      <c r="I12" s="72"/>
      <c r="J12" s="72"/>
      <c r="K12" s="73"/>
      <c r="M12" s="71" t="s">
        <v>163</v>
      </c>
      <c r="N12" s="72"/>
      <c r="O12" s="72"/>
      <c r="P12" s="72"/>
      <c r="Q12" s="73"/>
      <c r="S12" s="71" t="s">
        <v>163</v>
      </c>
      <c r="T12" s="72"/>
      <c r="U12" s="72"/>
      <c r="V12" s="72"/>
      <c r="W12" s="73"/>
      <c r="Y12" s="71" t="s">
        <v>163</v>
      </c>
      <c r="Z12" s="72"/>
      <c r="AA12" s="72"/>
      <c r="AB12" s="72"/>
      <c r="AC12" s="73"/>
      <c r="AD12" s="74"/>
      <c r="AE12" s="71" t="s">
        <v>164</v>
      </c>
      <c r="AF12" s="72"/>
      <c r="AG12" s="72"/>
      <c r="AH12" s="72"/>
      <c r="AI12" s="73"/>
      <c r="AJ12" s="74"/>
      <c r="AK12" s="71" t="s">
        <v>164</v>
      </c>
      <c r="AL12" s="72"/>
      <c r="AM12" s="72"/>
      <c r="AN12" s="72"/>
      <c r="AO12" s="73"/>
      <c r="AP12" s="74"/>
      <c r="AQ12" s="71" t="s">
        <v>164</v>
      </c>
      <c r="AR12" s="72"/>
      <c r="AS12" s="72"/>
      <c r="AT12" s="72"/>
      <c r="AU12" s="73"/>
      <c r="AV12" s="74"/>
      <c r="AW12" s="71"/>
      <c r="AX12" s="72"/>
      <c r="AY12" s="72"/>
      <c r="AZ12" s="72"/>
      <c r="BA12" s="73"/>
      <c r="BB12" s="74"/>
      <c r="BC12" s="71"/>
      <c r="BD12" s="72"/>
      <c r="BE12" s="72"/>
      <c r="BF12" s="72"/>
      <c r="BG12" s="73"/>
      <c r="BH12" s="74"/>
      <c r="BI12" s="71" t="s">
        <v>165</v>
      </c>
      <c r="BJ12" s="72"/>
      <c r="BK12" s="72"/>
      <c r="BL12" s="72"/>
      <c r="BM12" s="73"/>
      <c r="BN12" s="74"/>
      <c r="BO12" s="71"/>
      <c r="BP12" s="72"/>
      <c r="BQ12" s="72"/>
      <c r="BR12" s="72"/>
      <c r="BS12" s="73"/>
      <c r="BT12" s="74"/>
      <c r="BU12" s="71"/>
      <c r="BV12" s="72"/>
      <c r="BW12" s="72"/>
      <c r="BX12" s="72"/>
      <c r="BY12" s="73"/>
      <c r="BZ12" s="74"/>
      <c r="CA12" s="71"/>
      <c r="CB12" s="72"/>
      <c r="CC12" s="72"/>
      <c r="CD12" s="72"/>
      <c r="CE12" s="73"/>
      <c r="CF12" s="74"/>
      <c r="CG12" s="71"/>
      <c r="CH12" s="72"/>
      <c r="CI12" s="72"/>
      <c r="CJ12" s="72"/>
      <c r="CK12" s="73"/>
      <c r="CL12" s="74"/>
      <c r="CM12" s="71"/>
      <c r="CN12" s="72"/>
      <c r="CO12" s="72"/>
      <c r="CP12" s="72"/>
      <c r="CQ12" s="73"/>
      <c r="CR12" s="74"/>
      <c r="CS12" s="71" t="s">
        <v>166</v>
      </c>
      <c r="CT12" s="72"/>
      <c r="CU12" s="72"/>
      <c r="CV12" s="72"/>
      <c r="CW12" s="73"/>
      <c r="CX12" s="74"/>
      <c r="CY12" s="71"/>
      <c r="CZ12" s="72"/>
      <c r="DA12" s="72"/>
      <c r="DB12" s="72"/>
      <c r="DC12" s="73"/>
      <c r="DD12" s="74"/>
      <c r="DE12" s="71"/>
      <c r="DF12" s="72"/>
      <c r="DG12" s="72"/>
      <c r="DH12" s="72"/>
      <c r="DI12" s="73"/>
      <c r="DJ12" s="74"/>
      <c r="DK12" s="71"/>
      <c r="DL12" s="72"/>
      <c r="DM12" s="72"/>
      <c r="DN12" s="72"/>
      <c r="DO12" s="73"/>
      <c r="DP12" s="74"/>
      <c r="DQ12" s="71"/>
      <c r="DR12" s="72"/>
      <c r="DS12" s="72"/>
      <c r="DT12" s="72"/>
      <c r="DU12" s="73"/>
      <c r="DV12" s="74"/>
      <c r="DW12" s="71"/>
      <c r="DX12" s="72"/>
      <c r="DY12" s="72"/>
      <c r="DZ12" s="72"/>
      <c r="EA12" s="73"/>
      <c r="EB12" s="74"/>
      <c r="EC12" s="71"/>
      <c r="ED12" s="72"/>
      <c r="EE12" s="72"/>
      <c r="EF12" s="72"/>
      <c r="EG12" s="73"/>
      <c r="EH12" s="74"/>
      <c r="EI12" s="71"/>
      <c r="EJ12" s="72"/>
      <c r="EK12" s="72"/>
      <c r="EL12" s="72"/>
      <c r="EM12" s="73"/>
      <c r="EN12" s="74"/>
      <c r="EO12" s="71"/>
      <c r="EP12" s="72"/>
      <c r="EQ12" s="72"/>
      <c r="ER12" s="72"/>
      <c r="ES12" s="73"/>
    </row>
    <row r="13">
      <c r="A13" s="75"/>
      <c r="B13" s="76" t="s">
        <v>167</v>
      </c>
      <c r="C13" s="76" t="s">
        <v>168</v>
      </c>
      <c r="D13" s="76" t="s">
        <v>169</v>
      </c>
      <c r="E13" s="77" t="s">
        <v>170</v>
      </c>
      <c r="G13" s="75"/>
      <c r="H13" s="76" t="s">
        <v>167</v>
      </c>
      <c r="I13" s="76" t="s">
        <v>168</v>
      </c>
      <c r="J13" s="76" t="s">
        <v>169</v>
      </c>
      <c r="K13" s="77" t="s">
        <v>170</v>
      </c>
      <c r="M13" s="75"/>
      <c r="N13" s="76" t="s">
        <v>167</v>
      </c>
      <c r="O13" s="76" t="s">
        <v>168</v>
      </c>
      <c r="P13" s="76" t="s">
        <v>169</v>
      </c>
      <c r="Q13" s="77" t="s">
        <v>170</v>
      </c>
      <c r="S13" s="75"/>
      <c r="T13" s="76" t="s">
        <v>167</v>
      </c>
      <c r="U13" s="76" t="s">
        <v>168</v>
      </c>
      <c r="V13" s="76" t="s">
        <v>169</v>
      </c>
      <c r="W13" s="77" t="s">
        <v>170</v>
      </c>
      <c r="Y13" s="75"/>
      <c r="Z13" s="76" t="s">
        <v>167</v>
      </c>
      <c r="AA13" s="76" t="s">
        <v>168</v>
      </c>
      <c r="AB13" s="76" t="s">
        <v>169</v>
      </c>
      <c r="AC13" s="77" t="s">
        <v>170</v>
      </c>
      <c r="AD13" s="78"/>
      <c r="AE13" s="75"/>
      <c r="AF13" s="76" t="s">
        <v>167</v>
      </c>
      <c r="AG13" s="76" t="s">
        <v>168</v>
      </c>
      <c r="AH13" s="76" t="s">
        <v>169</v>
      </c>
      <c r="AI13" s="77" t="s">
        <v>170</v>
      </c>
      <c r="AJ13" s="78"/>
      <c r="AK13" s="75"/>
      <c r="AL13" s="76" t="s">
        <v>167</v>
      </c>
      <c r="AM13" s="76" t="s">
        <v>168</v>
      </c>
      <c r="AN13" s="76" t="s">
        <v>169</v>
      </c>
      <c r="AO13" s="77" t="s">
        <v>170</v>
      </c>
      <c r="AP13" s="78"/>
      <c r="AQ13" s="75"/>
      <c r="AR13" s="76" t="s">
        <v>167</v>
      </c>
      <c r="AS13" s="76" t="s">
        <v>168</v>
      </c>
      <c r="AT13" s="76" t="s">
        <v>169</v>
      </c>
      <c r="AU13" s="77" t="s">
        <v>170</v>
      </c>
      <c r="AV13" s="78"/>
      <c r="AW13" s="75"/>
      <c r="AX13" s="76"/>
      <c r="AY13" s="76"/>
      <c r="AZ13" s="76"/>
      <c r="BA13" s="77"/>
      <c r="BB13" s="78"/>
      <c r="BC13" s="75"/>
      <c r="BD13" s="76"/>
      <c r="BE13" s="76"/>
      <c r="BF13" s="76"/>
      <c r="BG13" s="77"/>
      <c r="BH13" s="78"/>
      <c r="BI13" s="75"/>
      <c r="BJ13" s="76" t="s">
        <v>167</v>
      </c>
      <c r="BK13" s="76" t="s">
        <v>168</v>
      </c>
      <c r="BL13" s="76" t="s">
        <v>169</v>
      </c>
      <c r="BM13" s="77" t="s">
        <v>170</v>
      </c>
      <c r="BN13" s="78"/>
      <c r="BO13" s="75"/>
      <c r="BP13" s="76"/>
      <c r="BQ13" s="76"/>
      <c r="BR13" s="76"/>
      <c r="BS13" s="77"/>
      <c r="BT13" s="78"/>
      <c r="BU13" s="75"/>
      <c r="BV13" s="76"/>
      <c r="BW13" s="76"/>
      <c r="BX13" s="76"/>
      <c r="BY13" s="77"/>
      <c r="BZ13" s="78"/>
      <c r="CA13" s="75"/>
      <c r="CB13" s="76"/>
      <c r="CC13" s="76"/>
      <c r="CD13" s="76"/>
      <c r="CE13" s="77"/>
      <c r="CF13" s="78"/>
      <c r="CG13" s="75"/>
      <c r="CH13" s="76"/>
      <c r="CI13" s="76"/>
      <c r="CJ13" s="76"/>
      <c r="CK13" s="77"/>
      <c r="CL13" s="78"/>
      <c r="CM13" s="75"/>
      <c r="CN13" s="76"/>
      <c r="CO13" s="76"/>
      <c r="CP13" s="76"/>
      <c r="CQ13" s="77"/>
      <c r="CR13" s="78"/>
      <c r="CS13" s="75"/>
      <c r="CT13" s="76" t="s">
        <v>167</v>
      </c>
      <c r="CU13" s="76" t="s">
        <v>168</v>
      </c>
      <c r="CV13" s="76" t="s">
        <v>169</v>
      </c>
      <c r="CW13" s="77" t="s">
        <v>170</v>
      </c>
      <c r="CX13" s="78"/>
      <c r="CY13" s="75"/>
      <c r="CZ13" s="76"/>
      <c r="DA13" s="76"/>
      <c r="DB13" s="76"/>
      <c r="DC13" s="77"/>
      <c r="DD13" s="78"/>
      <c r="DE13" s="75"/>
      <c r="DF13" s="76"/>
      <c r="DG13" s="76"/>
      <c r="DH13" s="76"/>
      <c r="DI13" s="77"/>
      <c r="DJ13" s="78"/>
      <c r="DK13" s="75"/>
      <c r="DL13" s="76"/>
      <c r="DM13" s="76"/>
      <c r="DN13" s="76"/>
      <c r="DO13" s="77"/>
      <c r="DP13" s="78"/>
      <c r="DQ13" s="75"/>
      <c r="DR13" s="76"/>
      <c r="DS13" s="76"/>
      <c r="DT13" s="76"/>
      <c r="DU13" s="77"/>
      <c r="DV13" s="78"/>
      <c r="DW13" s="75"/>
      <c r="DX13" s="76"/>
      <c r="DY13" s="76"/>
      <c r="DZ13" s="76"/>
      <c r="EA13" s="77"/>
      <c r="EB13" s="78"/>
      <c r="EC13" s="75"/>
      <c r="ED13" s="76"/>
      <c r="EE13" s="76"/>
      <c r="EF13" s="76"/>
      <c r="EG13" s="77"/>
      <c r="EH13" s="78"/>
      <c r="EI13" s="75"/>
      <c r="EJ13" s="76"/>
      <c r="EK13" s="76"/>
      <c r="EL13" s="76"/>
      <c r="EM13" s="77"/>
      <c r="EN13" s="78"/>
      <c r="EO13" s="75"/>
      <c r="EP13" s="76"/>
      <c r="EQ13" s="76"/>
      <c r="ER13" s="76"/>
      <c r="ES13" s="77"/>
    </row>
    <row r="14">
      <c r="A14" s="79" t="s">
        <v>171</v>
      </c>
      <c r="B14" s="80">
        <f>'BTC Yield Fund'!AG3</f>
        <v>3.675671353</v>
      </c>
      <c r="C14" s="80">
        <f>'BTC Yield Fund'!AC3</f>
        <v>3.661530556</v>
      </c>
      <c r="D14" s="80">
        <f>'BTC Yield Fund'!T3</f>
        <v>3.563387628</v>
      </c>
      <c r="E14" s="81">
        <f>'BTC Yield Fund'!K3</f>
        <v>3.4856</v>
      </c>
      <c r="G14" s="79" t="s">
        <v>171</v>
      </c>
      <c r="H14" s="80">
        <f>'BTC Yield Fund'!AA4</f>
        <v>0</v>
      </c>
      <c r="I14" s="80">
        <f>'DONE - BTC Boosted Program'!O3</f>
        <v>2.090564518</v>
      </c>
      <c r="J14" s="80">
        <f>'DONE - BTC Boosted Program'!L3</f>
        <v>2.039860895</v>
      </c>
      <c r="K14" s="81"/>
      <c r="M14" s="79" t="s">
        <v>171</v>
      </c>
      <c r="N14" s="80">
        <f>'BTC Yield Fund'!AG5</f>
        <v>4.916434669</v>
      </c>
      <c r="O14" s="80">
        <f>'BTC Yield Fund'!AC5</f>
        <v>4.895164675</v>
      </c>
      <c r="P14" s="80">
        <f>'DONE - BTC Boosted Program'!L4</f>
        <v>4.686928932</v>
      </c>
      <c r="Q14" s="81">
        <f>'BTC Yield Fund'!N5</f>
        <v>4.62</v>
      </c>
      <c r="S14" s="79" t="s">
        <v>171</v>
      </c>
      <c r="T14" s="80">
        <f>'BTC Yield Fund'!AG6</f>
        <v>6.696639904</v>
      </c>
      <c r="U14" s="80">
        <f>'DONE - BTC TAC Program'!N5</f>
        <v>6.696045587</v>
      </c>
      <c r="V14" s="80">
        <f>'BTC Yield Fund'!T6</f>
        <v>6.634194463</v>
      </c>
      <c r="W14" s="81">
        <f>'BTC Yield Fund'!N6</f>
        <v>6.5193</v>
      </c>
      <c r="Y14" s="79" t="s">
        <v>171</v>
      </c>
      <c r="Z14" s="80">
        <f>'BTC Yield Fund'!AG7</f>
        <v>4.726366612</v>
      </c>
      <c r="AA14" s="80">
        <f>'BTC Yield Fund'!AC7</f>
        <v>4.964949615</v>
      </c>
      <c r="AB14" s="80">
        <f>'DONE - BTC Boosted Program'!L5</f>
        <v>4.878651885</v>
      </c>
      <c r="AC14" s="81">
        <f>'BTC Yield Fund'!N7</f>
        <v>5.2</v>
      </c>
      <c r="AD14" s="82"/>
      <c r="AE14" s="79" t="s">
        <v>171</v>
      </c>
      <c r="AF14" s="80">
        <f>'BTC Yield Fund'!AG10</f>
        <v>0.4464426603</v>
      </c>
      <c r="AG14" s="80">
        <f>'DONE - BTC TAC Program'!N4</f>
        <v>0.4463764869</v>
      </c>
      <c r="AH14" s="80">
        <f>'DONE - BTC TAC Program'!K4</f>
        <v>0.4483</v>
      </c>
      <c r="AI14" s="81">
        <f>'DONE - BTC TAC Program'!K4</f>
        <v>0.4483</v>
      </c>
      <c r="AJ14" s="82"/>
      <c r="AK14" s="79" t="s">
        <v>171</v>
      </c>
      <c r="AL14" s="80">
        <f>'BTC Yield Fund'!AG11</f>
        <v>4.103668902</v>
      </c>
      <c r="AM14" s="80">
        <f>'DONE - BTC TAC Program'!N6</f>
        <v>4.103318096</v>
      </c>
      <c r="AN14" s="80">
        <f>'DONE - BTC TAC Program'!K6</f>
        <v>4.121</v>
      </c>
      <c r="AO14" s="81">
        <f>'DONE - BTC TAC Program'!K6</f>
        <v>4.121</v>
      </c>
      <c r="AP14" s="82"/>
      <c r="AQ14" s="79" t="s">
        <v>171</v>
      </c>
      <c r="AR14" s="80">
        <f>'BTC Yield Fund'!AG9</f>
        <v>0.1485472888</v>
      </c>
      <c r="AS14" s="80">
        <f>'DONE - BTC TAC Program'!N3</f>
        <v>0.1485598301</v>
      </c>
      <c r="AT14" s="80">
        <f>'DONE - BTC TAC Program'!K3</f>
        <v>0.1492</v>
      </c>
      <c r="AU14" s="81">
        <f>'DONE - BTC TAC Program'!K3</f>
        <v>0.1492</v>
      </c>
      <c r="AV14" s="82"/>
      <c r="AW14" s="79"/>
      <c r="AX14" s="80"/>
      <c r="AY14" s="80"/>
      <c r="AZ14" s="80"/>
      <c r="BA14" s="81"/>
      <c r="BB14" s="82"/>
      <c r="BC14" s="79"/>
      <c r="BD14" s="80"/>
      <c r="BE14" s="80"/>
      <c r="BF14" s="80"/>
      <c r="BG14" s="81"/>
      <c r="BH14" s="82"/>
      <c r="BI14" s="79" t="s">
        <v>171</v>
      </c>
      <c r="BJ14" s="80">
        <f>'BTC Yield Fund'!AG8</f>
        <v>3.601256059</v>
      </c>
      <c r="BK14" s="80">
        <f>'BTC Yield Fund'!AC8</f>
        <v>2.001339759</v>
      </c>
      <c r="BL14" s="80">
        <f>'BTC Yield Fund'!AB8</f>
        <v>2</v>
      </c>
      <c r="BM14" s="81">
        <f>'BTC Yield Fund'!AB8</f>
        <v>2</v>
      </c>
      <c r="BN14" s="82"/>
      <c r="BO14" s="79"/>
      <c r="BP14" s="80"/>
      <c r="BQ14" s="80"/>
      <c r="BR14" s="80"/>
      <c r="BS14" s="81"/>
      <c r="BT14" s="82"/>
      <c r="BU14" s="79"/>
      <c r="BV14" s="80"/>
      <c r="BW14" s="80"/>
      <c r="BX14" s="80"/>
      <c r="BY14" s="81"/>
      <c r="BZ14" s="82"/>
      <c r="CA14" s="79"/>
      <c r="CB14" s="80"/>
      <c r="CC14" s="80"/>
      <c r="CD14" s="80"/>
      <c r="CE14" s="81"/>
      <c r="CF14" s="82"/>
      <c r="CG14" s="79"/>
      <c r="CH14" s="80"/>
      <c r="CI14" s="80"/>
      <c r="CJ14" s="80"/>
      <c r="CK14" s="81"/>
      <c r="CL14" s="82"/>
      <c r="CM14" s="79"/>
      <c r="CN14" s="80"/>
      <c r="CO14" s="80"/>
      <c r="CP14" s="80"/>
      <c r="CQ14" s="81"/>
      <c r="CR14" s="82"/>
      <c r="CS14" s="79" t="s">
        <v>171</v>
      </c>
      <c r="CT14" s="80">
        <f>'BTC Yield Fund'!AG12</f>
        <v>2.116738152</v>
      </c>
      <c r="CU14" s="80">
        <f>'BTC Yield Fund'!AE12</f>
        <v>2.115364</v>
      </c>
      <c r="CV14" s="80">
        <f>'BTC Yield Fund'!AE12</f>
        <v>2.115364</v>
      </c>
      <c r="CW14" s="81">
        <f>'BTC Yield Fund'!AE12</f>
        <v>2.115364</v>
      </c>
      <c r="CX14" s="82"/>
      <c r="CY14" s="79"/>
      <c r="CZ14" s="80"/>
      <c r="DA14" s="80"/>
      <c r="DB14" s="80"/>
      <c r="DC14" s="81"/>
      <c r="DD14" s="82"/>
      <c r="DE14" s="79"/>
      <c r="DF14" s="80"/>
      <c r="DG14" s="80"/>
      <c r="DH14" s="80"/>
      <c r="DI14" s="81"/>
      <c r="DJ14" s="82"/>
      <c r="DK14" s="79"/>
      <c r="DL14" s="80"/>
      <c r="DM14" s="80"/>
      <c r="DN14" s="80"/>
      <c r="DO14" s="81"/>
      <c r="DP14" s="82"/>
      <c r="DQ14" s="79"/>
      <c r="DR14" s="80"/>
      <c r="DS14" s="80"/>
      <c r="DT14" s="80"/>
      <c r="DU14" s="81"/>
      <c r="DV14" s="82"/>
      <c r="DW14" s="79"/>
      <c r="DX14" s="80"/>
      <c r="DY14" s="80"/>
      <c r="DZ14" s="80"/>
      <c r="EA14" s="81"/>
      <c r="EB14" s="82"/>
      <c r="EC14" s="79"/>
      <c r="ED14" s="80"/>
      <c r="EE14" s="80"/>
      <c r="EF14" s="80"/>
      <c r="EG14" s="81"/>
      <c r="EH14" s="82"/>
      <c r="EI14" s="79"/>
      <c r="EJ14" s="80"/>
      <c r="EK14" s="80"/>
      <c r="EL14" s="80"/>
      <c r="EM14" s="81"/>
      <c r="EN14" s="82"/>
      <c r="EO14" s="79"/>
      <c r="EP14" s="80"/>
      <c r="EQ14" s="80"/>
      <c r="ER14" s="80"/>
      <c r="ES14" s="81"/>
    </row>
    <row r="15">
      <c r="A15" s="83" t="s">
        <v>172</v>
      </c>
      <c r="B15" s="84">
        <v>0.0</v>
      </c>
      <c r="C15" s="84">
        <v>0.0</v>
      </c>
      <c r="D15" s="84">
        <v>0.0</v>
      </c>
      <c r="E15" s="85">
        <v>0.0</v>
      </c>
      <c r="G15" s="83" t="s">
        <v>172</v>
      </c>
      <c r="H15" s="84">
        <v>0.0</v>
      </c>
      <c r="I15" s="84">
        <v>0.0</v>
      </c>
      <c r="J15" s="84">
        <v>0.0</v>
      </c>
      <c r="K15" s="85">
        <v>0.0</v>
      </c>
      <c r="M15" s="83" t="s">
        <v>172</v>
      </c>
      <c r="N15" s="84">
        <v>0.0</v>
      </c>
      <c r="O15" s="84">
        <v>0.0</v>
      </c>
      <c r="P15" s="84">
        <v>0.0</v>
      </c>
      <c r="Q15" s="85">
        <v>0.0</v>
      </c>
      <c r="S15" s="83" t="s">
        <v>172</v>
      </c>
      <c r="T15" s="84">
        <v>0.0</v>
      </c>
      <c r="U15" s="84">
        <v>0.0</v>
      </c>
      <c r="V15" s="84">
        <v>0.0</v>
      </c>
      <c r="W15" s="85">
        <v>0.0</v>
      </c>
      <c r="Y15" s="83" t="s">
        <v>172</v>
      </c>
      <c r="Z15" s="84">
        <v>0.0</v>
      </c>
      <c r="AA15" s="84">
        <v>0.0</v>
      </c>
      <c r="AB15" s="84">
        <v>0.0</v>
      </c>
      <c r="AC15" s="85">
        <v>0.0</v>
      </c>
      <c r="AD15" s="82"/>
      <c r="AE15" s="83" t="s">
        <v>172</v>
      </c>
      <c r="AF15" s="84">
        <v>0.0</v>
      </c>
      <c r="AG15" s="84">
        <v>0.0</v>
      </c>
      <c r="AH15" s="84">
        <v>0.0</v>
      </c>
      <c r="AI15" s="85">
        <v>0.0</v>
      </c>
      <c r="AJ15" s="82"/>
      <c r="AK15" s="83" t="s">
        <v>172</v>
      </c>
      <c r="AL15" s="84">
        <v>0.0</v>
      </c>
      <c r="AM15" s="84">
        <v>0.0</v>
      </c>
      <c r="AN15" s="84">
        <v>0.0</v>
      </c>
      <c r="AO15" s="85">
        <v>0.0</v>
      </c>
      <c r="AP15" s="82"/>
      <c r="AQ15" s="83" t="s">
        <v>172</v>
      </c>
      <c r="AR15" s="84">
        <v>0.0</v>
      </c>
      <c r="AS15" s="84">
        <v>0.0</v>
      </c>
      <c r="AT15" s="84">
        <v>0.0</v>
      </c>
      <c r="AU15" s="85">
        <v>0.0</v>
      </c>
      <c r="AV15" s="82"/>
      <c r="AW15" s="83"/>
      <c r="AX15" s="84"/>
      <c r="AY15" s="84"/>
      <c r="AZ15" s="84"/>
      <c r="BA15" s="85"/>
      <c r="BB15" s="82"/>
      <c r="BC15" s="83"/>
      <c r="BD15" s="84"/>
      <c r="BE15" s="84"/>
      <c r="BF15" s="84"/>
      <c r="BG15" s="85"/>
      <c r="BH15" s="82"/>
      <c r="BI15" s="83" t="s">
        <v>172</v>
      </c>
      <c r="BJ15" s="84">
        <f>0.9102</f>
        <v>0.9102</v>
      </c>
      <c r="BK15" s="84">
        <f t="shared" ref="BK15:BM15" si="1">0.9914+0.6+0.9102</f>
        <v>2.5016</v>
      </c>
      <c r="BL15" s="84">
        <f t="shared" si="1"/>
        <v>2.5016</v>
      </c>
      <c r="BM15" s="85">
        <f t="shared" si="1"/>
        <v>2.5016</v>
      </c>
      <c r="BN15" s="82"/>
      <c r="BO15" s="83"/>
      <c r="BP15" s="84"/>
      <c r="BQ15" s="84"/>
      <c r="BR15" s="84"/>
      <c r="BS15" s="85"/>
      <c r="BT15" s="82"/>
      <c r="BU15" s="83"/>
      <c r="BV15" s="84"/>
      <c r="BW15" s="84"/>
      <c r="BX15" s="84"/>
      <c r="BY15" s="85"/>
      <c r="BZ15" s="82"/>
      <c r="CA15" s="83"/>
      <c r="CB15" s="84"/>
      <c r="CC15" s="84"/>
      <c r="CD15" s="84"/>
      <c r="CE15" s="85"/>
      <c r="CF15" s="82"/>
      <c r="CG15" s="83"/>
      <c r="CH15" s="84"/>
      <c r="CI15" s="84"/>
      <c r="CJ15" s="84"/>
      <c r="CK15" s="85"/>
      <c r="CL15" s="82"/>
      <c r="CM15" s="83"/>
      <c r="CN15" s="84"/>
      <c r="CO15" s="84"/>
      <c r="CP15" s="84"/>
      <c r="CQ15" s="85"/>
      <c r="CR15" s="82"/>
      <c r="CS15" s="83" t="s">
        <v>172</v>
      </c>
      <c r="CT15" s="84">
        <v>0.0</v>
      </c>
      <c r="CU15" s="84">
        <v>0.0</v>
      </c>
      <c r="CV15" s="84">
        <v>0.0</v>
      </c>
      <c r="CW15" s="85">
        <v>0.0</v>
      </c>
      <c r="CX15" s="82"/>
      <c r="CY15" s="83"/>
      <c r="CZ15" s="84"/>
      <c r="DA15" s="84"/>
      <c r="DB15" s="84"/>
      <c r="DC15" s="85"/>
      <c r="DD15" s="82"/>
      <c r="DE15" s="83"/>
      <c r="DF15" s="84"/>
      <c r="DG15" s="84"/>
      <c r="DH15" s="84"/>
      <c r="DI15" s="85"/>
      <c r="DJ15" s="82"/>
      <c r="DK15" s="83"/>
      <c r="DL15" s="84"/>
      <c r="DM15" s="84"/>
      <c r="DN15" s="84"/>
      <c r="DO15" s="85"/>
      <c r="DP15" s="82"/>
      <c r="DQ15" s="83"/>
      <c r="DR15" s="84"/>
      <c r="DS15" s="84"/>
      <c r="DT15" s="84"/>
      <c r="DU15" s="85"/>
      <c r="DV15" s="82"/>
      <c r="DW15" s="83"/>
      <c r="DX15" s="84"/>
      <c r="DY15" s="84"/>
      <c r="DZ15" s="84"/>
      <c r="EA15" s="85"/>
      <c r="EB15" s="82"/>
      <c r="EC15" s="83"/>
      <c r="ED15" s="84"/>
      <c r="EE15" s="84"/>
      <c r="EF15" s="84"/>
      <c r="EG15" s="85"/>
      <c r="EH15" s="82"/>
      <c r="EI15" s="83"/>
      <c r="EJ15" s="84"/>
      <c r="EK15" s="84"/>
      <c r="EL15" s="84"/>
      <c r="EM15" s="85"/>
      <c r="EN15" s="82"/>
      <c r="EO15" s="83"/>
      <c r="EP15" s="84"/>
      <c r="EQ15" s="84"/>
      <c r="ER15" s="84"/>
      <c r="ES15" s="85"/>
    </row>
    <row r="16">
      <c r="A16" s="83" t="s">
        <v>173</v>
      </c>
      <c r="B16" s="84">
        <v>0.0</v>
      </c>
      <c r="C16" s="84">
        <v>0.0</v>
      </c>
      <c r="D16" s="84">
        <v>0.0</v>
      </c>
      <c r="E16" s="85">
        <v>0.0</v>
      </c>
      <c r="G16" s="83" t="s">
        <v>173</v>
      </c>
      <c r="H16" s="84">
        <v>0.0</v>
      </c>
      <c r="I16" s="84">
        <f t="shared" ref="I16:J16" si="2">2.0023+0.1078</f>
        <v>2.1101</v>
      </c>
      <c r="J16" s="84">
        <f t="shared" si="2"/>
        <v>2.1101</v>
      </c>
      <c r="K16" s="85">
        <v>0.0</v>
      </c>
      <c r="M16" s="83" t="s">
        <v>173</v>
      </c>
      <c r="N16" s="84">
        <v>0.0</v>
      </c>
      <c r="O16" s="84">
        <v>0.0</v>
      </c>
      <c r="P16" s="84">
        <v>0.0</v>
      </c>
      <c r="Q16" s="85">
        <v>0.0</v>
      </c>
      <c r="S16" s="83" t="s">
        <v>173</v>
      </c>
      <c r="T16" s="84">
        <v>0.0</v>
      </c>
      <c r="U16" s="84">
        <v>0.0</v>
      </c>
      <c r="V16" s="84">
        <v>0.0</v>
      </c>
      <c r="W16" s="85">
        <v>0.0</v>
      </c>
      <c r="Y16" s="83" t="s">
        <v>173</v>
      </c>
      <c r="Z16" s="84">
        <v>0.11</v>
      </c>
      <c r="AA16" s="84">
        <f>0.26+0.11</f>
        <v>0.37</v>
      </c>
      <c r="AB16" s="84">
        <f>0.39+0.11</f>
        <v>0.5</v>
      </c>
      <c r="AC16" s="85">
        <f>0.784+0.11</f>
        <v>0.894</v>
      </c>
      <c r="AD16" s="82"/>
      <c r="AE16" s="83" t="s">
        <v>173</v>
      </c>
      <c r="AF16" s="84">
        <v>0.0</v>
      </c>
      <c r="AG16" s="84">
        <v>0.0</v>
      </c>
      <c r="AH16" s="84">
        <v>0.0</v>
      </c>
      <c r="AI16" s="85">
        <v>0.0</v>
      </c>
      <c r="AJ16" s="82"/>
      <c r="AK16" s="83" t="s">
        <v>173</v>
      </c>
      <c r="AL16" s="84">
        <v>0.0</v>
      </c>
      <c r="AM16" s="84">
        <v>0.0</v>
      </c>
      <c r="AN16" s="84">
        <v>0.0</v>
      </c>
      <c r="AO16" s="85">
        <v>0.0</v>
      </c>
      <c r="AP16" s="82"/>
      <c r="AQ16" s="83" t="s">
        <v>173</v>
      </c>
      <c r="AR16" s="84">
        <v>0.0</v>
      </c>
      <c r="AS16" s="84">
        <v>0.0</v>
      </c>
      <c r="AT16" s="84">
        <v>0.0</v>
      </c>
      <c r="AU16" s="85">
        <v>0.0</v>
      </c>
      <c r="AV16" s="82"/>
      <c r="AW16" s="83"/>
      <c r="AX16" s="84"/>
      <c r="AY16" s="84"/>
      <c r="AZ16" s="84"/>
      <c r="BA16" s="85"/>
      <c r="BB16" s="82"/>
      <c r="BC16" s="83"/>
      <c r="BD16" s="84"/>
      <c r="BE16" s="84"/>
      <c r="BF16" s="84"/>
      <c r="BG16" s="85"/>
      <c r="BH16" s="82"/>
      <c r="BI16" s="83" t="s">
        <v>173</v>
      </c>
      <c r="BJ16" s="84">
        <v>0.0</v>
      </c>
      <c r="BK16" s="84">
        <v>0.0</v>
      </c>
      <c r="BL16" s="84">
        <v>0.0</v>
      </c>
      <c r="BM16" s="85">
        <v>0.0</v>
      </c>
      <c r="BN16" s="82"/>
      <c r="BO16" s="83"/>
      <c r="BP16" s="84"/>
      <c r="BQ16" s="84"/>
      <c r="BR16" s="84"/>
      <c r="BS16" s="85"/>
      <c r="BT16" s="82"/>
      <c r="BU16" s="83"/>
      <c r="BV16" s="84"/>
      <c r="BW16" s="84"/>
      <c r="BX16" s="84"/>
      <c r="BY16" s="85"/>
      <c r="BZ16" s="82"/>
      <c r="CA16" s="83"/>
      <c r="CB16" s="84"/>
      <c r="CC16" s="84"/>
      <c r="CD16" s="84"/>
      <c r="CE16" s="85"/>
      <c r="CF16" s="82"/>
      <c r="CG16" s="83"/>
      <c r="CH16" s="84"/>
      <c r="CI16" s="84"/>
      <c r="CJ16" s="84"/>
      <c r="CK16" s="85"/>
      <c r="CL16" s="82"/>
      <c r="CM16" s="83"/>
      <c r="CN16" s="84"/>
      <c r="CO16" s="84"/>
      <c r="CP16" s="84"/>
      <c r="CQ16" s="85"/>
      <c r="CR16" s="82"/>
      <c r="CS16" s="83" t="s">
        <v>173</v>
      </c>
      <c r="CT16" s="84">
        <v>0.0</v>
      </c>
      <c r="CU16" s="84">
        <v>0.0</v>
      </c>
      <c r="CV16" s="84">
        <v>0.0</v>
      </c>
      <c r="CW16" s="85">
        <v>0.0</v>
      </c>
      <c r="CX16" s="82"/>
      <c r="CY16" s="83"/>
      <c r="CZ16" s="84"/>
      <c r="DA16" s="84"/>
      <c r="DB16" s="84"/>
      <c r="DC16" s="85"/>
      <c r="DD16" s="82"/>
      <c r="DE16" s="83"/>
      <c r="DF16" s="84"/>
      <c r="DG16" s="84"/>
      <c r="DH16" s="84"/>
      <c r="DI16" s="85"/>
      <c r="DJ16" s="82"/>
      <c r="DK16" s="83"/>
      <c r="DL16" s="84"/>
      <c r="DM16" s="84"/>
      <c r="DN16" s="84"/>
      <c r="DO16" s="85"/>
      <c r="DP16" s="82"/>
      <c r="DQ16" s="83"/>
      <c r="DR16" s="84"/>
      <c r="DS16" s="84"/>
      <c r="DT16" s="84"/>
      <c r="DU16" s="85"/>
      <c r="DV16" s="82"/>
      <c r="DW16" s="83"/>
      <c r="DX16" s="84"/>
      <c r="DY16" s="84"/>
      <c r="DZ16" s="84"/>
      <c r="EA16" s="85"/>
      <c r="EB16" s="82"/>
      <c r="EC16" s="83"/>
      <c r="ED16" s="84"/>
      <c r="EE16" s="84"/>
      <c r="EF16" s="84"/>
      <c r="EG16" s="85"/>
      <c r="EH16" s="82"/>
      <c r="EI16" s="83"/>
      <c r="EJ16" s="84"/>
      <c r="EK16" s="84"/>
      <c r="EL16" s="84"/>
      <c r="EM16" s="85"/>
      <c r="EN16" s="82"/>
      <c r="EO16" s="83"/>
      <c r="EP16" s="84"/>
      <c r="EQ16" s="84"/>
      <c r="ER16" s="84"/>
      <c r="ES16" s="85"/>
    </row>
    <row r="17">
      <c r="A17" s="83" t="s">
        <v>174</v>
      </c>
      <c r="B17" s="84">
        <f t="shared" ref="B17:E17" si="3">B18-B14</f>
        <v>0.01074757055</v>
      </c>
      <c r="C17" s="84">
        <f t="shared" si="3"/>
        <v>0.02488836783</v>
      </c>
      <c r="D17" s="84">
        <f t="shared" si="3"/>
        <v>0.123031295</v>
      </c>
      <c r="E17" s="85">
        <f t="shared" si="3"/>
        <v>0.2008189235</v>
      </c>
      <c r="G17" s="83" t="s">
        <v>174</v>
      </c>
      <c r="H17" s="84">
        <f t="shared" ref="H17:J17" si="4">H18-H14+H16</f>
        <v>0</v>
      </c>
      <c r="I17" s="84">
        <f t="shared" si="4"/>
        <v>0.01953548172</v>
      </c>
      <c r="J17" s="84">
        <f t="shared" si="4"/>
        <v>0.07023910461</v>
      </c>
      <c r="K17" s="85">
        <f>K18-K14-K15</f>
        <v>0</v>
      </c>
      <c r="M17" s="83" t="s">
        <v>174</v>
      </c>
      <c r="N17" s="84">
        <f t="shared" ref="N17:P17" si="5">N18-N14</f>
        <v>0.01617372003</v>
      </c>
      <c r="O17" s="84">
        <f t="shared" si="5"/>
        <v>0.03744371386</v>
      </c>
      <c r="P17" s="84">
        <f t="shared" si="5"/>
        <v>0.2456794574</v>
      </c>
      <c r="Q17" s="85">
        <f>Q18-Q14-Q15</f>
        <v>0.3126083893</v>
      </c>
      <c r="S17" s="83" t="s">
        <v>174</v>
      </c>
      <c r="T17" s="84">
        <f t="shared" ref="T17:V17" si="6">T18-T14</f>
        <v>0.02447978391</v>
      </c>
      <c r="U17" s="84">
        <f t="shared" si="6"/>
        <v>0.02507410123</v>
      </c>
      <c r="V17" s="84">
        <f t="shared" si="6"/>
        <v>0.08692522518</v>
      </c>
      <c r="W17" s="85">
        <f>W18-W14-W15</f>
        <v>0.2018196882</v>
      </c>
      <c r="Y17" s="83" t="s">
        <v>174</v>
      </c>
      <c r="Z17" s="84">
        <f t="shared" ref="Z17:AC17" si="7">Z18-Z14+Z16-Z15</f>
        <v>0.01545326797</v>
      </c>
      <c r="AA17" s="84">
        <f t="shared" si="7"/>
        <v>0.03687026426</v>
      </c>
      <c r="AB17" s="84">
        <f t="shared" si="7"/>
        <v>0.2531679947</v>
      </c>
      <c r="AC17" s="85">
        <f t="shared" si="7"/>
        <v>0.3258198795</v>
      </c>
      <c r="AD17" s="86"/>
      <c r="AE17" s="83" t="s">
        <v>174</v>
      </c>
      <c r="AF17" s="84">
        <f t="shared" ref="AF17:AH17" si="8">AF18-AF14</f>
        <v>0.001631985594</v>
      </c>
      <c r="AG17" s="84">
        <f t="shared" si="8"/>
        <v>0.001698158997</v>
      </c>
      <c r="AH17" s="84">
        <f t="shared" si="8"/>
        <v>-0.0002253541199</v>
      </c>
      <c r="AI17" s="85">
        <f>AI18-AI14-AI15</f>
        <v>-0.0002253541199</v>
      </c>
      <c r="AJ17" s="86"/>
      <c r="AK17" s="83" t="s">
        <v>174</v>
      </c>
      <c r="AL17" s="84">
        <f t="shared" ref="AL17:AN17" si="9">AL18-AL14</f>
        <v>0.01500109449</v>
      </c>
      <c r="AM17" s="84">
        <f t="shared" si="9"/>
        <v>0.01535190006</v>
      </c>
      <c r="AN17" s="84">
        <f t="shared" si="9"/>
        <v>-0.002330003923</v>
      </c>
      <c r="AO17" s="85">
        <f>AO18-AO14-AO15</f>
        <v>-0.002330003923</v>
      </c>
      <c r="AP17" s="86"/>
      <c r="AQ17" s="83" t="s">
        <v>174</v>
      </c>
      <c r="AR17" s="84">
        <f t="shared" ref="AR17:AT17" si="10">AR18-AR14</f>
        <v>0.0005430194218</v>
      </c>
      <c r="AS17" s="84">
        <f t="shared" si="10"/>
        <v>0.0005304780603</v>
      </c>
      <c r="AT17" s="84">
        <f t="shared" si="10"/>
        <v>-0.0001096918193</v>
      </c>
      <c r="AU17" s="85">
        <f>AU18-AU14-AU15</f>
        <v>-0.0001096918193</v>
      </c>
      <c r="AV17" s="86"/>
      <c r="AW17" s="83"/>
      <c r="AX17" s="84"/>
      <c r="AY17" s="84"/>
      <c r="AZ17" s="84"/>
      <c r="BA17" s="85"/>
      <c r="BB17" s="86"/>
      <c r="BC17" s="83"/>
      <c r="BD17" s="84"/>
      <c r="BE17" s="84"/>
      <c r="BF17" s="84"/>
      <c r="BG17" s="85"/>
      <c r="BH17" s="86"/>
      <c r="BI17" s="83" t="s">
        <v>174</v>
      </c>
      <c r="BJ17" s="84">
        <f t="shared" ref="BJ17:BM17" si="11">BJ18-BJ14-BJ15</f>
        <v>0.01087237128</v>
      </c>
      <c r="BK17" s="84">
        <f t="shared" si="11"/>
        <v>0.01938867129</v>
      </c>
      <c r="BL17" s="84">
        <f t="shared" si="11"/>
        <v>0.0207284307</v>
      </c>
      <c r="BM17" s="85">
        <f t="shared" si="11"/>
        <v>0.0207284307</v>
      </c>
      <c r="BN17" s="86"/>
      <c r="BO17" s="83"/>
      <c r="BP17" s="84"/>
      <c r="BQ17" s="84"/>
      <c r="BR17" s="84"/>
      <c r="BS17" s="85"/>
      <c r="BT17" s="86"/>
      <c r="BU17" s="83"/>
      <c r="BV17" s="84"/>
      <c r="BW17" s="84"/>
      <c r="BX17" s="84"/>
      <c r="BY17" s="85"/>
      <c r="BZ17" s="86"/>
      <c r="CA17" s="83"/>
      <c r="CB17" s="84"/>
      <c r="CC17" s="84"/>
      <c r="CD17" s="84"/>
      <c r="CE17" s="85"/>
      <c r="CF17" s="86"/>
      <c r="CG17" s="83"/>
      <c r="CH17" s="84"/>
      <c r="CI17" s="84"/>
      <c r="CJ17" s="84"/>
      <c r="CK17" s="85"/>
      <c r="CL17" s="86"/>
      <c r="CM17" s="83"/>
      <c r="CN17" s="84"/>
      <c r="CO17" s="84"/>
      <c r="CP17" s="84"/>
      <c r="CQ17" s="85"/>
      <c r="CR17" s="86"/>
      <c r="CS17" s="83" t="s">
        <v>174</v>
      </c>
      <c r="CT17" s="84">
        <f t="shared" ref="CT17:CV17" si="12">CT18-CT14</f>
        <v>0.006963487274</v>
      </c>
      <c r="CU17" s="84">
        <f t="shared" si="12"/>
        <v>0.008337639406</v>
      </c>
      <c r="CV17" s="84">
        <f t="shared" si="12"/>
        <v>0.008337639406</v>
      </c>
      <c r="CW17" s="85">
        <f>CW18-CW14-CW15</f>
        <v>0.008337639406</v>
      </c>
      <c r="CX17" s="86"/>
      <c r="CY17" s="83"/>
      <c r="CZ17" s="84"/>
      <c r="DA17" s="84"/>
      <c r="DB17" s="84"/>
      <c r="DC17" s="85"/>
      <c r="DD17" s="86"/>
      <c r="DE17" s="83"/>
      <c r="DF17" s="84"/>
      <c r="DG17" s="84"/>
      <c r="DH17" s="84"/>
      <c r="DI17" s="85"/>
      <c r="DJ17" s="86"/>
      <c r="DK17" s="83"/>
      <c r="DL17" s="84"/>
      <c r="DM17" s="84"/>
      <c r="DN17" s="84"/>
      <c r="DO17" s="85"/>
      <c r="DP17" s="86"/>
      <c r="DQ17" s="83"/>
      <c r="DR17" s="84"/>
      <c r="DS17" s="84"/>
      <c r="DT17" s="84"/>
      <c r="DU17" s="85"/>
      <c r="DV17" s="86"/>
      <c r="DW17" s="83"/>
      <c r="DX17" s="84"/>
      <c r="DY17" s="84"/>
      <c r="DZ17" s="84"/>
      <c r="EA17" s="85"/>
      <c r="EB17" s="86"/>
      <c r="EC17" s="83"/>
      <c r="ED17" s="84"/>
      <c r="EE17" s="84"/>
      <c r="EF17" s="84"/>
      <c r="EG17" s="85"/>
      <c r="EH17" s="86"/>
      <c r="EI17" s="83"/>
      <c r="EJ17" s="84"/>
      <c r="EK17" s="84"/>
      <c r="EL17" s="84"/>
      <c r="EM17" s="85"/>
      <c r="EN17" s="86"/>
      <c r="EO17" s="83"/>
      <c r="EP17" s="84"/>
      <c r="EQ17" s="84"/>
      <c r="ER17" s="84"/>
      <c r="ES17" s="85"/>
    </row>
    <row r="18">
      <c r="A18" s="87" t="s">
        <v>175</v>
      </c>
      <c r="B18" s="88">
        <f>'BTC Yield Fund'!AJ3</f>
        <v>3.686418923</v>
      </c>
      <c r="C18" s="88">
        <f>B18</f>
        <v>3.686418923</v>
      </c>
      <c r="D18" s="88">
        <f>B18</f>
        <v>3.686418923</v>
      </c>
      <c r="E18" s="89">
        <f>B18</f>
        <v>3.686418923</v>
      </c>
      <c r="G18" s="87" t="s">
        <v>175</v>
      </c>
      <c r="H18" s="88">
        <f>'BTC Yield Fund'!AC4</f>
        <v>0</v>
      </c>
      <c r="I18" s="88">
        <f>H18</f>
        <v>0</v>
      </c>
      <c r="J18" s="88">
        <f>H18</f>
        <v>0</v>
      </c>
      <c r="K18" s="89">
        <f>H18</f>
        <v>0</v>
      </c>
      <c r="M18" s="87" t="s">
        <v>175</v>
      </c>
      <c r="N18" s="88">
        <f>'BTC Yield Fund'!AJ5</f>
        <v>4.932608389</v>
      </c>
      <c r="O18" s="88">
        <f>N18</f>
        <v>4.932608389</v>
      </c>
      <c r="P18" s="88">
        <f>N18</f>
        <v>4.932608389</v>
      </c>
      <c r="Q18" s="89">
        <f>N18</f>
        <v>4.932608389</v>
      </c>
      <c r="S18" s="87" t="s">
        <v>175</v>
      </c>
      <c r="T18" s="88">
        <f>'BTC Yield Fund'!AJ6</f>
        <v>6.721119688</v>
      </c>
      <c r="U18" s="88">
        <f>T18</f>
        <v>6.721119688</v>
      </c>
      <c r="V18" s="88">
        <f>T18</f>
        <v>6.721119688</v>
      </c>
      <c r="W18" s="89">
        <f>T18</f>
        <v>6.721119688</v>
      </c>
      <c r="Y18" s="87" t="s">
        <v>175</v>
      </c>
      <c r="Z18" s="88">
        <f>'BTC Yield Fund'!AJ7</f>
        <v>4.63181988</v>
      </c>
      <c r="AA18" s="88">
        <f>Z18</f>
        <v>4.63181988</v>
      </c>
      <c r="AB18" s="88">
        <f>Z18</f>
        <v>4.63181988</v>
      </c>
      <c r="AC18" s="89">
        <f>Z18</f>
        <v>4.63181988</v>
      </c>
      <c r="AD18" s="90"/>
      <c r="AE18" s="87" t="s">
        <v>175</v>
      </c>
      <c r="AF18" s="88">
        <f>'BTC Yield Fund'!AJ10</f>
        <v>0.4480746459</v>
      </c>
      <c r="AG18" s="88">
        <f>AF18</f>
        <v>0.4480746459</v>
      </c>
      <c r="AH18" s="88">
        <f>AF18</f>
        <v>0.4480746459</v>
      </c>
      <c r="AI18" s="89">
        <f>AF18</f>
        <v>0.4480746459</v>
      </c>
      <c r="AJ18" s="90"/>
      <c r="AK18" s="87" t="s">
        <v>175</v>
      </c>
      <c r="AL18" s="88">
        <f>'BTC Yield Fund'!AJ11</f>
        <v>4.118669996</v>
      </c>
      <c r="AM18" s="88">
        <f>AL18</f>
        <v>4.118669996</v>
      </c>
      <c r="AN18" s="88">
        <f>AL18</f>
        <v>4.118669996</v>
      </c>
      <c r="AO18" s="89">
        <f>AL18</f>
        <v>4.118669996</v>
      </c>
      <c r="AP18" s="90"/>
      <c r="AQ18" s="87" t="s">
        <v>175</v>
      </c>
      <c r="AR18" s="88">
        <f>'BTC Yield Fund'!AJ9</f>
        <v>0.1490903082</v>
      </c>
      <c r="AS18" s="88">
        <f>AR18</f>
        <v>0.1490903082</v>
      </c>
      <c r="AT18" s="88">
        <f>AR18</f>
        <v>0.1490903082</v>
      </c>
      <c r="AU18" s="89">
        <f>AR18</f>
        <v>0.1490903082</v>
      </c>
      <c r="AV18" s="90"/>
      <c r="AW18" s="87"/>
      <c r="AX18" s="88"/>
      <c r="AY18" s="88"/>
      <c r="AZ18" s="88"/>
      <c r="BA18" s="89"/>
      <c r="BB18" s="90"/>
      <c r="BC18" s="87"/>
      <c r="BD18" s="88"/>
      <c r="BE18" s="88"/>
      <c r="BF18" s="88"/>
      <c r="BG18" s="89"/>
      <c r="BH18" s="90"/>
      <c r="BI18" s="87" t="s">
        <v>175</v>
      </c>
      <c r="BJ18" s="88">
        <f>'BTC Yield Fund'!AJ8</f>
        <v>4.522328431</v>
      </c>
      <c r="BK18" s="88">
        <f>BJ18</f>
        <v>4.522328431</v>
      </c>
      <c r="BL18" s="88">
        <f>BJ18</f>
        <v>4.522328431</v>
      </c>
      <c r="BM18" s="89">
        <f>BJ18</f>
        <v>4.522328431</v>
      </c>
      <c r="BN18" s="90"/>
      <c r="BO18" s="87"/>
      <c r="BP18" s="88"/>
      <c r="BQ18" s="88"/>
      <c r="BR18" s="88"/>
      <c r="BS18" s="89"/>
      <c r="BT18" s="90"/>
      <c r="BU18" s="87"/>
      <c r="BV18" s="88"/>
      <c r="BW18" s="88"/>
      <c r="BX18" s="88"/>
      <c r="BY18" s="89"/>
      <c r="BZ18" s="90"/>
      <c r="CA18" s="87"/>
      <c r="CB18" s="88"/>
      <c r="CC18" s="88"/>
      <c r="CD18" s="88"/>
      <c r="CE18" s="89"/>
      <c r="CF18" s="90"/>
      <c r="CG18" s="87"/>
      <c r="CH18" s="88"/>
      <c r="CI18" s="88"/>
      <c r="CJ18" s="88"/>
      <c r="CK18" s="89"/>
      <c r="CL18" s="90"/>
      <c r="CM18" s="87"/>
      <c r="CN18" s="88"/>
      <c r="CO18" s="88"/>
      <c r="CP18" s="88"/>
      <c r="CQ18" s="89"/>
      <c r="CR18" s="90"/>
      <c r="CS18" s="87" t="s">
        <v>175</v>
      </c>
      <c r="CT18" s="88">
        <f>'BTC Yield Fund'!AJ12</f>
        <v>2.123701639</v>
      </c>
      <c r="CU18" s="88">
        <f>CT18</f>
        <v>2.123701639</v>
      </c>
      <c r="CV18" s="88">
        <f>CT18</f>
        <v>2.123701639</v>
      </c>
      <c r="CW18" s="89">
        <f>CT18</f>
        <v>2.123701639</v>
      </c>
      <c r="CX18" s="90"/>
      <c r="CY18" s="87"/>
      <c r="CZ18" s="88"/>
      <c r="DA18" s="88"/>
      <c r="DB18" s="88"/>
      <c r="DC18" s="89"/>
      <c r="DD18" s="90"/>
      <c r="DE18" s="87"/>
      <c r="DF18" s="88"/>
      <c r="DG18" s="88"/>
      <c r="DH18" s="88"/>
      <c r="DI18" s="89"/>
      <c r="DJ18" s="90"/>
      <c r="DK18" s="87"/>
      <c r="DL18" s="88"/>
      <c r="DM18" s="88"/>
      <c r="DN18" s="88"/>
      <c r="DO18" s="89"/>
      <c r="DP18" s="90"/>
      <c r="DQ18" s="87"/>
      <c r="DR18" s="88"/>
      <c r="DS18" s="88"/>
      <c r="DT18" s="88"/>
      <c r="DU18" s="89"/>
      <c r="DV18" s="90"/>
      <c r="DW18" s="87"/>
      <c r="DX18" s="88"/>
      <c r="DY18" s="88"/>
      <c r="DZ18" s="88"/>
      <c r="EA18" s="89"/>
      <c r="EB18" s="90"/>
      <c r="EC18" s="87"/>
      <c r="ED18" s="88"/>
      <c r="EE18" s="88"/>
      <c r="EF18" s="88"/>
      <c r="EG18" s="89"/>
      <c r="EH18" s="90"/>
      <c r="EI18" s="87"/>
      <c r="EJ18" s="88"/>
      <c r="EK18" s="88"/>
      <c r="EL18" s="88"/>
      <c r="EM18" s="89"/>
      <c r="EN18" s="90"/>
      <c r="EO18" s="87"/>
      <c r="EP18" s="88"/>
      <c r="EQ18" s="88"/>
      <c r="ER18" s="88"/>
      <c r="ES18" s="89"/>
    </row>
    <row r="19">
      <c r="A19" s="91" t="s">
        <v>176</v>
      </c>
      <c r="B19" s="92">
        <f t="shared" ref="B19:E19" si="13">B17/B14</f>
        <v>0.002923974837</v>
      </c>
      <c r="C19" s="92">
        <f t="shared" si="13"/>
        <v>0.006797257991</v>
      </c>
      <c r="D19" s="92">
        <f t="shared" si="13"/>
        <v>0.03452649778</v>
      </c>
      <c r="E19" s="93">
        <f t="shared" si="13"/>
        <v>0.05761387522</v>
      </c>
      <c r="G19" s="91" t="s">
        <v>176</v>
      </c>
      <c r="H19" s="92" t="str">
        <f t="shared" ref="H19:K19" si="14">H17/H14</f>
        <v>#DIV/0!</v>
      </c>
      <c r="I19" s="92">
        <f t="shared" si="14"/>
        <v>0.009344596423</v>
      </c>
      <c r="J19" s="92">
        <f t="shared" si="14"/>
        <v>0.03443328159</v>
      </c>
      <c r="K19" s="93" t="str">
        <f t="shared" si="14"/>
        <v>#DIV/0!</v>
      </c>
      <c r="M19" s="91" t="s">
        <v>176</v>
      </c>
      <c r="N19" s="92">
        <f t="shared" ref="N19:Q19" si="15">N17/N14</f>
        <v>0.003289725405</v>
      </c>
      <c r="O19" s="92">
        <f t="shared" si="15"/>
        <v>0.007649122418</v>
      </c>
      <c r="P19" s="92">
        <f t="shared" si="15"/>
        <v>0.05241800355</v>
      </c>
      <c r="Q19" s="93">
        <f t="shared" si="15"/>
        <v>0.06766415353</v>
      </c>
      <c r="S19" s="91" t="s">
        <v>176</v>
      </c>
      <c r="T19" s="92">
        <f t="shared" ref="T19:W19" si="16">T17/T14</f>
        <v>0.003655532365</v>
      </c>
      <c r="U19" s="92">
        <f t="shared" si="16"/>
        <v>0.00374461328</v>
      </c>
      <c r="V19" s="92">
        <f t="shared" si="16"/>
        <v>0.01310260434</v>
      </c>
      <c r="W19" s="93">
        <f t="shared" si="16"/>
        <v>0.03095726354</v>
      </c>
      <c r="Y19" s="91" t="s">
        <v>176</v>
      </c>
      <c r="Z19" s="92">
        <f t="shared" ref="Z19:AC19" si="17">Z17/Z14</f>
        <v>0.003269587241</v>
      </c>
      <c r="AA19" s="92">
        <f t="shared" si="17"/>
        <v>0.007426110458</v>
      </c>
      <c r="AB19" s="92">
        <f t="shared" si="17"/>
        <v>0.05189302306</v>
      </c>
      <c r="AC19" s="93">
        <f t="shared" si="17"/>
        <v>0.06265766913</v>
      </c>
      <c r="AD19" s="94"/>
      <c r="AE19" s="91" t="s">
        <v>176</v>
      </c>
      <c r="AF19" s="92">
        <f t="shared" ref="AF19:AI19" si="18">AF17/AF14</f>
        <v>0.003655532365</v>
      </c>
      <c r="AG19" s="92">
        <f t="shared" si="18"/>
        <v>0.003804320001</v>
      </c>
      <c r="AH19" s="92">
        <f t="shared" si="18"/>
        <v>-0.0005026859689</v>
      </c>
      <c r="AI19" s="93">
        <f t="shared" si="18"/>
        <v>-0.0005026859689</v>
      </c>
      <c r="AJ19" s="94"/>
      <c r="AK19" s="91" t="s">
        <v>176</v>
      </c>
      <c r="AL19" s="92">
        <f t="shared" ref="AL19:AO19" si="19">AL17/AL14</f>
        <v>0.003655532365</v>
      </c>
      <c r="AM19" s="92">
        <f t="shared" si="19"/>
        <v>0.003741338034</v>
      </c>
      <c r="AN19" s="92">
        <f t="shared" si="19"/>
        <v>-0.0005653977004</v>
      </c>
      <c r="AO19" s="93">
        <f t="shared" si="19"/>
        <v>-0.0005653977004</v>
      </c>
      <c r="AP19" s="94"/>
      <c r="AQ19" s="91" t="s">
        <v>176</v>
      </c>
      <c r="AR19" s="92">
        <f t="shared" ref="AR19:AU19" si="20">AR17/AR14</f>
        <v>0.003655532365</v>
      </c>
      <c r="AS19" s="92">
        <f t="shared" si="20"/>
        <v>0.003570804166</v>
      </c>
      <c r="AT19" s="92">
        <f t="shared" si="20"/>
        <v>-0.0007351998609</v>
      </c>
      <c r="AU19" s="93">
        <f t="shared" si="20"/>
        <v>-0.0007351998609</v>
      </c>
      <c r="AV19" s="94"/>
      <c r="AW19" s="91"/>
      <c r="AX19" s="92"/>
      <c r="AY19" s="92"/>
      <c r="AZ19" s="92"/>
      <c r="BA19" s="93"/>
      <c r="BB19" s="94"/>
      <c r="BC19" s="91"/>
      <c r="BD19" s="92"/>
      <c r="BE19" s="92"/>
      <c r="BF19" s="92"/>
      <c r="BG19" s="93"/>
      <c r="BH19" s="94"/>
      <c r="BI19" s="91" t="s">
        <v>176</v>
      </c>
      <c r="BJ19" s="92">
        <f t="shared" ref="BJ19:BM19" si="21">BJ17/BJ14</f>
        <v>0.003019049772</v>
      </c>
      <c r="BK19" s="92">
        <f t="shared" si="21"/>
        <v>0.009687845955</v>
      </c>
      <c r="BL19" s="92">
        <f t="shared" si="21"/>
        <v>0.01036421535</v>
      </c>
      <c r="BM19" s="93">
        <f t="shared" si="21"/>
        <v>0.01036421535</v>
      </c>
      <c r="BN19" s="94"/>
      <c r="BO19" s="91"/>
      <c r="BP19" s="92"/>
      <c r="BQ19" s="92"/>
      <c r="BR19" s="92"/>
      <c r="BS19" s="93"/>
      <c r="BT19" s="94"/>
      <c r="BU19" s="91"/>
      <c r="BV19" s="92"/>
      <c r="BW19" s="92"/>
      <c r="BX19" s="92"/>
      <c r="BY19" s="93"/>
      <c r="BZ19" s="94"/>
      <c r="CA19" s="91"/>
      <c r="CB19" s="92"/>
      <c r="CC19" s="92"/>
      <c r="CD19" s="92"/>
      <c r="CE19" s="93"/>
      <c r="CF19" s="94"/>
      <c r="CG19" s="91"/>
      <c r="CH19" s="92"/>
      <c r="CI19" s="92"/>
      <c r="CJ19" s="92"/>
      <c r="CK19" s="93"/>
      <c r="CL19" s="94"/>
      <c r="CM19" s="91"/>
      <c r="CN19" s="92"/>
      <c r="CO19" s="92"/>
      <c r="CP19" s="92"/>
      <c r="CQ19" s="93"/>
      <c r="CR19" s="94"/>
      <c r="CS19" s="91" t="s">
        <v>176</v>
      </c>
      <c r="CT19" s="92">
        <f t="shared" ref="CT19:CW19" si="22">CT17/CT14</f>
        <v>0.003289725405</v>
      </c>
      <c r="CU19" s="92">
        <f t="shared" si="22"/>
        <v>0.003941467949</v>
      </c>
      <c r="CV19" s="92">
        <f t="shared" si="22"/>
        <v>0.003941467949</v>
      </c>
      <c r="CW19" s="93">
        <f t="shared" si="22"/>
        <v>0.003941467949</v>
      </c>
      <c r="CX19" s="94"/>
      <c r="CY19" s="91"/>
      <c r="CZ19" s="92"/>
      <c r="DA19" s="92"/>
      <c r="DB19" s="92"/>
      <c r="DC19" s="93"/>
      <c r="DD19" s="94"/>
      <c r="DE19" s="91"/>
      <c r="DF19" s="92"/>
      <c r="DG19" s="92"/>
      <c r="DH19" s="92"/>
      <c r="DI19" s="93"/>
      <c r="DJ19" s="94"/>
      <c r="DK19" s="91"/>
      <c r="DL19" s="92"/>
      <c r="DM19" s="92"/>
      <c r="DN19" s="92"/>
      <c r="DO19" s="93"/>
      <c r="DP19" s="94"/>
      <c r="DQ19" s="91"/>
      <c r="DR19" s="92"/>
      <c r="DS19" s="92"/>
      <c r="DT19" s="92"/>
      <c r="DU19" s="93"/>
      <c r="DV19" s="94"/>
      <c r="DW19" s="91"/>
      <c r="DX19" s="92"/>
      <c r="DY19" s="92"/>
      <c r="DZ19" s="92"/>
      <c r="EA19" s="93"/>
      <c r="EB19" s="94"/>
      <c r="EC19" s="91"/>
      <c r="ED19" s="92"/>
      <c r="EE19" s="92"/>
      <c r="EF19" s="92"/>
      <c r="EG19" s="93"/>
      <c r="EH19" s="94"/>
      <c r="EI19" s="91"/>
      <c r="EJ19" s="92"/>
      <c r="EK19" s="92"/>
      <c r="EL19" s="92"/>
      <c r="EM19" s="93"/>
      <c r="EN19" s="94"/>
      <c r="EO19" s="91"/>
      <c r="EP19" s="92"/>
      <c r="EQ19" s="92"/>
      <c r="ER19" s="92"/>
      <c r="ES19" s="93"/>
    </row>
    <row r="20">
      <c r="BC20" s="70" t="s">
        <v>160</v>
      </c>
    </row>
    <row r="21">
      <c r="A21" s="71" t="s">
        <v>161</v>
      </c>
      <c r="B21" s="72"/>
      <c r="C21" s="72"/>
      <c r="D21" s="72"/>
      <c r="E21" s="73"/>
      <c r="M21" s="74"/>
      <c r="N21" s="74"/>
      <c r="O21" s="74"/>
      <c r="P21" s="74"/>
      <c r="Q21" s="74"/>
      <c r="S21" s="74"/>
      <c r="T21" s="74"/>
      <c r="U21" s="74"/>
      <c r="V21" s="74"/>
      <c r="W21" s="74"/>
      <c r="Y21" s="74"/>
      <c r="Z21" s="74"/>
      <c r="AA21" s="74"/>
      <c r="AB21" s="74"/>
      <c r="AC21" s="74"/>
      <c r="AD21" s="74"/>
      <c r="AE21" s="71" t="s">
        <v>177</v>
      </c>
      <c r="AF21" s="72"/>
      <c r="AG21" s="72"/>
      <c r="AH21" s="72"/>
      <c r="AI21" s="73"/>
      <c r="AJ21" s="74"/>
      <c r="AK21" s="71" t="s">
        <v>177</v>
      </c>
      <c r="AL21" s="72"/>
      <c r="AM21" s="72"/>
      <c r="AN21" s="72"/>
      <c r="AO21" s="73"/>
      <c r="AP21" s="74"/>
      <c r="AQ21" s="71"/>
      <c r="AR21" s="72"/>
      <c r="AS21" s="72"/>
      <c r="AT21" s="72"/>
      <c r="AU21" s="73"/>
      <c r="AV21" s="74"/>
      <c r="AW21" s="71" t="s">
        <v>178</v>
      </c>
      <c r="AX21" s="72"/>
      <c r="AY21" s="72"/>
      <c r="AZ21" s="72"/>
      <c r="BA21" s="73"/>
      <c r="BB21" s="74"/>
      <c r="BC21" s="71" t="s">
        <v>178</v>
      </c>
      <c r="BD21" s="72"/>
      <c r="BE21" s="72"/>
      <c r="BF21" s="72"/>
      <c r="BG21" s="73"/>
      <c r="BH21" s="74"/>
      <c r="BI21" s="71"/>
      <c r="BJ21" s="72"/>
      <c r="BK21" s="72"/>
      <c r="BL21" s="72"/>
      <c r="BM21" s="73"/>
      <c r="BN21" s="74"/>
      <c r="BO21" s="71"/>
      <c r="BP21" s="72"/>
      <c r="BQ21" s="72"/>
      <c r="BR21" s="72"/>
      <c r="BS21" s="73"/>
      <c r="BT21" s="74"/>
      <c r="BU21" s="71"/>
      <c r="BV21" s="72"/>
      <c r="BW21" s="72"/>
      <c r="BX21" s="72"/>
      <c r="BY21" s="73"/>
      <c r="BZ21" s="74"/>
      <c r="CA21" s="71"/>
      <c r="CB21" s="72"/>
      <c r="CC21" s="72"/>
      <c r="CD21" s="72"/>
      <c r="CE21" s="73"/>
      <c r="CF21" s="74"/>
      <c r="CG21" s="71"/>
      <c r="CH21" s="72"/>
      <c r="CI21" s="72"/>
      <c r="CJ21" s="72"/>
      <c r="CK21" s="73"/>
      <c r="CL21" s="74"/>
      <c r="CM21" s="71"/>
      <c r="CN21" s="72"/>
      <c r="CO21" s="72"/>
      <c r="CP21" s="72"/>
      <c r="CQ21" s="73"/>
      <c r="CR21" s="74"/>
      <c r="CS21" s="71"/>
      <c r="CT21" s="72"/>
      <c r="CU21" s="72"/>
      <c r="CV21" s="72"/>
      <c r="CW21" s="73"/>
      <c r="CX21" s="74"/>
      <c r="CY21" s="71"/>
      <c r="CZ21" s="72"/>
      <c r="DA21" s="72"/>
      <c r="DB21" s="72"/>
      <c r="DC21" s="73"/>
      <c r="DD21" s="74"/>
      <c r="DE21" s="71"/>
      <c r="DF21" s="72"/>
      <c r="DG21" s="72"/>
      <c r="DH21" s="72"/>
      <c r="DI21" s="73"/>
      <c r="DJ21" s="74"/>
      <c r="DK21" s="71"/>
      <c r="DL21" s="72"/>
      <c r="DM21" s="72"/>
      <c r="DN21" s="72"/>
      <c r="DO21" s="73"/>
      <c r="DP21" s="74"/>
      <c r="DQ21" s="71"/>
      <c r="DR21" s="72"/>
      <c r="DS21" s="72"/>
      <c r="DT21" s="72"/>
      <c r="DU21" s="73"/>
      <c r="DV21" s="74"/>
      <c r="DW21" s="71" t="s">
        <v>179</v>
      </c>
      <c r="DX21" s="72"/>
      <c r="DY21" s="72"/>
      <c r="DZ21" s="72"/>
      <c r="EA21" s="73"/>
      <c r="EB21" s="74"/>
      <c r="EC21" s="71" t="s">
        <v>179</v>
      </c>
      <c r="ED21" s="72"/>
      <c r="EE21" s="72"/>
      <c r="EF21" s="72"/>
      <c r="EG21" s="73"/>
      <c r="EH21" s="74"/>
      <c r="EI21" s="71"/>
      <c r="EJ21" s="72"/>
      <c r="EK21" s="72"/>
      <c r="EL21" s="72"/>
      <c r="EM21" s="73"/>
      <c r="EN21" s="74"/>
      <c r="EO21" s="71" t="s">
        <v>179</v>
      </c>
      <c r="EP21" s="72"/>
      <c r="EQ21" s="72"/>
      <c r="ER21" s="72"/>
      <c r="ES21" s="73"/>
    </row>
    <row r="22">
      <c r="A22" s="95"/>
      <c r="B22" s="96" t="s">
        <v>180</v>
      </c>
      <c r="C22" s="96" t="s">
        <v>181</v>
      </c>
      <c r="D22" s="96" t="s">
        <v>182</v>
      </c>
      <c r="E22" s="97" t="s">
        <v>183</v>
      </c>
      <c r="N22" s="78"/>
      <c r="O22" s="78"/>
      <c r="P22" s="78"/>
      <c r="Q22" s="78"/>
      <c r="T22" s="78"/>
      <c r="U22" s="78"/>
      <c r="V22" s="78"/>
      <c r="W22" s="78"/>
      <c r="Z22" s="78"/>
      <c r="AA22" s="78"/>
      <c r="AB22" s="78"/>
      <c r="AC22" s="78"/>
      <c r="AD22" s="78"/>
      <c r="AE22" s="95"/>
      <c r="AF22" s="96" t="s">
        <v>180</v>
      </c>
      <c r="AG22" s="96" t="s">
        <v>181</v>
      </c>
      <c r="AH22" s="96" t="s">
        <v>182</v>
      </c>
      <c r="AI22" s="97" t="s">
        <v>183</v>
      </c>
      <c r="AJ22" s="78"/>
      <c r="AK22" s="95"/>
      <c r="AL22" s="96" t="s">
        <v>180</v>
      </c>
      <c r="AM22" s="96" t="s">
        <v>181</v>
      </c>
      <c r="AN22" s="96" t="s">
        <v>182</v>
      </c>
      <c r="AO22" s="97" t="s">
        <v>183</v>
      </c>
      <c r="AP22" s="78"/>
      <c r="AQ22" s="95"/>
      <c r="AR22" s="96"/>
      <c r="AS22" s="96"/>
      <c r="AT22" s="96"/>
      <c r="AU22" s="97"/>
      <c r="AV22" s="78"/>
      <c r="AW22" s="95"/>
      <c r="AX22" s="96" t="s">
        <v>180</v>
      </c>
      <c r="AY22" s="96" t="s">
        <v>181</v>
      </c>
      <c r="AZ22" s="96" t="s">
        <v>182</v>
      </c>
      <c r="BA22" s="97" t="s">
        <v>183</v>
      </c>
      <c r="BB22" s="78"/>
      <c r="BC22" s="95"/>
      <c r="BD22" s="96" t="s">
        <v>180</v>
      </c>
      <c r="BE22" s="96" t="s">
        <v>181</v>
      </c>
      <c r="BF22" s="96" t="s">
        <v>182</v>
      </c>
      <c r="BG22" s="97" t="s">
        <v>183</v>
      </c>
      <c r="BH22" s="78"/>
      <c r="BI22" s="95"/>
      <c r="BJ22" s="96"/>
      <c r="BK22" s="96"/>
      <c r="BL22" s="96"/>
      <c r="BM22" s="97"/>
      <c r="BN22" s="78"/>
      <c r="BO22" s="95"/>
      <c r="BP22" s="96"/>
      <c r="BQ22" s="96"/>
      <c r="BR22" s="96"/>
      <c r="BS22" s="97"/>
      <c r="BT22" s="78"/>
      <c r="BU22" s="95"/>
      <c r="BV22" s="96"/>
      <c r="BW22" s="96"/>
      <c r="BX22" s="96"/>
      <c r="BY22" s="97"/>
      <c r="BZ22" s="78"/>
      <c r="CA22" s="95"/>
      <c r="CB22" s="96"/>
      <c r="CC22" s="96"/>
      <c r="CD22" s="96"/>
      <c r="CE22" s="97"/>
      <c r="CF22" s="78"/>
      <c r="CG22" s="95"/>
      <c r="CH22" s="96"/>
      <c r="CI22" s="96"/>
      <c r="CJ22" s="96"/>
      <c r="CK22" s="97"/>
      <c r="CL22" s="78"/>
      <c r="CM22" s="95"/>
      <c r="CN22" s="96"/>
      <c r="CO22" s="96"/>
      <c r="CP22" s="96"/>
      <c r="CQ22" s="97"/>
      <c r="CR22" s="78"/>
      <c r="CS22" s="95"/>
      <c r="CT22" s="96"/>
      <c r="CU22" s="96"/>
      <c r="CV22" s="96"/>
      <c r="CW22" s="97"/>
      <c r="CX22" s="78"/>
      <c r="CY22" s="95"/>
      <c r="CZ22" s="96"/>
      <c r="DA22" s="96"/>
      <c r="DB22" s="96"/>
      <c r="DC22" s="97"/>
      <c r="DD22" s="78"/>
      <c r="DE22" s="95"/>
      <c r="DF22" s="96"/>
      <c r="DG22" s="96"/>
      <c r="DH22" s="96"/>
      <c r="DI22" s="97"/>
      <c r="DJ22" s="78"/>
      <c r="DK22" s="95"/>
      <c r="DL22" s="96"/>
      <c r="DM22" s="96"/>
      <c r="DN22" s="96"/>
      <c r="DO22" s="97"/>
      <c r="DP22" s="78"/>
      <c r="DQ22" s="95"/>
      <c r="DR22" s="96"/>
      <c r="DS22" s="96"/>
      <c r="DT22" s="96"/>
      <c r="DU22" s="97"/>
      <c r="DV22" s="78"/>
      <c r="DW22" s="95"/>
      <c r="DX22" s="96" t="s">
        <v>180</v>
      </c>
      <c r="DY22" s="96" t="s">
        <v>181</v>
      </c>
      <c r="DZ22" s="96" t="s">
        <v>182</v>
      </c>
      <c r="EA22" s="97" t="s">
        <v>183</v>
      </c>
      <c r="EB22" s="78"/>
      <c r="EC22" s="95"/>
      <c r="ED22" s="96" t="s">
        <v>180</v>
      </c>
      <c r="EE22" s="96" t="s">
        <v>181</v>
      </c>
      <c r="EF22" s="96" t="s">
        <v>182</v>
      </c>
      <c r="EG22" s="97" t="s">
        <v>183</v>
      </c>
      <c r="EH22" s="78"/>
      <c r="EI22" s="95"/>
      <c r="EJ22" s="96"/>
      <c r="EK22" s="96"/>
      <c r="EL22" s="96"/>
      <c r="EM22" s="97"/>
      <c r="EN22" s="78"/>
      <c r="EO22" s="95"/>
      <c r="EP22" s="96" t="s">
        <v>180</v>
      </c>
      <c r="EQ22" s="96" t="s">
        <v>181</v>
      </c>
      <c r="ER22" s="96" t="s">
        <v>182</v>
      </c>
      <c r="ES22" s="97" t="s">
        <v>183</v>
      </c>
    </row>
    <row r="23">
      <c r="A23" s="79" t="s">
        <v>171</v>
      </c>
      <c r="B23" s="80">
        <f>'ETH Yield Fund'!Q6</f>
        <v>62.85738761</v>
      </c>
      <c r="C23" s="80">
        <f>'Done - ETH TAC Program'!W3</f>
        <v>65.12113276</v>
      </c>
      <c r="D23" s="80">
        <f>'Done - ETH TAC Program'!Q3</f>
        <v>63.20573007</v>
      </c>
      <c r="E23" s="81">
        <f>'Done - ETH TAC Program'!K3</f>
        <v>62.116</v>
      </c>
      <c r="M23" s="7"/>
      <c r="N23" s="82"/>
      <c r="O23" s="82"/>
      <c r="P23" s="82"/>
      <c r="Q23" s="82"/>
      <c r="S23" s="7"/>
      <c r="T23" s="82"/>
      <c r="U23" s="82"/>
      <c r="V23" s="82"/>
      <c r="W23" s="82"/>
      <c r="Y23" s="7"/>
      <c r="Z23" s="82"/>
      <c r="AA23" s="82"/>
      <c r="AB23" s="82"/>
      <c r="AC23" s="82"/>
      <c r="AD23" s="82"/>
      <c r="AE23" s="79" t="s">
        <v>171</v>
      </c>
      <c r="AF23" s="80">
        <f>'ETH Yield Fund'!Q5</f>
        <v>31.92484865</v>
      </c>
      <c r="AG23" s="80">
        <f>'Done - ETH TAC Program'!W4+'ETH Yield Fund'!N5</f>
        <v>32.81370747</v>
      </c>
      <c r="AH23" s="80">
        <f>'Done - ETH TAC Program'!Q4</f>
        <v>17.08253455</v>
      </c>
      <c r="AI23" s="81">
        <f>'Done - ETH TAC Program'!M4</f>
        <v>17</v>
      </c>
      <c r="AJ23" s="82"/>
      <c r="AK23" s="79" t="s">
        <v>171</v>
      </c>
      <c r="AL23" s="80">
        <f>'ETH Yield Fund'!Q7</f>
        <v>120.3391856</v>
      </c>
      <c r="AM23" s="80">
        <f>'Done - ETH TAC Program'!W5</f>
        <v>124.5584613</v>
      </c>
      <c r="AN23" s="80">
        <f>'Done - ETH TAC Program'!Q5</f>
        <v>120</v>
      </c>
      <c r="AO23" s="81">
        <f>'Done - ETH TAC Program'!N5</f>
        <v>120</v>
      </c>
      <c r="AP23" s="82"/>
      <c r="AQ23" s="79"/>
      <c r="AR23" s="80"/>
      <c r="AS23" s="80"/>
      <c r="AT23" s="80"/>
      <c r="AU23" s="81"/>
      <c r="AV23" s="82"/>
      <c r="AW23" s="79" t="s">
        <v>171</v>
      </c>
      <c r="AX23" s="80">
        <f>'ETH Yield Fund'!Q3</f>
        <v>60.14389192</v>
      </c>
      <c r="AY23" s="80">
        <f>'ETH Yield Fund'!N3</f>
        <v>59.66557999</v>
      </c>
      <c r="AZ23" s="80">
        <f>'ETH Yield Fund'!L3</f>
        <v>27.01</v>
      </c>
      <c r="BA23" s="81">
        <f>'ETH Yield Fund'!L3</f>
        <v>27.01</v>
      </c>
      <c r="BB23" s="82"/>
      <c r="BC23" s="79" t="s">
        <v>171</v>
      </c>
      <c r="BD23" s="80">
        <f>'ETH Yield Fund'!Q4</f>
        <v>0</v>
      </c>
      <c r="BE23" s="80">
        <f>'ETH Yield Fund'!N4</f>
        <v>176.6018357</v>
      </c>
      <c r="BF23" s="80">
        <f>'ETH Yield Fund'!L4</f>
        <v>175</v>
      </c>
      <c r="BG23" s="81">
        <f>'ETH Yield Fund'!L4</f>
        <v>175</v>
      </c>
      <c r="BH23" s="82"/>
      <c r="BI23" s="79"/>
      <c r="BJ23" s="80"/>
      <c r="BK23" s="80"/>
      <c r="BL23" s="80"/>
      <c r="BM23" s="81"/>
      <c r="BN23" s="82"/>
      <c r="BO23" s="79"/>
      <c r="BP23" s="80"/>
      <c r="BQ23" s="80"/>
      <c r="BR23" s="80"/>
      <c r="BS23" s="81"/>
      <c r="BT23" s="82"/>
      <c r="BU23" s="79"/>
      <c r="BV23" s="80"/>
      <c r="BW23" s="80"/>
      <c r="BX23" s="80"/>
      <c r="BY23" s="81"/>
      <c r="BZ23" s="82"/>
      <c r="CA23" s="79"/>
      <c r="CB23" s="80"/>
      <c r="CC23" s="80"/>
      <c r="CD23" s="80"/>
      <c r="CE23" s="81"/>
      <c r="CF23" s="82"/>
      <c r="CG23" s="79"/>
      <c r="CH23" s="80"/>
      <c r="CI23" s="80"/>
      <c r="CJ23" s="80"/>
      <c r="CK23" s="81"/>
      <c r="CL23" s="82"/>
      <c r="CM23" s="79"/>
      <c r="CN23" s="80"/>
      <c r="CO23" s="80"/>
      <c r="CP23" s="80"/>
      <c r="CQ23" s="81"/>
      <c r="CR23" s="82"/>
      <c r="CS23" s="79"/>
      <c r="CT23" s="80"/>
      <c r="CU23" s="80"/>
      <c r="CV23" s="80"/>
      <c r="CW23" s="81"/>
      <c r="CX23" s="82"/>
      <c r="CY23" s="79"/>
      <c r="CZ23" s="80"/>
      <c r="DA23" s="80"/>
      <c r="DB23" s="80"/>
      <c r="DC23" s="81"/>
      <c r="DD23" s="82"/>
      <c r="DE23" s="79"/>
      <c r="DF23" s="80"/>
      <c r="DG23" s="80"/>
      <c r="DH23" s="80"/>
      <c r="DI23" s="81"/>
      <c r="DJ23" s="82"/>
      <c r="DK23" s="79"/>
      <c r="DL23" s="80"/>
      <c r="DM23" s="80"/>
      <c r="DN23" s="80"/>
      <c r="DO23" s="81"/>
      <c r="DP23" s="82"/>
      <c r="DQ23" s="79"/>
      <c r="DR23" s="80"/>
      <c r="DS23" s="80"/>
      <c r="DT23" s="80"/>
      <c r="DU23" s="81"/>
      <c r="DV23" s="82"/>
      <c r="DW23" s="79" t="s">
        <v>171</v>
      </c>
      <c r="DX23" s="80">
        <f>'ETH Yield Fund'!Q8</f>
        <v>32</v>
      </c>
      <c r="DY23" s="80">
        <f>'ETH Yield Fund'!P8</f>
        <v>32</v>
      </c>
      <c r="DZ23" s="80">
        <f>'ETH Yield Fund'!P8</f>
        <v>32</v>
      </c>
      <c r="EA23" s="81">
        <f>'ETH Yield Fund'!P8</f>
        <v>32</v>
      </c>
      <c r="EB23" s="82"/>
      <c r="EC23" s="79" t="s">
        <v>171</v>
      </c>
      <c r="ED23" s="80">
        <f>'ETH Yield Fund'!Q9</f>
        <v>0</v>
      </c>
      <c r="EE23" s="80">
        <f>'ETH Yield Fund'!Q9</f>
        <v>0</v>
      </c>
      <c r="EF23" s="80">
        <f>'ETH Yield Fund'!Q9</f>
        <v>0</v>
      </c>
      <c r="EG23" s="81">
        <f>'ETH Yield Fund'!Q9</f>
        <v>0</v>
      </c>
      <c r="EH23" s="82"/>
      <c r="EI23" s="79"/>
      <c r="EJ23" s="80"/>
      <c r="EK23" s="80"/>
      <c r="EL23" s="80"/>
      <c r="EM23" s="81"/>
      <c r="EN23" s="82"/>
      <c r="EO23" s="79" t="s">
        <v>171</v>
      </c>
      <c r="EP23" s="80" t="str">
        <f>'ETH Yield Fund'!AC9</f>
        <v/>
      </c>
      <c r="EQ23" s="80" t="str">
        <f>'ETH Yield Fund'!AC9</f>
        <v/>
      </c>
      <c r="ER23" s="80" t="str">
        <f>'ETH Yield Fund'!AC9</f>
        <v/>
      </c>
      <c r="ES23" s="81" t="str">
        <f>'ETH Yield Fund'!AC9</f>
        <v/>
      </c>
    </row>
    <row r="24">
      <c r="A24" s="83" t="s">
        <v>172</v>
      </c>
      <c r="B24" s="84">
        <v>0.0</v>
      </c>
      <c r="C24" s="84">
        <v>0.0</v>
      </c>
      <c r="D24" s="84">
        <v>0.0</v>
      </c>
      <c r="E24" s="85">
        <v>0.0</v>
      </c>
      <c r="M24" s="46"/>
      <c r="N24" s="82"/>
      <c r="O24" s="82"/>
      <c r="P24" s="82"/>
      <c r="Q24" s="82"/>
      <c r="S24" s="46"/>
      <c r="T24" s="82"/>
      <c r="U24" s="82"/>
      <c r="V24" s="82"/>
      <c r="W24" s="82"/>
      <c r="Y24" s="46"/>
      <c r="Z24" s="82"/>
      <c r="AA24" s="82"/>
      <c r="AB24" s="82"/>
      <c r="AC24" s="82"/>
      <c r="AD24" s="82"/>
      <c r="AE24" s="83" t="s">
        <v>172</v>
      </c>
      <c r="AF24" s="84">
        <v>0.0</v>
      </c>
      <c r="AG24" s="84">
        <v>0.0</v>
      </c>
      <c r="AH24" s="84">
        <f>4.608+5.226+3.0466+2</f>
        <v>14.8806</v>
      </c>
      <c r="AI24" s="85">
        <v>14.8806</v>
      </c>
      <c r="AJ24" s="82"/>
      <c r="AK24" s="83" t="s">
        <v>172</v>
      </c>
      <c r="AL24" s="84">
        <v>0.0</v>
      </c>
      <c r="AM24" s="84">
        <v>0.0</v>
      </c>
      <c r="AN24" s="84">
        <v>0.0</v>
      </c>
      <c r="AO24" s="85">
        <v>0.0</v>
      </c>
      <c r="AP24" s="82"/>
      <c r="AQ24" s="83"/>
      <c r="AR24" s="84"/>
      <c r="AS24" s="84"/>
      <c r="AT24" s="84"/>
      <c r="AU24" s="85"/>
      <c r="AV24" s="82"/>
      <c r="AW24" s="83" t="s">
        <v>172</v>
      </c>
      <c r="AX24" s="84">
        <v>0.0</v>
      </c>
      <c r="AY24" s="84">
        <v>0.0</v>
      </c>
      <c r="AZ24" s="84">
        <v>32.25</v>
      </c>
      <c r="BA24" s="85">
        <v>32.25</v>
      </c>
      <c r="BB24" s="82"/>
      <c r="BC24" s="83" t="s">
        <v>172</v>
      </c>
      <c r="BD24" s="84">
        <v>0.0</v>
      </c>
      <c r="BE24" s="84">
        <v>0.0</v>
      </c>
      <c r="BF24" s="84">
        <v>0.0</v>
      </c>
      <c r="BG24" s="85">
        <v>0.0</v>
      </c>
      <c r="BH24" s="82"/>
      <c r="BI24" s="83"/>
      <c r="BJ24" s="84"/>
      <c r="BK24" s="84"/>
      <c r="BL24" s="84"/>
      <c r="BM24" s="85"/>
      <c r="BN24" s="82"/>
      <c r="BO24" s="83"/>
      <c r="BP24" s="84"/>
      <c r="BQ24" s="84"/>
      <c r="BR24" s="84"/>
      <c r="BS24" s="85"/>
      <c r="BT24" s="82"/>
      <c r="BU24" s="83"/>
      <c r="BV24" s="84"/>
      <c r="BW24" s="84"/>
      <c r="BX24" s="84"/>
      <c r="BY24" s="85"/>
      <c r="BZ24" s="82"/>
      <c r="CA24" s="83"/>
      <c r="CB24" s="84"/>
      <c r="CC24" s="84"/>
      <c r="CD24" s="84"/>
      <c r="CE24" s="85"/>
      <c r="CF24" s="82"/>
      <c r="CG24" s="83"/>
      <c r="CH24" s="84"/>
      <c r="CI24" s="84"/>
      <c r="CJ24" s="84"/>
      <c r="CK24" s="85"/>
      <c r="CL24" s="82"/>
      <c r="CM24" s="83"/>
      <c r="CN24" s="84"/>
      <c r="CO24" s="84"/>
      <c r="CP24" s="84"/>
      <c r="CQ24" s="85"/>
      <c r="CR24" s="82"/>
      <c r="CS24" s="83"/>
      <c r="CT24" s="84"/>
      <c r="CU24" s="84"/>
      <c r="CV24" s="84"/>
      <c r="CW24" s="85"/>
      <c r="CX24" s="82"/>
      <c r="CY24" s="83"/>
      <c r="CZ24" s="84"/>
      <c r="DA24" s="84"/>
      <c r="DB24" s="84"/>
      <c r="DC24" s="85"/>
      <c r="DD24" s="82"/>
      <c r="DE24" s="83"/>
      <c r="DF24" s="84"/>
      <c r="DG24" s="84"/>
      <c r="DH24" s="84"/>
      <c r="DI24" s="85"/>
      <c r="DJ24" s="82"/>
      <c r="DK24" s="83"/>
      <c r="DL24" s="84"/>
      <c r="DM24" s="84"/>
      <c r="DN24" s="84"/>
      <c r="DO24" s="85"/>
      <c r="DP24" s="82"/>
      <c r="DQ24" s="83"/>
      <c r="DR24" s="84"/>
      <c r="DS24" s="84"/>
      <c r="DT24" s="84"/>
      <c r="DU24" s="85"/>
      <c r="DV24" s="82"/>
      <c r="DW24" s="83" t="s">
        <v>172</v>
      </c>
      <c r="DX24" s="84">
        <v>0.0</v>
      </c>
      <c r="DY24" s="84">
        <v>0.0</v>
      </c>
      <c r="DZ24" s="84">
        <v>0.0</v>
      </c>
      <c r="EA24" s="85">
        <v>0.0</v>
      </c>
      <c r="EB24" s="82"/>
      <c r="EC24" s="83" t="s">
        <v>172</v>
      </c>
      <c r="ED24" s="84">
        <v>0.0</v>
      </c>
      <c r="EE24" s="84">
        <v>0.0</v>
      </c>
      <c r="EF24" s="84">
        <v>0.0</v>
      </c>
      <c r="EG24" s="85">
        <v>0.0</v>
      </c>
      <c r="EH24" s="82"/>
      <c r="EI24" s="83"/>
      <c r="EJ24" s="84"/>
      <c r="EK24" s="84"/>
      <c r="EL24" s="84"/>
      <c r="EM24" s="85"/>
      <c r="EN24" s="82"/>
      <c r="EO24" s="83" t="s">
        <v>172</v>
      </c>
      <c r="EP24" s="84">
        <v>0.0</v>
      </c>
      <c r="EQ24" s="84">
        <v>0.0</v>
      </c>
      <c r="ER24" s="84">
        <v>0.0</v>
      </c>
      <c r="ES24" s="85">
        <v>0.0</v>
      </c>
    </row>
    <row r="25">
      <c r="A25" s="83" t="s">
        <v>173</v>
      </c>
      <c r="B25" s="84">
        <v>0.0</v>
      </c>
      <c r="C25" s="84">
        <v>0.0</v>
      </c>
      <c r="D25" s="84">
        <v>0.0</v>
      </c>
      <c r="E25" s="85">
        <v>0.0</v>
      </c>
      <c r="M25" s="46"/>
      <c r="N25" s="82"/>
      <c r="O25" s="82"/>
      <c r="P25" s="82"/>
      <c r="Q25" s="82"/>
      <c r="S25" s="46"/>
      <c r="T25" s="82"/>
      <c r="U25" s="82"/>
      <c r="V25" s="82"/>
      <c r="W25" s="82"/>
      <c r="Y25" s="46"/>
      <c r="Z25" s="82"/>
      <c r="AA25" s="82"/>
      <c r="AB25" s="82"/>
      <c r="AC25" s="82"/>
      <c r="AD25" s="82"/>
      <c r="AE25" s="83" t="s">
        <v>173</v>
      </c>
      <c r="AF25" s="84">
        <v>0.0</v>
      </c>
      <c r="AG25" s="84">
        <v>0.0</v>
      </c>
      <c r="AH25" s="84">
        <v>0.0</v>
      </c>
      <c r="AI25" s="85">
        <v>0.0</v>
      </c>
      <c r="AJ25" s="82"/>
      <c r="AK25" s="83" t="s">
        <v>173</v>
      </c>
      <c r="AL25" s="84">
        <v>0.0</v>
      </c>
      <c r="AM25" s="84">
        <v>0.0</v>
      </c>
      <c r="AN25" s="84">
        <v>0.0</v>
      </c>
      <c r="AO25" s="85">
        <v>0.0</v>
      </c>
      <c r="AP25" s="82"/>
      <c r="AQ25" s="83"/>
      <c r="AR25" s="84"/>
      <c r="AS25" s="84"/>
      <c r="AT25" s="84"/>
      <c r="AU25" s="85"/>
      <c r="AV25" s="82"/>
      <c r="AW25" s="83" t="s">
        <v>173</v>
      </c>
      <c r="AX25" s="84">
        <v>0.0</v>
      </c>
      <c r="AY25" s="84">
        <v>0.0</v>
      </c>
      <c r="AZ25" s="84">
        <v>0.0</v>
      </c>
      <c r="BA25" s="85">
        <v>0.0</v>
      </c>
      <c r="BB25" s="82"/>
      <c r="BC25" s="83" t="s">
        <v>173</v>
      </c>
      <c r="BD25" s="84">
        <v>0.0</v>
      </c>
      <c r="BE25" s="84">
        <v>0.0</v>
      </c>
      <c r="BF25" s="84">
        <v>0.0</v>
      </c>
      <c r="BG25" s="85">
        <v>0.0</v>
      </c>
      <c r="BH25" s="82"/>
      <c r="BI25" s="83"/>
      <c r="BJ25" s="84"/>
      <c r="BK25" s="84"/>
      <c r="BL25" s="84"/>
      <c r="BM25" s="85"/>
      <c r="BN25" s="82"/>
      <c r="BO25" s="83"/>
      <c r="BP25" s="84"/>
      <c r="BQ25" s="84"/>
      <c r="BR25" s="84"/>
      <c r="BS25" s="85"/>
      <c r="BT25" s="82"/>
      <c r="BU25" s="83"/>
      <c r="BV25" s="84"/>
      <c r="BW25" s="84"/>
      <c r="BX25" s="84"/>
      <c r="BY25" s="85"/>
      <c r="BZ25" s="82"/>
      <c r="CA25" s="83"/>
      <c r="CB25" s="84"/>
      <c r="CC25" s="84"/>
      <c r="CD25" s="84"/>
      <c r="CE25" s="85"/>
      <c r="CF25" s="82"/>
      <c r="CG25" s="83"/>
      <c r="CH25" s="84"/>
      <c r="CI25" s="84"/>
      <c r="CJ25" s="84"/>
      <c r="CK25" s="85"/>
      <c r="CL25" s="82"/>
      <c r="CM25" s="83"/>
      <c r="CN25" s="84"/>
      <c r="CO25" s="84"/>
      <c r="CP25" s="84"/>
      <c r="CQ25" s="85"/>
      <c r="CR25" s="82"/>
      <c r="CS25" s="83"/>
      <c r="CT25" s="84"/>
      <c r="CU25" s="84"/>
      <c r="CV25" s="84"/>
      <c r="CW25" s="85"/>
      <c r="CX25" s="82"/>
      <c r="CY25" s="83"/>
      <c r="CZ25" s="84"/>
      <c r="DA25" s="84"/>
      <c r="DB25" s="84"/>
      <c r="DC25" s="85"/>
      <c r="DD25" s="82"/>
      <c r="DE25" s="83"/>
      <c r="DF25" s="84"/>
      <c r="DG25" s="84"/>
      <c r="DH25" s="84"/>
      <c r="DI25" s="85"/>
      <c r="DJ25" s="82"/>
      <c r="DK25" s="83"/>
      <c r="DL25" s="84"/>
      <c r="DM25" s="84"/>
      <c r="DN25" s="84"/>
      <c r="DO25" s="85"/>
      <c r="DP25" s="82"/>
      <c r="DQ25" s="83"/>
      <c r="DR25" s="84"/>
      <c r="DS25" s="84"/>
      <c r="DT25" s="84"/>
      <c r="DU25" s="85"/>
      <c r="DV25" s="82"/>
      <c r="DW25" s="83" t="s">
        <v>173</v>
      </c>
      <c r="DX25" s="84">
        <v>0.0</v>
      </c>
      <c r="DY25" s="84">
        <v>0.0</v>
      </c>
      <c r="DZ25" s="84">
        <v>0.0</v>
      </c>
      <c r="EA25" s="85">
        <v>0.0</v>
      </c>
      <c r="EB25" s="82"/>
      <c r="EC25" s="83" t="s">
        <v>173</v>
      </c>
      <c r="ED25" s="84">
        <v>0.0</v>
      </c>
      <c r="EE25" s="84">
        <v>0.0</v>
      </c>
      <c r="EF25" s="84">
        <v>0.0</v>
      </c>
      <c r="EG25" s="85">
        <v>0.0</v>
      </c>
      <c r="EH25" s="82"/>
      <c r="EI25" s="83"/>
      <c r="EJ25" s="84"/>
      <c r="EK25" s="84"/>
      <c r="EL25" s="84"/>
      <c r="EM25" s="85"/>
      <c r="EN25" s="82"/>
      <c r="EO25" s="83" t="s">
        <v>173</v>
      </c>
      <c r="EP25" s="84">
        <v>0.0</v>
      </c>
      <c r="EQ25" s="84">
        <v>0.0</v>
      </c>
      <c r="ER25" s="84">
        <v>0.0</v>
      </c>
      <c r="ES25" s="85">
        <v>0.0</v>
      </c>
    </row>
    <row r="26">
      <c r="A26" s="83" t="s">
        <v>174</v>
      </c>
      <c r="B26" s="84">
        <f t="shared" ref="B26:E26" si="23">B27-B23</f>
        <v>0.4307853806</v>
      </c>
      <c r="C26" s="84">
        <f t="shared" si="23"/>
        <v>-1.832959773</v>
      </c>
      <c r="D26" s="84">
        <f t="shared" si="23"/>
        <v>0.08244292011</v>
      </c>
      <c r="E26" s="85">
        <f t="shared" si="23"/>
        <v>1.17217299</v>
      </c>
      <c r="M26" s="46"/>
      <c r="N26" s="86"/>
      <c r="O26" s="86"/>
      <c r="P26" s="86"/>
      <c r="Q26" s="86"/>
      <c r="S26" s="46"/>
      <c r="T26" s="86"/>
      <c r="U26" s="86"/>
      <c r="V26" s="86"/>
      <c r="W26" s="86"/>
      <c r="Y26" s="46"/>
      <c r="Z26" s="86"/>
      <c r="AA26" s="86"/>
      <c r="AB26" s="86"/>
      <c r="AC26" s="86"/>
      <c r="AD26" s="86"/>
      <c r="AE26" s="83" t="s">
        <v>174</v>
      </c>
      <c r="AF26" s="84">
        <f t="shared" ref="AF26:AH26" si="24">AF27-AF23-AF24</f>
        <v>0.2734912832</v>
      </c>
      <c r="AG26" s="84">
        <f t="shared" si="24"/>
        <v>-0.6153675427</v>
      </c>
      <c r="AH26" s="84">
        <f t="shared" si="24"/>
        <v>0.2352053844</v>
      </c>
      <c r="AI26" s="85">
        <f>AI27-AI23-AI24+AI25</f>
        <v>0.3177399294</v>
      </c>
      <c r="AJ26" s="86"/>
      <c r="AK26" s="83" t="s">
        <v>174</v>
      </c>
      <c r="AL26" s="84">
        <f t="shared" ref="AL26:AN26" si="25">AL27-AL23</f>
        <v>1.030912273</v>
      </c>
      <c r="AM26" s="84">
        <f t="shared" si="25"/>
        <v>-3.188363469</v>
      </c>
      <c r="AN26" s="84">
        <f t="shared" si="25"/>
        <v>1.370097845</v>
      </c>
      <c r="AO26" s="85">
        <f>AO27-AO23-AO24</f>
        <v>1.370097845</v>
      </c>
      <c r="AP26" s="86"/>
      <c r="AQ26" s="83"/>
      <c r="AR26" s="84"/>
      <c r="AS26" s="84"/>
      <c r="AT26" s="84"/>
      <c r="AU26" s="85"/>
      <c r="AV26" s="86"/>
      <c r="AW26" s="83" t="s">
        <v>174</v>
      </c>
      <c r="AX26" s="84">
        <f t="shared" ref="AX26:BA26" si="26">AX27-AX23-AX24</f>
        <v>0.4224934907</v>
      </c>
      <c r="AY26" s="84">
        <f t="shared" si="26"/>
        <v>0.9008054199</v>
      </c>
      <c r="AZ26" s="84">
        <f t="shared" si="26"/>
        <v>1.306385409</v>
      </c>
      <c r="BA26" s="85">
        <f t="shared" si="26"/>
        <v>1.306385409</v>
      </c>
      <c r="BB26" s="86"/>
      <c r="BC26" s="83" t="s">
        <v>174</v>
      </c>
      <c r="BD26" s="84">
        <f t="shared" ref="BD26:BF26" si="27">BD27-BD23</f>
        <v>178.3723848</v>
      </c>
      <c r="BE26" s="84">
        <f t="shared" si="27"/>
        <v>1.770549099</v>
      </c>
      <c r="BF26" s="84">
        <f t="shared" si="27"/>
        <v>3.372384777</v>
      </c>
      <c r="BG26" s="85">
        <f>BG27-BG23-BG24</f>
        <v>3.372384777</v>
      </c>
      <c r="BH26" s="86"/>
      <c r="BI26" s="83"/>
      <c r="BJ26" s="84"/>
      <c r="BK26" s="84"/>
      <c r="BL26" s="84"/>
      <c r="BM26" s="85"/>
      <c r="BN26" s="86"/>
      <c r="BO26" s="83"/>
      <c r="BP26" s="84"/>
      <c r="BQ26" s="84"/>
      <c r="BR26" s="84"/>
      <c r="BS26" s="85"/>
      <c r="BT26" s="86"/>
      <c r="BU26" s="83"/>
      <c r="BV26" s="84"/>
      <c r="BW26" s="84"/>
      <c r="BX26" s="84"/>
      <c r="BY26" s="85"/>
      <c r="BZ26" s="86"/>
      <c r="CA26" s="83"/>
      <c r="CB26" s="84"/>
      <c r="CC26" s="84"/>
      <c r="CD26" s="84"/>
      <c r="CE26" s="85"/>
      <c r="CF26" s="86"/>
      <c r="CG26" s="83"/>
      <c r="CH26" s="84"/>
      <c r="CI26" s="84"/>
      <c r="CJ26" s="84"/>
      <c r="CK26" s="85"/>
      <c r="CL26" s="86"/>
      <c r="CM26" s="83"/>
      <c r="CN26" s="84"/>
      <c r="CO26" s="84"/>
      <c r="CP26" s="84"/>
      <c r="CQ26" s="85"/>
      <c r="CR26" s="86"/>
      <c r="CS26" s="83"/>
      <c r="CT26" s="84"/>
      <c r="CU26" s="84"/>
      <c r="CV26" s="84"/>
      <c r="CW26" s="85"/>
      <c r="CX26" s="86"/>
      <c r="CY26" s="83"/>
      <c r="CZ26" s="84"/>
      <c r="DA26" s="84"/>
      <c r="DB26" s="84"/>
      <c r="DC26" s="85"/>
      <c r="DD26" s="86"/>
      <c r="DE26" s="83"/>
      <c r="DF26" s="84"/>
      <c r="DG26" s="84"/>
      <c r="DH26" s="84"/>
      <c r="DI26" s="85"/>
      <c r="DJ26" s="86"/>
      <c r="DK26" s="83"/>
      <c r="DL26" s="84"/>
      <c r="DM26" s="84"/>
      <c r="DN26" s="84"/>
      <c r="DO26" s="85"/>
      <c r="DP26" s="86"/>
      <c r="DQ26" s="83"/>
      <c r="DR26" s="84"/>
      <c r="DS26" s="84"/>
      <c r="DT26" s="84"/>
      <c r="DU26" s="85"/>
      <c r="DV26" s="86"/>
      <c r="DW26" s="83" t="s">
        <v>174</v>
      </c>
      <c r="DX26" s="84">
        <f t="shared" ref="DX26:DZ26" si="28">DX27-DX23</f>
        <v>0.2193080671</v>
      </c>
      <c r="DY26" s="84">
        <f t="shared" si="28"/>
        <v>0.2193080671</v>
      </c>
      <c r="DZ26" s="84">
        <f t="shared" si="28"/>
        <v>0.2193080671</v>
      </c>
      <c r="EA26" s="85">
        <f>EA27-EA23-EA24</f>
        <v>0.2193080671</v>
      </c>
      <c r="EB26" s="86"/>
      <c r="EC26" s="83" t="s">
        <v>174</v>
      </c>
      <c r="ED26" s="84">
        <f t="shared" ref="ED26:EF26" si="29">ED27-ED23</f>
        <v>0.005482701678</v>
      </c>
      <c r="EE26" s="84">
        <f t="shared" si="29"/>
        <v>0.005482701678</v>
      </c>
      <c r="EF26" s="84">
        <f t="shared" si="29"/>
        <v>0.005482701678</v>
      </c>
      <c r="EG26" s="85">
        <f>EG27-EG23-EG24</f>
        <v>0.005482701678</v>
      </c>
      <c r="EH26" s="86"/>
      <c r="EI26" s="83"/>
      <c r="EJ26" s="84"/>
      <c r="EK26" s="84"/>
      <c r="EL26" s="84"/>
      <c r="EM26" s="85"/>
      <c r="EN26" s="86"/>
      <c r="EO26" s="83" t="s">
        <v>174</v>
      </c>
      <c r="EP26" s="84">
        <f t="shared" ref="EP26:ER26" si="30">EP27-EP23</f>
        <v>0</v>
      </c>
      <c r="EQ26" s="84">
        <f t="shared" si="30"/>
        <v>0</v>
      </c>
      <c r="ER26" s="84">
        <f t="shared" si="30"/>
        <v>0</v>
      </c>
      <c r="ES26" s="85">
        <f>ES27-ES23-ES24</f>
        <v>0</v>
      </c>
    </row>
    <row r="27">
      <c r="A27" s="87" t="s">
        <v>175</v>
      </c>
      <c r="B27" s="88">
        <f>'ETH Yield Fund'!R6</f>
        <v>63.28817299</v>
      </c>
      <c r="C27" s="88">
        <f>B27</f>
        <v>63.28817299</v>
      </c>
      <c r="D27" s="88">
        <f>B27</f>
        <v>63.28817299</v>
      </c>
      <c r="E27" s="89">
        <f>B27</f>
        <v>63.28817299</v>
      </c>
      <c r="M27" s="98"/>
      <c r="N27" s="78"/>
      <c r="O27" s="78"/>
      <c r="P27" s="90"/>
      <c r="Q27" s="90"/>
      <c r="S27" s="98"/>
      <c r="T27" s="78"/>
      <c r="U27" s="78"/>
      <c r="V27" s="90"/>
      <c r="W27" s="90"/>
      <c r="Y27" s="98"/>
      <c r="Z27" s="78"/>
      <c r="AA27" s="78"/>
      <c r="AB27" s="90"/>
      <c r="AC27" s="90"/>
      <c r="AD27" s="90"/>
      <c r="AE27" s="87" t="s">
        <v>175</v>
      </c>
      <c r="AF27" s="88">
        <f>'ETH Yield Fund'!R5</f>
        <v>32.19833993</v>
      </c>
      <c r="AG27" s="88">
        <f t="shared" ref="AG27:AH27" si="31">AF27</f>
        <v>32.19833993</v>
      </c>
      <c r="AH27" s="88">
        <f t="shared" si="31"/>
        <v>32.19833993</v>
      </c>
      <c r="AI27" s="89">
        <f>AF27</f>
        <v>32.19833993</v>
      </c>
      <c r="AJ27" s="90"/>
      <c r="AK27" s="87" t="s">
        <v>175</v>
      </c>
      <c r="AL27" s="88">
        <f>'ETH Yield Fund'!R7</f>
        <v>121.3700978</v>
      </c>
      <c r="AM27" s="88">
        <f t="shared" ref="AM27:AN27" si="32">AL27</f>
        <v>121.3700978</v>
      </c>
      <c r="AN27" s="88">
        <f t="shared" si="32"/>
        <v>121.3700978</v>
      </c>
      <c r="AO27" s="89">
        <f>AL27</f>
        <v>121.3700978</v>
      </c>
      <c r="AP27" s="90"/>
      <c r="AQ27" s="87"/>
      <c r="AR27" s="88"/>
      <c r="AS27" s="88"/>
      <c r="AT27" s="88"/>
      <c r="AU27" s="89"/>
      <c r="AV27" s="90"/>
      <c r="AW27" s="87" t="s">
        <v>175</v>
      </c>
      <c r="AX27" s="88">
        <f>'ETH Yield Fund'!R3</f>
        <v>60.56638541</v>
      </c>
      <c r="AY27" s="88">
        <f t="shared" ref="AY27:AZ27" si="33">AX27</f>
        <v>60.56638541</v>
      </c>
      <c r="AZ27" s="88">
        <f t="shared" si="33"/>
        <v>60.56638541</v>
      </c>
      <c r="BA27" s="89">
        <f>AX27</f>
        <v>60.56638541</v>
      </c>
      <c r="BB27" s="90"/>
      <c r="BC27" s="87" t="s">
        <v>175</v>
      </c>
      <c r="BD27" s="88">
        <f>'ETH Yield Fund'!P4</f>
        <v>178.3723848</v>
      </c>
      <c r="BE27" s="88">
        <f t="shared" ref="BE27:BF27" si="34">BD27</f>
        <v>178.3723848</v>
      </c>
      <c r="BF27" s="88">
        <f t="shared" si="34"/>
        <v>178.3723848</v>
      </c>
      <c r="BG27" s="89">
        <f>BD27</f>
        <v>178.3723848</v>
      </c>
      <c r="BH27" s="90"/>
      <c r="BI27" s="87"/>
      <c r="BJ27" s="88"/>
      <c r="BK27" s="88"/>
      <c r="BL27" s="88"/>
      <c r="BM27" s="89"/>
      <c r="BN27" s="90"/>
      <c r="BO27" s="87"/>
      <c r="BP27" s="88"/>
      <c r="BQ27" s="88"/>
      <c r="BR27" s="88"/>
      <c r="BS27" s="89"/>
      <c r="BT27" s="90"/>
      <c r="BU27" s="87"/>
      <c r="BV27" s="88"/>
      <c r="BW27" s="88"/>
      <c r="BX27" s="88"/>
      <c r="BY27" s="89"/>
      <c r="BZ27" s="90"/>
      <c r="CA27" s="87"/>
      <c r="CB27" s="88"/>
      <c r="CC27" s="88"/>
      <c r="CD27" s="88"/>
      <c r="CE27" s="89"/>
      <c r="CF27" s="90"/>
      <c r="CG27" s="87"/>
      <c r="CH27" s="88"/>
      <c r="CI27" s="88"/>
      <c r="CJ27" s="88"/>
      <c r="CK27" s="89"/>
      <c r="CL27" s="90"/>
      <c r="CM27" s="87"/>
      <c r="CN27" s="88"/>
      <c r="CO27" s="88"/>
      <c r="CP27" s="88"/>
      <c r="CQ27" s="89"/>
      <c r="CR27" s="90"/>
      <c r="CS27" s="87"/>
      <c r="CT27" s="88"/>
      <c r="CU27" s="88"/>
      <c r="CV27" s="88"/>
      <c r="CW27" s="89"/>
      <c r="CX27" s="90"/>
      <c r="CY27" s="87"/>
      <c r="CZ27" s="88"/>
      <c r="DA27" s="88"/>
      <c r="DB27" s="88"/>
      <c r="DC27" s="89"/>
      <c r="DD27" s="90"/>
      <c r="DE27" s="87"/>
      <c r="DF27" s="88"/>
      <c r="DG27" s="88"/>
      <c r="DH27" s="88"/>
      <c r="DI27" s="89"/>
      <c r="DJ27" s="90"/>
      <c r="DK27" s="87"/>
      <c r="DL27" s="88"/>
      <c r="DM27" s="88"/>
      <c r="DN27" s="88"/>
      <c r="DO27" s="89"/>
      <c r="DP27" s="90"/>
      <c r="DQ27" s="87"/>
      <c r="DR27" s="88"/>
      <c r="DS27" s="88"/>
      <c r="DT27" s="88"/>
      <c r="DU27" s="89"/>
      <c r="DV27" s="90"/>
      <c r="DW27" s="87" t="s">
        <v>175</v>
      </c>
      <c r="DX27" s="88">
        <f>'ETH Yield Fund'!R8</f>
        <v>32.21930807</v>
      </c>
      <c r="DY27" s="88">
        <f t="shared" ref="DY27:DZ27" si="35">DX27</f>
        <v>32.21930807</v>
      </c>
      <c r="DZ27" s="88">
        <f t="shared" si="35"/>
        <v>32.21930807</v>
      </c>
      <c r="EA27" s="89">
        <f>DX27</f>
        <v>32.21930807</v>
      </c>
      <c r="EB27" s="90"/>
      <c r="EC27" s="87" t="s">
        <v>175</v>
      </c>
      <c r="ED27" s="88">
        <f>'ETH Yield Fund'!R9</f>
        <v>0.005482701678</v>
      </c>
      <c r="EE27" s="88">
        <f t="shared" ref="EE27:EF27" si="36">ED27</f>
        <v>0.005482701678</v>
      </c>
      <c r="EF27" s="88">
        <f t="shared" si="36"/>
        <v>0.005482701678</v>
      </c>
      <c r="EG27" s="89">
        <f>ED27</f>
        <v>0.005482701678</v>
      </c>
      <c r="EH27" s="90"/>
      <c r="EI27" s="87"/>
      <c r="EJ27" s="88"/>
      <c r="EK27" s="88"/>
      <c r="EL27" s="88"/>
      <c r="EM27" s="89"/>
      <c r="EN27" s="90"/>
      <c r="EO27" s="87" t="s">
        <v>175</v>
      </c>
      <c r="EP27" s="88" t="str">
        <f>'ETH Yield Fund'!AD9</f>
        <v/>
      </c>
      <c r="EQ27" s="88" t="str">
        <f t="shared" ref="EQ27:ER27" si="37">EP27</f>
        <v/>
      </c>
      <c r="ER27" s="88" t="str">
        <f t="shared" si="37"/>
        <v/>
      </c>
      <c r="ES27" s="89" t="str">
        <f>EP27</f>
        <v/>
      </c>
    </row>
    <row r="28">
      <c r="A28" s="91" t="s">
        <v>176</v>
      </c>
      <c r="B28" s="92">
        <f t="shared" ref="B28:E28" si="38">B26/B23</f>
        <v>0.006853377097</v>
      </c>
      <c r="C28" s="92">
        <f t="shared" si="38"/>
        <v>-0.02814692704</v>
      </c>
      <c r="D28" s="92">
        <f t="shared" si="38"/>
        <v>0.001304358323</v>
      </c>
      <c r="E28" s="93">
        <f t="shared" si="38"/>
        <v>0.01887070947</v>
      </c>
      <c r="M28" s="7"/>
      <c r="N28" s="94"/>
      <c r="O28" s="94"/>
      <c r="P28" s="94"/>
      <c r="Q28" s="94"/>
      <c r="S28" s="7"/>
      <c r="T28" s="94"/>
      <c r="U28" s="94"/>
      <c r="V28" s="94"/>
      <c r="W28" s="94"/>
      <c r="Y28" s="7"/>
      <c r="Z28" s="94"/>
      <c r="AA28" s="94"/>
      <c r="AB28" s="94"/>
      <c r="AC28" s="94"/>
      <c r="AD28" s="94"/>
      <c r="AE28" s="91" t="s">
        <v>176</v>
      </c>
      <c r="AF28" s="92">
        <f t="shared" ref="AF28:AI28" si="39">AF26/AF23</f>
        <v>0.008566721372</v>
      </c>
      <c r="AG28" s="92">
        <f t="shared" si="39"/>
        <v>-0.01875336834</v>
      </c>
      <c r="AH28" s="92">
        <f t="shared" si="39"/>
        <v>0.01376876387</v>
      </c>
      <c r="AI28" s="93">
        <f t="shared" si="39"/>
        <v>0.01869058408</v>
      </c>
      <c r="AJ28" s="94"/>
      <c r="AK28" s="91" t="s">
        <v>176</v>
      </c>
      <c r="AL28" s="92">
        <f t="shared" ref="AL28:AO28" si="40">AL26/AL23</f>
        <v>0.008566721372</v>
      </c>
      <c r="AM28" s="92">
        <f t="shared" si="40"/>
        <v>-0.02559732542</v>
      </c>
      <c r="AN28" s="92">
        <f t="shared" si="40"/>
        <v>0.01141748204</v>
      </c>
      <c r="AO28" s="93">
        <f t="shared" si="40"/>
        <v>0.01141748204</v>
      </c>
      <c r="AP28" s="94"/>
      <c r="AQ28" s="91"/>
      <c r="AR28" s="92"/>
      <c r="AS28" s="92"/>
      <c r="AT28" s="92"/>
      <c r="AU28" s="93"/>
      <c r="AV28" s="94"/>
      <c r="AW28" s="91" t="s">
        <v>176</v>
      </c>
      <c r="AX28" s="92">
        <f t="shared" ref="AX28:BA28" si="41">AX26/AX23</f>
        <v>0.007024711525</v>
      </c>
      <c r="AY28" s="92">
        <f t="shared" si="41"/>
        <v>0.0150975725</v>
      </c>
      <c r="AZ28" s="92">
        <f t="shared" si="41"/>
        <v>0.04836673118</v>
      </c>
      <c r="BA28" s="93">
        <f t="shared" si="41"/>
        <v>0.04836673118</v>
      </c>
      <c r="BB28" s="94"/>
      <c r="BC28" s="91" t="s">
        <v>176</v>
      </c>
      <c r="BD28" s="92" t="str">
        <f t="shared" ref="BD28:BG28" si="42">BD26/BD23</f>
        <v>#DIV/0!</v>
      </c>
      <c r="BE28" s="92">
        <f t="shared" si="42"/>
        <v>0.01002565512</v>
      </c>
      <c r="BF28" s="92">
        <f t="shared" si="42"/>
        <v>0.01927077016</v>
      </c>
      <c r="BG28" s="93">
        <f t="shared" si="42"/>
        <v>0.01927077016</v>
      </c>
      <c r="BH28" s="94"/>
      <c r="BI28" s="91"/>
      <c r="BJ28" s="92"/>
      <c r="BK28" s="92"/>
      <c r="BL28" s="92"/>
      <c r="BM28" s="93"/>
      <c r="BN28" s="94"/>
      <c r="BO28" s="91"/>
      <c r="BP28" s="92"/>
      <c r="BQ28" s="92"/>
      <c r="BR28" s="92"/>
      <c r="BS28" s="93"/>
      <c r="BT28" s="94"/>
      <c r="BU28" s="91"/>
      <c r="BV28" s="92"/>
      <c r="BW28" s="92"/>
      <c r="BX28" s="92"/>
      <c r="BY28" s="93"/>
      <c r="BZ28" s="94"/>
      <c r="CA28" s="91"/>
      <c r="CB28" s="92"/>
      <c r="CC28" s="92"/>
      <c r="CD28" s="92"/>
      <c r="CE28" s="93"/>
      <c r="CF28" s="94"/>
      <c r="CG28" s="91"/>
      <c r="CH28" s="92"/>
      <c r="CI28" s="92"/>
      <c r="CJ28" s="92"/>
      <c r="CK28" s="93"/>
      <c r="CL28" s="94"/>
      <c r="CM28" s="91"/>
      <c r="CN28" s="92"/>
      <c r="CO28" s="92"/>
      <c r="CP28" s="92"/>
      <c r="CQ28" s="93"/>
      <c r="CR28" s="94"/>
      <c r="CS28" s="91"/>
      <c r="CT28" s="92"/>
      <c r="CU28" s="92"/>
      <c r="CV28" s="92"/>
      <c r="CW28" s="93"/>
      <c r="CX28" s="94"/>
      <c r="CY28" s="91"/>
      <c r="CZ28" s="92"/>
      <c r="DA28" s="92"/>
      <c r="DB28" s="92"/>
      <c r="DC28" s="93"/>
      <c r="DD28" s="94"/>
      <c r="DE28" s="91"/>
      <c r="DF28" s="92"/>
      <c r="DG28" s="92"/>
      <c r="DH28" s="92"/>
      <c r="DI28" s="93"/>
      <c r="DJ28" s="94"/>
      <c r="DK28" s="91"/>
      <c r="DL28" s="92"/>
      <c r="DM28" s="92"/>
      <c r="DN28" s="92"/>
      <c r="DO28" s="93"/>
      <c r="DP28" s="94"/>
      <c r="DQ28" s="91"/>
      <c r="DR28" s="92"/>
      <c r="DS28" s="92"/>
      <c r="DT28" s="92"/>
      <c r="DU28" s="93"/>
      <c r="DV28" s="94"/>
      <c r="DW28" s="91" t="s">
        <v>176</v>
      </c>
      <c r="DX28" s="92">
        <f t="shared" ref="DX28:EA28" si="43">DX26/DX23</f>
        <v>0.006853377097</v>
      </c>
      <c r="DY28" s="92">
        <f t="shared" si="43"/>
        <v>0.006853377097</v>
      </c>
      <c r="DZ28" s="92">
        <f t="shared" si="43"/>
        <v>0.006853377097</v>
      </c>
      <c r="EA28" s="93">
        <f t="shared" si="43"/>
        <v>0.006853377097</v>
      </c>
      <c r="EB28" s="94"/>
      <c r="EC28" s="91" t="s">
        <v>176</v>
      </c>
      <c r="ED28" s="92" t="str">
        <f t="shared" ref="ED28:EG28" si="44">IFERROR(ED26/ED23,"")</f>
        <v/>
      </c>
      <c r="EE28" s="92" t="str">
        <f t="shared" si="44"/>
        <v/>
      </c>
      <c r="EF28" s="92" t="str">
        <f t="shared" si="44"/>
        <v/>
      </c>
      <c r="EG28" s="93" t="str">
        <f t="shared" si="44"/>
        <v/>
      </c>
      <c r="EH28" s="94"/>
      <c r="EI28" s="91"/>
      <c r="EJ28" s="92"/>
      <c r="EK28" s="92"/>
      <c r="EL28" s="92"/>
      <c r="EM28" s="93"/>
      <c r="EN28" s="94"/>
      <c r="EO28" s="91" t="s">
        <v>176</v>
      </c>
      <c r="EP28" s="92" t="str">
        <f t="shared" ref="EP28:ES28" si="45">IFERROR(EP26/EP23,"")</f>
        <v/>
      </c>
      <c r="EQ28" s="92" t="str">
        <f t="shared" si="45"/>
        <v/>
      </c>
      <c r="ER28" s="92" t="str">
        <f t="shared" si="45"/>
        <v/>
      </c>
      <c r="ES28" s="93" t="str">
        <f t="shared" si="45"/>
        <v/>
      </c>
    </row>
    <row r="30">
      <c r="T30" s="66"/>
      <c r="U30" s="66"/>
      <c r="V30" s="66"/>
      <c r="W30" s="66"/>
      <c r="X30" s="66"/>
      <c r="Z30" s="66"/>
      <c r="AA30" s="66"/>
      <c r="AB30" s="66"/>
      <c r="AC30" s="66"/>
      <c r="AD30" s="66"/>
      <c r="AF30" s="66"/>
      <c r="AG30" s="66"/>
      <c r="AH30" s="66"/>
      <c r="AI30" s="66"/>
      <c r="AJ30" s="66"/>
      <c r="AL30" s="66"/>
      <c r="AM30" s="66"/>
      <c r="AN30" s="66"/>
      <c r="AO30" s="66"/>
      <c r="AP30" s="66"/>
      <c r="AR30" s="66"/>
      <c r="AS30" s="66"/>
      <c r="AT30" s="66"/>
      <c r="AU30" s="66"/>
      <c r="AV30" s="66"/>
      <c r="AW30" s="71" t="s">
        <v>165</v>
      </c>
      <c r="AX30" s="72"/>
      <c r="AY30" s="72"/>
      <c r="AZ30" s="72"/>
      <c r="BA30" s="73"/>
      <c r="BB30" s="66"/>
      <c r="BC30" s="71" t="s">
        <v>179</v>
      </c>
      <c r="BD30" s="72"/>
      <c r="BE30" s="72"/>
      <c r="BF30" s="72"/>
      <c r="BG30" s="73"/>
      <c r="BH30" s="66"/>
      <c r="BN30" s="66"/>
      <c r="BO30" s="71" t="s">
        <v>166</v>
      </c>
      <c r="BP30" s="72"/>
      <c r="BQ30" s="72"/>
      <c r="BR30" s="72"/>
      <c r="BS30" s="73"/>
      <c r="BU30" s="71" t="s">
        <v>166</v>
      </c>
      <c r="BV30" s="72"/>
      <c r="BW30" s="72"/>
      <c r="BX30" s="72"/>
      <c r="BY30" s="73"/>
      <c r="BZ30" s="66"/>
      <c r="CA30" s="71" t="s">
        <v>166</v>
      </c>
      <c r="CB30" s="72"/>
      <c r="CC30" s="72"/>
      <c r="CD30" s="72"/>
      <c r="CE30" s="73"/>
      <c r="CF30" s="66"/>
      <c r="CG30" s="71" t="s">
        <v>166</v>
      </c>
      <c r="CH30" s="72"/>
      <c r="CI30" s="72"/>
      <c r="CJ30" s="72"/>
      <c r="CK30" s="73"/>
      <c r="CL30" s="66"/>
      <c r="CM30" s="71" t="s">
        <v>166</v>
      </c>
      <c r="CN30" s="72"/>
      <c r="CO30" s="72"/>
      <c r="CP30" s="72"/>
      <c r="CQ30" s="73"/>
      <c r="CR30" s="66"/>
      <c r="CS30" s="71"/>
      <c r="CT30" s="72"/>
      <c r="CU30" s="72"/>
      <c r="CV30" s="72"/>
      <c r="CW30" s="73"/>
      <c r="CX30" s="66"/>
      <c r="CY30" s="71" t="s">
        <v>166</v>
      </c>
      <c r="CZ30" s="72"/>
      <c r="DA30" s="72"/>
      <c r="DB30" s="72"/>
      <c r="DC30" s="73"/>
      <c r="DD30" s="66"/>
      <c r="DE30" s="71" t="s">
        <v>166</v>
      </c>
      <c r="DF30" s="72"/>
      <c r="DG30" s="72"/>
      <c r="DH30" s="72"/>
      <c r="DI30" s="73"/>
      <c r="DJ30" s="66"/>
      <c r="DK30" s="71" t="s">
        <v>166</v>
      </c>
      <c r="DL30" s="72"/>
      <c r="DM30" s="72"/>
      <c r="DN30" s="72"/>
      <c r="DO30" s="73"/>
      <c r="DP30" s="66"/>
      <c r="DQ30" s="71" t="s">
        <v>166</v>
      </c>
      <c r="DR30" s="72"/>
      <c r="DS30" s="72"/>
      <c r="DT30" s="72"/>
      <c r="DU30" s="73"/>
      <c r="DV30" s="66"/>
      <c r="DW30" s="71"/>
      <c r="DX30" s="72"/>
      <c r="DY30" s="72"/>
      <c r="DZ30" s="72"/>
      <c r="EA30" s="73"/>
      <c r="EB30" s="66"/>
      <c r="EC30" s="71"/>
      <c r="ED30" s="72"/>
      <c r="EE30" s="72"/>
      <c r="EF30" s="72"/>
      <c r="EG30" s="73"/>
      <c r="EH30" s="66"/>
      <c r="EI30" s="71" t="s">
        <v>179</v>
      </c>
      <c r="EJ30" s="72"/>
      <c r="EK30" s="72"/>
      <c r="EL30" s="72"/>
      <c r="EM30" s="73"/>
      <c r="EN30" s="66"/>
      <c r="EO30" s="71" t="s">
        <v>179</v>
      </c>
      <c r="EP30" s="72"/>
      <c r="EQ30" s="72"/>
      <c r="ER30" s="72"/>
      <c r="ES30" s="73"/>
    </row>
    <row r="31">
      <c r="T31" s="66"/>
      <c r="U31" s="66"/>
      <c r="V31" s="66"/>
      <c r="W31" s="66"/>
      <c r="X31" s="66"/>
      <c r="Z31" s="66"/>
      <c r="AA31" s="66"/>
      <c r="AB31" s="66"/>
      <c r="AC31" s="66"/>
      <c r="AD31" s="66"/>
      <c r="AF31" s="66"/>
      <c r="AG31" s="66"/>
      <c r="AH31" s="66"/>
      <c r="AI31" s="66"/>
      <c r="AJ31" s="66"/>
      <c r="AL31" s="66"/>
      <c r="AM31" s="66"/>
      <c r="AN31" s="66"/>
      <c r="AO31" s="66"/>
      <c r="AP31" s="66"/>
      <c r="AR31" s="66"/>
      <c r="AS31" s="66"/>
      <c r="AT31" s="66"/>
      <c r="AU31" s="66"/>
      <c r="AV31" s="66"/>
      <c r="AW31" s="99"/>
      <c r="AX31" s="100" t="s">
        <v>184</v>
      </c>
      <c r="AY31" s="100" t="s">
        <v>185</v>
      </c>
      <c r="AZ31" s="100" t="s">
        <v>186</v>
      </c>
      <c r="BA31" s="101" t="s">
        <v>187</v>
      </c>
      <c r="BB31" s="66"/>
      <c r="BC31" s="99"/>
      <c r="BD31" s="100" t="s">
        <v>184</v>
      </c>
      <c r="BE31" s="100" t="s">
        <v>185</v>
      </c>
      <c r="BF31" s="100" t="s">
        <v>186</v>
      </c>
      <c r="BG31" s="101" t="s">
        <v>187</v>
      </c>
      <c r="BH31" s="66"/>
      <c r="BN31" s="66"/>
      <c r="BO31" s="99"/>
      <c r="BP31" s="100" t="s">
        <v>184</v>
      </c>
      <c r="BQ31" s="100" t="s">
        <v>185</v>
      </c>
      <c r="BR31" s="100" t="s">
        <v>186</v>
      </c>
      <c r="BS31" s="101" t="s">
        <v>187</v>
      </c>
      <c r="BT31" s="66"/>
      <c r="BU31" s="99"/>
      <c r="BV31" s="100" t="s">
        <v>184</v>
      </c>
      <c r="BW31" s="100" t="s">
        <v>185</v>
      </c>
      <c r="BX31" s="100" t="s">
        <v>186</v>
      </c>
      <c r="BY31" s="101" t="s">
        <v>187</v>
      </c>
      <c r="BZ31" s="66"/>
      <c r="CA31" s="99"/>
      <c r="CB31" s="100" t="s">
        <v>184</v>
      </c>
      <c r="CC31" s="100" t="s">
        <v>185</v>
      </c>
      <c r="CD31" s="100" t="s">
        <v>186</v>
      </c>
      <c r="CE31" s="101" t="s">
        <v>187</v>
      </c>
      <c r="CF31" s="66"/>
      <c r="CG31" s="99"/>
      <c r="CH31" s="100" t="s">
        <v>184</v>
      </c>
      <c r="CI31" s="100" t="s">
        <v>185</v>
      </c>
      <c r="CJ31" s="100" t="s">
        <v>186</v>
      </c>
      <c r="CK31" s="101" t="s">
        <v>187</v>
      </c>
      <c r="CL31" s="66"/>
      <c r="CM31" s="99"/>
      <c r="CN31" s="100" t="s">
        <v>184</v>
      </c>
      <c r="CO31" s="100" t="s">
        <v>185</v>
      </c>
      <c r="CP31" s="100" t="s">
        <v>186</v>
      </c>
      <c r="CQ31" s="101" t="s">
        <v>187</v>
      </c>
      <c r="CR31" s="66"/>
      <c r="CS31" s="99"/>
      <c r="CT31" s="100"/>
      <c r="CU31" s="100"/>
      <c r="CV31" s="100"/>
      <c r="CW31" s="101"/>
      <c r="CX31" s="66"/>
      <c r="CY31" s="99"/>
      <c r="CZ31" s="100" t="s">
        <v>184</v>
      </c>
      <c r="DA31" s="100" t="s">
        <v>185</v>
      </c>
      <c r="DB31" s="100" t="s">
        <v>186</v>
      </c>
      <c r="DC31" s="101" t="s">
        <v>187</v>
      </c>
      <c r="DD31" s="66"/>
      <c r="DE31" s="99"/>
      <c r="DF31" s="100" t="s">
        <v>184</v>
      </c>
      <c r="DG31" s="100" t="s">
        <v>185</v>
      </c>
      <c r="DH31" s="100" t="s">
        <v>186</v>
      </c>
      <c r="DI31" s="101" t="s">
        <v>187</v>
      </c>
      <c r="DJ31" s="66"/>
      <c r="DK31" s="99"/>
      <c r="DL31" s="100" t="s">
        <v>184</v>
      </c>
      <c r="DM31" s="100" t="s">
        <v>185</v>
      </c>
      <c r="DN31" s="100" t="s">
        <v>186</v>
      </c>
      <c r="DO31" s="101" t="s">
        <v>187</v>
      </c>
      <c r="DP31" s="66"/>
      <c r="DQ31" s="99"/>
      <c r="DR31" s="100" t="s">
        <v>184</v>
      </c>
      <c r="DS31" s="100" t="s">
        <v>185</v>
      </c>
      <c r="DT31" s="100" t="s">
        <v>186</v>
      </c>
      <c r="DU31" s="101" t="s">
        <v>187</v>
      </c>
      <c r="DV31" s="66"/>
      <c r="DW31" s="99"/>
      <c r="DX31" s="100"/>
      <c r="DY31" s="100"/>
      <c r="DZ31" s="100"/>
      <c r="EA31" s="101"/>
      <c r="EB31" s="66"/>
      <c r="EC31" s="99"/>
      <c r="ED31" s="100"/>
      <c r="EE31" s="100"/>
      <c r="EF31" s="100"/>
      <c r="EG31" s="101"/>
      <c r="EH31" s="66"/>
      <c r="EI31" s="99"/>
      <c r="EJ31" s="100" t="s">
        <v>184</v>
      </c>
      <c r="EK31" s="100" t="s">
        <v>185</v>
      </c>
      <c r="EL31" s="100" t="s">
        <v>186</v>
      </c>
      <c r="EM31" s="101" t="s">
        <v>187</v>
      </c>
      <c r="EN31" s="66"/>
      <c r="EO31" s="99"/>
      <c r="EP31" s="100" t="s">
        <v>180</v>
      </c>
      <c r="EQ31" s="100" t="s">
        <v>181</v>
      </c>
      <c r="ER31" s="100" t="s">
        <v>182</v>
      </c>
      <c r="ES31" s="101" t="s">
        <v>183</v>
      </c>
    </row>
    <row r="32">
      <c r="AW32" s="79" t="s">
        <v>171</v>
      </c>
      <c r="AX32" s="102">
        <f>'USDT Yield Fund'!Q3</f>
        <v>183981.0952</v>
      </c>
      <c r="AY32" s="102">
        <f>'USDT Yield Fund'!M3</f>
        <v>136175.4023</v>
      </c>
      <c r="AZ32" s="102">
        <f>'USDT Yield Fund'!L3</f>
        <v>135726.75</v>
      </c>
      <c r="BA32" s="103">
        <f>'USDT Yield Fund'!L3</f>
        <v>135726.75</v>
      </c>
      <c r="BC32" s="79" t="s">
        <v>171</v>
      </c>
      <c r="BD32" s="102">
        <f>'USDT Yield Fund'!T14</f>
        <v>111370</v>
      </c>
      <c r="BE32" s="102">
        <f>'USDT Yield Fund'!T14</f>
        <v>111370</v>
      </c>
      <c r="BF32" s="102">
        <f>'USDT Yield Fund'!T14</f>
        <v>111370</v>
      </c>
      <c r="BG32" s="103">
        <f>'USDT Yield Fund'!T14</f>
        <v>111370</v>
      </c>
      <c r="BI32" s="46"/>
      <c r="BO32" s="79" t="s">
        <v>171</v>
      </c>
      <c r="BP32" s="102">
        <f>'USDT Yield Fund'!Q8</f>
        <v>275049.0697</v>
      </c>
      <c r="BQ32" s="102">
        <f>'USDT Yield Fund'!N8</f>
        <v>273807</v>
      </c>
      <c r="BR32" s="102">
        <f>'USDT Yield Fund'!N8</f>
        <v>273807</v>
      </c>
      <c r="BS32" s="103">
        <f>'USDT Yield Fund'!N8</f>
        <v>273807</v>
      </c>
      <c r="BU32" s="79" t="s">
        <v>171</v>
      </c>
      <c r="BV32" s="102">
        <f>'USDT Yield Fund'!Q6</f>
        <v>109828.9669</v>
      </c>
      <c r="BW32" s="102">
        <f>'USDT Yield Fund'!N6</f>
        <v>109333</v>
      </c>
      <c r="BX32" s="102">
        <f>'USDT Yield Fund'!N6</f>
        <v>109333</v>
      </c>
      <c r="BY32" s="103">
        <f>'USDT Yield Fund'!N6</f>
        <v>109333</v>
      </c>
      <c r="CA32" s="79" t="s">
        <v>171</v>
      </c>
      <c r="CB32" s="102">
        <f>'USDT Yield Fund'!Q7</f>
        <v>256663.0419</v>
      </c>
      <c r="CC32" s="102">
        <f>'USDT Yield Fund'!N7</f>
        <v>255504</v>
      </c>
      <c r="CD32" s="102">
        <f>'USDT Yield Fund'!N7</f>
        <v>255504</v>
      </c>
      <c r="CE32" s="103">
        <f>'USDT Yield Fund'!N7</f>
        <v>255504</v>
      </c>
      <c r="CG32" s="79" t="s">
        <v>171</v>
      </c>
      <c r="CH32" s="102">
        <f>'USDT Yield Fund'!Q4</f>
        <v>109888.2345</v>
      </c>
      <c r="CI32" s="102">
        <f>'USDT Yield Fund'!N4</f>
        <v>109392</v>
      </c>
      <c r="CJ32" s="102">
        <f>'USDT Yield Fund'!N4</f>
        <v>109392</v>
      </c>
      <c r="CK32" s="103">
        <f>'USDT Yield Fund'!N4</f>
        <v>109392</v>
      </c>
      <c r="CM32" s="79" t="s">
        <v>171</v>
      </c>
      <c r="CN32" s="102">
        <f>'USDT Yield Fund'!Q5</f>
        <v>110273.9765</v>
      </c>
      <c r="CO32" s="102">
        <f>'USDT Yield Fund'!N5</f>
        <v>109776</v>
      </c>
      <c r="CP32" s="102">
        <f>'USDT Yield Fund'!N5</f>
        <v>109776</v>
      </c>
      <c r="CQ32" s="103">
        <f>'USDT Yield Fund'!N5</f>
        <v>109776</v>
      </c>
      <c r="CS32" s="79"/>
      <c r="CT32" s="102"/>
      <c r="CU32" s="102"/>
      <c r="CV32" s="102"/>
      <c r="CW32" s="81"/>
      <c r="CY32" s="79" t="s">
        <v>171</v>
      </c>
      <c r="CZ32" s="102">
        <f>'USDT Yield Fund'!Q9</f>
        <v>200225.8179</v>
      </c>
      <c r="DA32" s="102">
        <f>'USDT Yield Fund'!O9</f>
        <v>199659.72</v>
      </c>
      <c r="DB32" s="102">
        <f>'USDT Yield Fund'!O9</f>
        <v>199659.72</v>
      </c>
      <c r="DC32" s="103">
        <f>'USDT Yield Fund'!O9</f>
        <v>199659.72</v>
      </c>
      <c r="DE32" s="79" t="s">
        <v>171</v>
      </c>
      <c r="DF32" s="102">
        <f>'USDT Yield Fund'!Q10</f>
        <v>137017.4819</v>
      </c>
      <c r="DG32" s="102">
        <f>'USDT Yield Fund'!P10</f>
        <v>136737</v>
      </c>
      <c r="DH32" s="102">
        <f>'USDT Yield Fund'!P10</f>
        <v>136737</v>
      </c>
      <c r="DI32" s="103">
        <f>'USDT Yield Fund'!P10</f>
        <v>136737</v>
      </c>
      <c r="DK32" s="79" t="s">
        <v>171</v>
      </c>
      <c r="DL32" s="102">
        <f>'USDT Yield Fund'!Q11</f>
        <v>223143.7869</v>
      </c>
      <c r="DM32" s="102">
        <f>'USDT Yield Fund'!P11</f>
        <v>222687</v>
      </c>
      <c r="DN32" s="102">
        <f>'USDT Yield Fund'!P11</f>
        <v>222687</v>
      </c>
      <c r="DO32" s="103">
        <f>'USDT Yield Fund'!P11</f>
        <v>222687</v>
      </c>
      <c r="DQ32" s="79" t="s">
        <v>171</v>
      </c>
      <c r="DR32" s="102">
        <f>'USDT Yield Fund'!Q12</f>
        <v>220197.7562</v>
      </c>
      <c r="DS32" s="102">
        <f>'USDT Yield Fund'!P12</f>
        <v>219747</v>
      </c>
      <c r="DT32" s="102">
        <f>'USDT Yield Fund'!P12</f>
        <v>219747</v>
      </c>
      <c r="DU32" s="103">
        <f>'USDT Yield Fund'!P12</f>
        <v>219747</v>
      </c>
      <c r="DW32" s="79"/>
      <c r="DX32" s="102"/>
      <c r="DY32" s="102"/>
      <c r="DZ32" s="102"/>
      <c r="EA32" s="81"/>
      <c r="EC32" s="79"/>
      <c r="ED32" s="102"/>
      <c r="EE32" s="102"/>
      <c r="EF32" s="102"/>
      <c r="EG32" s="81"/>
      <c r="EI32" s="79" t="s">
        <v>171</v>
      </c>
      <c r="EJ32" s="102">
        <f>'USDT Yield Fund'!R13</f>
        <v>130000</v>
      </c>
      <c r="EK32" s="102">
        <f>'USDT Yield Fund'!R13</f>
        <v>130000</v>
      </c>
      <c r="EL32" s="102">
        <f>'USDT Yield Fund'!R13</f>
        <v>130000</v>
      </c>
      <c r="EM32" s="103">
        <f>'USDT Yield Fund'!R13</f>
        <v>130000</v>
      </c>
      <c r="EO32" s="79" t="s">
        <v>171</v>
      </c>
      <c r="EP32" s="80" t="str">
        <f>'ETH Yield Fund'!AC18</f>
        <v/>
      </c>
      <c r="EQ32" s="80" t="str">
        <f>'ETH Yield Fund'!AC18</f>
        <v/>
      </c>
      <c r="ER32" s="80" t="str">
        <f>'ETH Yield Fund'!AC18</f>
        <v/>
      </c>
      <c r="ES32" s="81" t="str">
        <f>'ETH Yield Fund'!AC18</f>
        <v/>
      </c>
    </row>
    <row r="33">
      <c r="Y33" s="46"/>
      <c r="AW33" s="83" t="s">
        <v>172</v>
      </c>
      <c r="AX33" s="104">
        <v>10000.0</v>
      </c>
      <c r="AY33" s="104">
        <f t="shared" ref="AY33:BA33" si="46">46955.28+10000</f>
        <v>56955.28</v>
      </c>
      <c r="AZ33" s="104">
        <f t="shared" si="46"/>
        <v>56955.28</v>
      </c>
      <c r="BA33" s="105">
        <f t="shared" si="46"/>
        <v>56955.28</v>
      </c>
      <c r="BC33" s="83" t="s">
        <v>172</v>
      </c>
      <c r="BD33" s="104">
        <v>0.0</v>
      </c>
      <c r="BE33" s="104">
        <v>0.0</v>
      </c>
      <c r="BF33" s="104">
        <v>0.0</v>
      </c>
      <c r="BG33" s="105">
        <v>0.0</v>
      </c>
      <c r="BI33" s="46"/>
      <c r="BO33" s="83" t="s">
        <v>172</v>
      </c>
      <c r="BP33" s="104">
        <v>0.0</v>
      </c>
      <c r="BQ33" s="104">
        <v>0.0</v>
      </c>
      <c r="BR33" s="104">
        <v>0.0</v>
      </c>
      <c r="BS33" s="105">
        <v>0.0</v>
      </c>
      <c r="BU33" s="83" t="s">
        <v>172</v>
      </c>
      <c r="BV33" s="104">
        <v>0.0</v>
      </c>
      <c r="BW33" s="104">
        <v>0.0</v>
      </c>
      <c r="BX33" s="104">
        <v>0.0</v>
      </c>
      <c r="BY33" s="105">
        <v>0.0</v>
      </c>
      <c r="CA33" s="83" t="s">
        <v>172</v>
      </c>
      <c r="CB33" s="104">
        <v>25900.0</v>
      </c>
      <c r="CC33" s="104">
        <v>25900.0</v>
      </c>
      <c r="CD33" s="104">
        <v>25900.0</v>
      </c>
      <c r="CE33" s="105">
        <v>25900.0</v>
      </c>
      <c r="CG33" s="83" t="s">
        <v>172</v>
      </c>
      <c r="CH33" s="104">
        <v>0.0</v>
      </c>
      <c r="CI33" s="104">
        <v>0.0</v>
      </c>
      <c r="CJ33" s="104">
        <v>0.0</v>
      </c>
      <c r="CK33" s="105">
        <v>0.0</v>
      </c>
      <c r="CM33" s="83" t="s">
        <v>172</v>
      </c>
      <c r="CN33" s="104">
        <v>0.0</v>
      </c>
      <c r="CO33" s="104">
        <v>0.0</v>
      </c>
      <c r="CP33" s="104">
        <v>0.0</v>
      </c>
      <c r="CQ33" s="105">
        <v>0.0</v>
      </c>
      <c r="CS33" s="83"/>
      <c r="CT33" s="104"/>
      <c r="CU33" s="104"/>
      <c r="CV33" s="104"/>
      <c r="CW33" s="85"/>
      <c r="CY33" s="83" t="s">
        <v>172</v>
      </c>
      <c r="CZ33" s="104">
        <v>0.0</v>
      </c>
      <c r="DA33" s="104">
        <v>0.0</v>
      </c>
      <c r="DB33" s="104">
        <v>0.0</v>
      </c>
      <c r="DC33" s="105">
        <v>0.0</v>
      </c>
      <c r="DE33" s="83" t="s">
        <v>172</v>
      </c>
      <c r="DF33" s="104">
        <v>0.0</v>
      </c>
      <c r="DG33" s="104">
        <v>0.0</v>
      </c>
      <c r="DH33" s="104">
        <v>0.0</v>
      </c>
      <c r="DI33" s="105">
        <v>0.0</v>
      </c>
      <c r="DK33" s="83" t="s">
        <v>172</v>
      </c>
      <c r="DL33" s="104">
        <v>0.0</v>
      </c>
      <c r="DM33" s="104">
        <v>0.0</v>
      </c>
      <c r="DN33" s="104">
        <v>0.0</v>
      </c>
      <c r="DO33" s="105">
        <v>0.0</v>
      </c>
      <c r="DQ33" s="83" t="s">
        <v>172</v>
      </c>
      <c r="DR33" s="104">
        <v>0.0</v>
      </c>
      <c r="DS33" s="104">
        <v>0.0</v>
      </c>
      <c r="DT33" s="104">
        <v>0.0</v>
      </c>
      <c r="DU33" s="105">
        <v>0.0</v>
      </c>
      <c r="DW33" s="83"/>
      <c r="DX33" s="104"/>
      <c r="DY33" s="104"/>
      <c r="DZ33" s="104"/>
      <c r="EA33" s="85"/>
      <c r="EC33" s="83"/>
      <c r="ED33" s="104"/>
      <c r="EE33" s="104"/>
      <c r="EF33" s="104"/>
      <c r="EG33" s="85"/>
      <c r="EI33" s="83" t="s">
        <v>172</v>
      </c>
      <c r="EJ33" s="104">
        <v>0.0</v>
      </c>
      <c r="EK33" s="104">
        <v>0.0</v>
      </c>
      <c r="EL33" s="104">
        <v>0.0</v>
      </c>
      <c r="EM33" s="105">
        <v>0.0</v>
      </c>
      <c r="EO33" s="83" t="s">
        <v>172</v>
      </c>
      <c r="EP33" s="84">
        <v>0.0</v>
      </c>
      <c r="EQ33" s="84">
        <v>0.0</v>
      </c>
      <c r="ER33" s="84">
        <v>0.0</v>
      </c>
      <c r="ES33" s="85">
        <v>0.0</v>
      </c>
    </row>
    <row r="34">
      <c r="AW34" s="83" t="s">
        <v>173</v>
      </c>
      <c r="AX34" s="104">
        <v>0.0</v>
      </c>
      <c r="AY34" s="104">
        <v>0.0</v>
      </c>
      <c r="AZ34" s="104">
        <v>0.0</v>
      </c>
      <c r="BA34" s="105">
        <v>0.0</v>
      </c>
      <c r="BC34" s="83" t="s">
        <v>173</v>
      </c>
      <c r="BD34" s="104">
        <v>0.0</v>
      </c>
      <c r="BE34" s="104">
        <v>0.0</v>
      </c>
      <c r="BF34" s="104">
        <v>0.0</v>
      </c>
      <c r="BG34" s="105">
        <v>0.0</v>
      </c>
      <c r="BO34" s="83" t="s">
        <v>173</v>
      </c>
      <c r="BP34" s="104">
        <v>0.0</v>
      </c>
      <c r="BQ34" s="104">
        <v>0.0</v>
      </c>
      <c r="BR34" s="104">
        <v>0.0</v>
      </c>
      <c r="BS34" s="105">
        <v>0.0</v>
      </c>
      <c r="BU34" s="83" t="s">
        <v>173</v>
      </c>
      <c r="BV34" s="104">
        <v>0.0</v>
      </c>
      <c r="BW34" s="104">
        <v>0.0</v>
      </c>
      <c r="BX34" s="104">
        <v>0.0</v>
      </c>
      <c r="BY34" s="105">
        <v>0.0</v>
      </c>
      <c r="CA34" s="83" t="s">
        <v>173</v>
      </c>
      <c r="CB34" s="104">
        <v>0.0</v>
      </c>
      <c r="CC34" s="104">
        <v>0.0</v>
      </c>
      <c r="CD34" s="104">
        <v>0.0</v>
      </c>
      <c r="CE34" s="105">
        <v>0.0</v>
      </c>
      <c r="CG34" s="83" t="s">
        <v>173</v>
      </c>
      <c r="CH34" s="104">
        <v>0.0</v>
      </c>
      <c r="CI34" s="104">
        <v>0.0</v>
      </c>
      <c r="CJ34" s="104">
        <v>0.0</v>
      </c>
      <c r="CK34" s="105">
        <v>0.0</v>
      </c>
      <c r="CM34" s="83" t="s">
        <v>173</v>
      </c>
      <c r="CN34" s="104">
        <v>0.0</v>
      </c>
      <c r="CO34" s="104">
        <v>0.0</v>
      </c>
      <c r="CP34" s="104">
        <v>0.0</v>
      </c>
      <c r="CQ34" s="105">
        <v>0.0</v>
      </c>
      <c r="CS34" s="83"/>
      <c r="CT34" s="104"/>
      <c r="CU34" s="104"/>
      <c r="CV34" s="104"/>
      <c r="CW34" s="85"/>
      <c r="CY34" s="83" t="s">
        <v>173</v>
      </c>
      <c r="CZ34" s="104">
        <v>0.0</v>
      </c>
      <c r="DA34" s="104">
        <v>0.0</v>
      </c>
      <c r="DB34" s="104">
        <v>0.0</v>
      </c>
      <c r="DC34" s="105">
        <v>0.0</v>
      </c>
      <c r="DE34" s="83" t="s">
        <v>173</v>
      </c>
      <c r="DF34" s="104">
        <v>0.0</v>
      </c>
      <c r="DG34" s="104">
        <v>0.0</v>
      </c>
      <c r="DH34" s="104">
        <v>0.0</v>
      </c>
      <c r="DI34" s="105">
        <v>0.0</v>
      </c>
      <c r="DK34" s="83" t="s">
        <v>173</v>
      </c>
      <c r="DL34" s="104">
        <v>0.0</v>
      </c>
      <c r="DM34" s="104">
        <v>0.0</v>
      </c>
      <c r="DN34" s="104">
        <v>0.0</v>
      </c>
      <c r="DO34" s="105">
        <v>0.0</v>
      </c>
      <c r="DQ34" s="83" t="s">
        <v>173</v>
      </c>
      <c r="DR34" s="104">
        <v>0.0</v>
      </c>
      <c r="DS34" s="104">
        <v>0.0</v>
      </c>
      <c r="DT34" s="104">
        <v>0.0</v>
      </c>
      <c r="DU34" s="105">
        <v>0.0</v>
      </c>
      <c r="DW34" s="83"/>
      <c r="DX34" s="104"/>
      <c r="DY34" s="104"/>
      <c r="DZ34" s="104"/>
      <c r="EA34" s="85"/>
      <c r="EC34" s="83"/>
      <c r="ED34" s="104"/>
      <c r="EE34" s="104"/>
      <c r="EF34" s="104"/>
      <c r="EG34" s="85"/>
      <c r="EI34" s="83" t="s">
        <v>173</v>
      </c>
      <c r="EJ34" s="104">
        <v>0.0</v>
      </c>
      <c r="EK34" s="104">
        <v>0.0</v>
      </c>
      <c r="EL34" s="104">
        <v>0.0</v>
      </c>
      <c r="EM34" s="105">
        <v>0.0</v>
      </c>
      <c r="EO34" s="83" t="s">
        <v>173</v>
      </c>
      <c r="EP34" s="84">
        <v>0.0</v>
      </c>
      <c r="EQ34" s="84">
        <v>0.0</v>
      </c>
      <c r="ER34" s="84">
        <v>0.0</v>
      </c>
      <c r="ES34" s="85">
        <v>0.0</v>
      </c>
    </row>
    <row r="35">
      <c r="AW35" s="83" t="s">
        <v>174</v>
      </c>
      <c r="AX35" s="104">
        <f t="shared" ref="AX35:BA35" si="47">AX36-AX32-AX33</f>
        <v>1580.908926</v>
      </c>
      <c r="AY35" s="104">
        <f t="shared" si="47"/>
        <v>2431.321829</v>
      </c>
      <c r="AZ35" s="104">
        <f t="shared" si="47"/>
        <v>2879.974142</v>
      </c>
      <c r="BA35" s="105">
        <f t="shared" si="47"/>
        <v>2879.974142</v>
      </c>
      <c r="BC35" s="83" t="s">
        <v>174</v>
      </c>
      <c r="BD35" s="104">
        <f t="shared" ref="BD35:BG35" si="48">BD36-BD32-BD33</f>
        <v>438.005023</v>
      </c>
      <c r="BE35" s="104">
        <f t="shared" si="48"/>
        <v>438.005023</v>
      </c>
      <c r="BF35" s="104">
        <f t="shared" si="48"/>
        <v>438.005023</v>
      </c>
      <c r="BG35" s="105">
        <f t="shared" si="48"/>
        <v>438.005023</v>
      </c>
      <c r="BO35" s="83" t="s">
        <v>174</v>
      </c>
      <c r="BP35" s="104">
        <f t="shared" ref="BP35:BR35" si="49">BP36-BP32</f>
        <v>2468.029739</v>
      </c>
      <c r="BQ35" s="104">
        <f t="shared" si="49"/>
        <v>3710.099451</v>
      </c>
      <c r="BR35" s="104">
        <f t="shared" si="49"/>
        <v>3710.099451</v>
      </c>
      <c r="BS35" s="105">
        <f>BS36-BS32-BS33</f>
        <v>3710.099451</v>
      </c>
      <c r="BU35" s="83" t="s">
        <v>174</v>
      </c>
      <c r="BV35" s="104">
        <f t="shared" ref="BV35:BX35" si="50">BV36-BV32</f>
        <v>985.5010846</v>
      </c>
      <c r="BW35" s="104">
        <f t="shared" si="50"/>
        <v>1481.46798</v>
      </c>
      <c r="BX35" s="104">
        <f t="shared" si="50"/>
        <v>1481.46798</v>
      </c>
      <c r="BY35" s="105">
        <f>BY36-BY32-BY33</f>
        <v>1481.46798</v>
      </c>
      <c r="CA35" s="83" t="s">
        <v>174</v>
      </c>
      <c r="CB35" s="104">
        <f t="shared" ref="CB35:CE35" si="51">CB36-CB32-CB33</f>
        <v>2433.000742</v>
      </c>
      <c r="CC35" s="104">
        <f t="shared" si="51"/>
        <v>3592.04262</v>
      </c>
      <c r="CD35" s="104">
        <f t="shared" si="51"/>
        <v>3592.04262</v>
      </c>
      <c r="CE35" s="105">
        <f t="shared" si="51"/>
        <v>3592.04262</v>
      </c>
      <c r="CG35" s="83" t="s">
        <v>174</v>
      </c>
      <c r="CH35" s="104">
        <f t="shared" ref="CH35:CJ35" si="52">CH36-CH32</f>
        <v>986.0328963</v>
      </c>
      <c r="CI35" s="104">
        <f t="shared" si="52"/>
        <v>1482.267433</v>
      </c>
      <c r="CJ35" s="104">
        <f t="shared" si="52"/>
        <v>1482.267433</v>
      </c>
      <c r="CK35" s="105">
        <f>CK36-CK32-CK33</f>
        <v>1482.267433</v>
      </c>
      <c r="CM35" s="83" t="s">
        <v>174</v>
      </c>
      <c r="CN35" s="104">
        <f t="shared" ref="CN35:CP35" si="53">CN36-CN32</f>
        <v>989.4941789</v>
      </c>
      <c r="CO35" s="104">
        <f t="shared" si="53"/>
        <v>1487.470654</v>
      </c>
      <c r="CP35" s="104">
        <f t="shared" si="53"/>
        <v>1487.470654</v>
      </c>
      <c r="CQ35" s="105">
        <f>CQ36-CQ32-CQ33</f>
        <v>1487.470654</v>
      </c>
      <c r="CS35" s="83"/>
      <c r="CT35" s="104"/>
      <c r="CU35" s="104"/>
      <c r="CV35" s="104"/>
      <c r="CW35" s="85"/>
      <c r="CY35" s="83" t="s">
        <v>174</v>
      </c>
      <c r="CZ35" s="104">
        <f t="shared" ref="CZ35:DB35" si="54">CZ36-CZ32</f>
        <v>1596.482629</v>
      </c>
      <c r="DA35" s="104">
        <f t="shared" si="54"/>
        <v>2162.580482</v>
      </c>
      <c r="DB35" s="104">
        <f t="shared" si="54"/>
        <v>2162.580482</v>
      </c>
      <c r="DC35" s="105">
        <f>DC36-DC32-DC33</f>
        <v>2162.580482</v>
      </c>
      <c r="DE35" s="83" t="s">
        <v>174</v>
      </c>
      <c r="DF35" s="104">
        <f t="shared" ref="DF35:DH35" si="55">DF36-DF32</f>
        <v>1229.465057</v>
      </c>
      <c r="DG35" s="104">
        <f t="shared" si="55"/>
        <v>1509.946941</v>
      </c>
      <c r="DH35" s="104">
        <f t="shared" si="55"/>
        <v>1509.946941</v>
      </c>
      <c r="DI35" s="105">
        <f>DI36-DI32-DI33</f>
        <v>1509.946941</v>
      </c>
      <c r="DK35" s="83" t="s">
        <v>174</v>
      </c>
      <c r="DL35" s="104">
        <f t="shared" ref="DL35:DN35" si="56">DL36-DL32</f>
        <v>2002.280912</v>
      </c>
      <c r="DM35" s="104">
        <f t="shared" si="56"/>
        <v>2459.067805</v>
      </c>
      <c r="DN35" s="104">
        <f t="shared" si="56"/>
        <v>2459.067805</v>
      </c>
      <c r="DO35" s="105">
        <f>DO36-DO32-DO33</f>
        <v>2459.067805</v>
      </c>
      <c r="DQ35" s="83" t="s">
        <v>174</v>
      </c>
      <c r="DR35" s="104">
        <f t="shared" ref="DR35:DT35" si="57">DR36-DR32</f>
        <v>1975.846024</v>
      </c>
      <c r="DS35" s="104">
        <f t="shared" si="57"/>
        <v>2426.60224</v>
      </c>
      <c r="DT35" s="104">
        <f t="shared" si="57"/>
        <v>2426.60224</v>
      </c>
      <c r="DU35" s="105">
        <f>DU36-DU32-DU33</f>
        <v>2426.60224</v>
      </c>
      <c r="DW35" s="83"/>
      <c r="DX35" s="104"/>
      <c r="DY35" s="104"/>
      <c r="DZ35" s="104"/>
      <c r="EA35" s="85"/>
      <c r="EC35" s="83"/>
      <c r="ED35" s="104"/>
      <c r="EE35" s="104"/>
      <c r="EF35" s="104"/>
      <c r="EG35" s="85"/>
      <c r="EI35" s="83" t="s">
        <v>174</v>
      </c>
      <c r="EJ35" s="104">
        <f t="shared" ref="EJ35:EL35" si="58">EJ36-EJ32</f>
        <v>1224.215807</v>
      </c>
      <c r="EK35" s="104">
        <f t="shared" si="58"/>
        <v>1224.215807</v>
      </c>
      <c r="EL35" s="104">
        <f t="shared" si="58"/>
        <v>1224.215807</v>
      </c>
      <c r="EM35" s="105">
        <f>EM36-EM32-EM33</f>
        <v>1224.215807</v>
      </c>
      <c r="EO35" s="83" t="s">
        <v>174</v>
      </c>
      <c r="EP35" s="84">
        <f t="shared" ref="EP35:ER35" si="59">EP36-EP32</f>
        <v>0</v>
      </c>
      <c r="EQ35" s="84">
        <f t="shared" si="59"/>
        <v>0</v>
      </c>
      <c r="ER35" s="84">
        <f t="shared" si="59"/>
        <v>0</v>
      </c>
      <c r="ES35" s="85">
        <f>ES36-ES32-ES33</f>
        <v>0</v>
      </c>
    </row>
    <row r="36">
      <c r="AW36" s="87" t="s">
        <v>175</v>
      </c>
      <c r="AX36" s="106">
        <f>'USDT Yield Fund'!U3</f>
        <v>195562.0041</v>
      </c>
      <c r="AY36" s="106">
        <f t="shared" ref="AY36:AZ36" si="60">AX36</f>
        <v>195562.0041</v>
      </c>
      <c r="AZ36" s="106">
        <f t="shared" si="60"/>
        <v>195562.0041</v>
      </c>
      <c r="BA36" s="107">
        <f>AX36</f>
        <v>195562.0041</v>
      </c>
      <c r="BC36" s="87" t="s">
        <v>175</v>
      </c>
      <c r="BD36" s="106">
        <f>'USDT Yield Fund'!U14</f>
        <v>111808.005</v>
      </c>
      <c r="BE36" s="106">
        <f t="shared" ref="BE36:BF36" si="61">BD36</f>
        <v>111808.005</v>
      </c>
      <c r="BF36" s="106">
        <f t="shared" si="61"/>
        <v>111808.005</v>
      </c>
      <c r="BG36" s="107">
        <f>BD36</f>
        <v>111808.005</v>
      </c>
      <c r="BO36" s="87" t="s">
        <v>175</v>
      </c>
      <c r="BP36" s="106">
        <f>'USDT Yield Fund'!U8</f>
        <v>277517.0995</v>
      </c>
      <c r="BQ36" s="106">
        <f t="shared" ref="BQ36:BR36" si="62">BP36</f>
        <v>277517.0995</v>
      </c>
      <c r="BR36" s="106">
        <f t="shared" si="62"/>
        <v>277517.0995</v>
      </c>
      <c r="BS36" s="107">
        <f>BP36</f>
        <v>277517.0995</v>
      </c>
      <c r="BU36" s="87" t="s">
        <v>175</v>
      </c>
      <c r="BV36" s="106">
        <f>'USDT Yield Fund'!U6</f>
        <v>110814.468</v>
      </c>
      <c r="BW36" s="106">
        <f t="shared" ref="BW36:BX36" si="63">BV36</f>
        <v>110814.468</v>
      </c>
      <c r="BX36" s="106">
        <f t="shared" si="63"/>
        <v>110814.468</v>
      </c>
      <c r="BY36" s="107">
        <f>BV36</f>
        <v>110814.468</v>
      </c>
      <c r="CA36" s="87" t="s">
        <v>175</v>
      </c>
      <c r="CB36" s="106">
        <f>'USDT Yield Fund'!U7</f>
        <v>284996.0426</v>
      </c>
      <c r="CC36" s="106">
        <f t="shared" ref="CC36:CD36" si="64">CB36</f>
        <v>284996.0426</v>
      </c>
      <c r="CD36" s="106">
        <f t="shared" si="64"/>
        <v>284996.0426</v>
      </c>
      <c r="CE36" s="107">
        <f>CB36</f>
        <v>284996.0426</v>
      </c>
      <c r="CG36" s="87" t="s">
        <v>175</v>
      </c>
      <c r="CH36" s="106">
        <f>'USDT Yield Fund'!U4</f>
        <v>110874.2674</v>
      </c>
      <c r="CI36" s="106">
        <f t="shared" ref="CI36:CJ36" si="65">CH36</f>
        <v>110874.2674</v>
      </c>
      <c r="CJ36" s="106">
        <f t="shared" si="65"/>
        <v>110874.2674</v>
      </c>
      <c r="CK36" s="107">
        <f>CH36</f>
        <v>110874.2674</v>
      </c>
      <c r="CM36" s="87" t="s">
        <v>175</v>
      </c>
      <c r="CN36" s="106">
        <f>'USDT Yield Fund'!U5</f>
        <v>111263.4707</v>
      </c>
      <c r="CO36" s="106">
        <f t="shared" ref="CO36:CP36" si="66">CN36</f>
        <v>111263.4707</v>
      </c>
      <c r="CP36" s="106">
        <f t="shared" si="66"/>
        <v>111263.4707</v>
      </c>
      <c r="CQ36" s="107">
        <f>CN36</f>
        <v>111263.4707</v>
      </c>
      <c r="CS36" s="87"/>
      <c r="CT36" s="106"/>
      <c r="CU36" s="106"/>
      <c r="CV36" s="106"/>
      <c r="CW36" s="89"/>
      <c r="CY36" s="87" t="s">
        <v>175</v>
      </c>
      <c r="CZ36" s="106">
        <f>'USDT Yield Fund'!U9</f>
        <v>201822.3005</v>
      </c>
      <c r="DA36" s="106">
        <f t="shared" ref="DA36:DB36" si="67">CZ36</f>
        <v>201822.3005</v>
      </c>
      <c r="DB36" s="106">
        <f t="shared" si="67"/>
        <v>201822.3005</v>
      </c>
      <c r="DC36" s="107">
        <f>CZ36</f>
        <v>201822.3005</v>
      </c>
      <c r="DE36" s="87" t="s">
        <v>175</v>
      </c>
      <c r="DF36" s="106">
        <f>'USDT Yield Fund'!U10</f>
        <v>138246.9469</v>
      </c>
      <c r="DG36" s="106">
        <f t="shared" ref="DG36:DH36" si="68">DF36</f>
        <v>138246.9469</v>
      </c>
      <c r="DH36" s="106">
        <f t="shared" si="68"/>
        <v>138246.9469</v>
      </c>
      <c r="DI36" s="107">
        <f>DF36</f>
        <v>138246.9469</v>
      </c>
      <c r="DK36" s="87" t="s">
        <v>175</v>
      </c>
      <c r="DL36" s="106">
        <f>'USDT Yield Fund'!U11</f>
        <v>225146.0678</v>
      </c>
      <c r="DM36" s="106">
        <f t="shared" ref="DM36:DN36" si="69">DL36</f>
        <v>225146.0678</v>
      </c>
      <c r="DN36" s="106">
        <f t="shared" si="69"/>
        <v>225146.0678</v>
      </c>
      <c r="DO36" s="107">
        <f>DL36</f>
        <v>225146.0678</v>
      </c>
      <c r="DQ36" s="87" t="s">
        <v>175</v>
      </c>
      <c r="DR36" s="106">
        <f>'USDT Yield Fund'!U12</f>
        <v>222173.6022</v>
      </c>
      <c r="DS36" s="106">
        <f t="shared" ref="DS36:DT36" si="70">DR36</f>
        <v>222173.6022</v>
      </c>
      <c r="DT36" s="106">
        <f t="shared" si="70"/>
        <v>222173.6022</v>
      </c>
      <c r="DU36" s="107">
        <f>DR36</f>
        <v>222173.6022</v>
      </c>
      <c r="DW36" s="87"/>
      <c r="DX36" s="106"/>
      <c r="DY36" s="106"/>
      <c r="DZ36" s="106"/>
      <c r="EA36" s="89"/>
      <c r="EC36" s="87"/>
      <c r="ED36" s="106"/>
      <c r="EE36" s="106"/>
      <c r="EF36" s="106"/>
      <c r="EG36" s="89"/>
      <c r="EI36" s="87" t="s">
        <v>175</v>
      </c>
      <c r="EJ36" s="106">
        <f>'USDT Yield Fund'!U13</f>
        <v>131224.2158</v>
      </c>
      <c r="EK36" s="106">
        <f t="shared" ref="EK36:EL36" si="71">EJ36</f>
        <v>131224.2158</v>
      </c>
      <c r="EL36" s="106">
        <f t="shared" si="71"/>
        <v>131224.2158</v>
      </c>
      <c r="EM36" s="107">
        <f>EJ36</f>
        <v>131224.2158</v>
      </c>
      <c r="EO36" s="87" t="s">
        <v>175</v>
      </c>
      <c r="EP36" s="88" t="str">
        <f>'ETH Yield Fund'!AD18</f>
        <v/>
      </c>
      <c r="EQ36" s="88" t="str">
        <f t="shared" ref="EQ36:ER36" si="72">EP36</f>
        <v/>
      </c>
      <c r="ER36" s="88" t="str">
        <f t="shared" si="72"/>
        <v/>
      </c>
      <c r="ES36" s="89" t="str">
        <f>EP36</f>
        <v/>
      </c>
    </row>
    <row r="37">
      <c r="AW37" s="91" t="s">
        <v>176</v>
      </c>
      <c r="AX37" s="92">
        <f t="shared" ref="AX37:BA37" si="73">AX35/AX32</f>
        <v>0.008592779186</v>
      </c>
      <c r="AY37" s="92">
        <f t="shared" si="73"/>
        <v>0.01785433924</v>
      </c>
      <c r="AZ37" s="92">
        <f t="shared" si="73"/>
        <v>0.02121891331</v>
      </c>
      <c r="BA37" s="93">
        <f t="shared" si="73"/>
        <v>0.02121891331</v>
      </c>
      <c r="BC37" s="91" t="s">
        <v>176</v>
      </c>
      <c r="BD37" s="92">
        <f t="shared" ref="BD37:BG37" si="74">BD35/BD32</f>
        <v>0.003932881593</v>
      </c>
      <c r="BE37" s="92">
        <f t="shared" si="74"/>
        <v>0.003932881593</v>
      </c>
      <c r="BF37" s="92">
        <f t="shared" si="74"/>
        <v>0.003932881593</v>
      </c>
      <c r="BG37" s="93">
        <f t="shared" si="74"/>
        <v>0.003932881593</v>
      </c>
      <c r="BO37" s="91" t="s">
        <v>176</v>
      </c>
      <c r="BP37" s="92">
        <f t="shared" ref="BP37:BS37" si="75">BP35/BP32</f>
        <v>0.008973052488</v>
      </c>
      <c r="BQ37" s="92">
        <f t="shared" si="75"/>
        <v>0.01355005333</v>
      </c>
      <c r="BR37" s="92">
        <f t="shared" si="75"/>
        <v>0.01355005333</v>
      </c>
      <c r="BS37" s="93">
        <f t="shared" si="75"/>
        <v>0.01355005333</v>
      </c>
      <c r="BU37" s="91" t="s">
        <v>176</v>
      </c>
      <c r="BV37" s="92">
        <f t="shared" ref="BV37:BY37" si="76">BV35/BV32</f>
        <v>0.008973052488</v>
      </c>
      <c r="BW37" s="92">
        <f t="shared" si="76"/>
        <v>0.01355005333</v>
      </c>
      <c r="BX37" s="92">
        <f t="shared" si="76"/>
        <v>0.01355005333</v>
      </c>
      <c r="BY37" s="93">
        <f t="shared" si="76"/>
        <v>0.01355005333</v>
      </c>
      <c r="CA37" s="91" t="s">
        <v>176</v>
      </c>
      <c r="CB37" s="92">
        <f t="shared" ref="CB37:CE37" si="77">CB35/CB32</f>
        <v>0.009479357541</v>
      </c>
      <c r="CC37" s="92">
        <f t="shared" si="77"/>
        <v>0.01405865513</v>
      </c>
      <c r="CD37" s="92">
        <f t="shared" si="77"/>
        <v>0.01405865513</v>
      </c>
      <c r="CE37" s="93">
        <f t="shared" si="77"/>
        <v>0.01405865513</v>
      </c>
      <c r="CG37" s="91" t="s">
        <v>176</v>
      </c>
      <c r="CH37" s="92">
        <f t="shared" ref="CH37:CK37" si="78">CH35/CH32</f>
        <v>0.008973052488</v>
      </c>
      <c r="CI37" s="92">
        <f t="shared" si="78"/>
        <v>0.01355005333</v>
      </c>
      <c r="CJ37" s="92">
        <f t="shared" si="78"/>
        <v>0.01355005333</v>
      </c>
      <c r="CK37" s="93">
        <f t="shared" si="78"/>
        <v>0.01355005333</v>
      </c>
      <c r="CM37" s="91" t="s">
        <v>176</v>
      </c>
      <c r="CN37" s="92">
        <f t="shared" ref="CN37:CQ37" si="79">CN35/CN32</f>
        <v>0.008973052488</v>
      </c>
      <c r="CO37" s="92">
        <f t="shared" si="79"/>
        <v>0.01355005333</v>
      </c>
      <c r="CP37" s="92">
        <f t="shared" si="79"/>
        <v>0.01355005333</v>
      </c>
      <c r="CQ37" s="93">
        <f t="shared" si="79"/>
        <v>0.01355005333</v>
      </c>
      <c r="CS37" s="91"/>
      <c r="CT37" s="92"/>
      <c r="CU37" s="92"/>
      <c r="CV37" s="92"/>
      <c r="CW37" s="93"/>
      <c r="CY37" s="91" t="s">
        <v>176</v>
      </c>
      <c r="CZ37" s="92">
        <f t="shared" ref="CZ37:DC37" si="80">CZ35/CZ32</f>
        <v>0.007973410454</v>
      </c>
      <c r="DA37" s="92">
        <f t="shared" si="80"/>
        <v>0.01083133084</v>
      </c>
      <c r="DB37" s="92">
        <f t="shared" si="80"/>
        <v>0.01083133084</v>
      </c>
      <c r="DC37" s="93">
        <f t="shared" si="80"/>
        <v>0.01083133084</v>
      </c>
      <c r="DE37" s="91" t="s">
        <v>176</v>
      </c>
      <c r="DF37" s="92">
        <f t="shared" ref="DF37:DI37" si="81">DF35/DF32</f>
        <v>0.008973052488</v>
      </c>
      <c r="DG37" s="92">
        <f t="shared" si="81"/>
        <v>0.0110427093</v>
      </c>
      <c r="DH37" s="92">
        <f t="shared" si="81"/>
        <v>0.0110427093</v>
      </c>
      <c r="DI37" s="93">
        <f t="shared" si="81"/>
        <v>0.0110427093</v>
      </c>
      <c r="DK37" s="91" t="s">
        <v>176</v>
      </c>
      <c r="DL37" s="92">
        <f t="shared" ref="DL37:DO37" si="82">DL35/DL32</f>
        <v>0.008973052488</v>
      </c>
      <c r="DM37" s="92">
        <f t="shared" si="82"/>
        <v>0.0110427093</v>
      </c>
      <c r="DN37" s="92">
        <f t="shared" si="82"/>
        <v>0.0110427093</v>
      </c>
      <c r="DO37" s="93">
        <f t="shared" si="82"/>
        <v>0.0110427093</v>
      </c>
      <c r="DQ37" s="91" t="s">
        <v>176</v>
      </c>
      <c r="DR37" s="92">
        <f t="shared" ref="DR37:DU37" si="83">DR35/DR32</f>
        <v>0.008973052488</v>
      </c>
      <c r="DS37" s="92">
        <f t="shared" si="83"/>
        <v>0.0110427093</v>
      </c>
      <c r="DT37" s="92">
        <f t="shared" si="83"/>
        <v>0.0110427093</v>
      </c>
      <c r="DU37" s="93">
        <f t="shared" si="83"/>
        <v>0.0110427093</v>
      </c>
      <c r="DW37" s="91"/>
      <c r="DX37" s="92"/>
      <c r="DY37" s="92"/>
      <c r="DZ37" s="92"/>
      <c r="EA37" s="93"/>
      <c r="EC37" s="91"/>
      <c r="ED37" s="92"/>
      <c r="EE37" s="92"/>
      <c r="EF37" s="92"/>
      <c r="EG37" s="93"/>
      <c r="EI37" s="91" t="s">
        <v>176</v>
      </c>
      <c r="EJ37" s="92">
        <f t="shared" ref="EJ37:EM37" si="84">EJ35/EJ32</f>
        <v>0.009417044669</v>
      </c>
      <c r="EK37" s="92">
        <f t="shared" si="84"/>
        <v>0.009417044669</v>
      </c>
      <c r="EL37" s="92">
        <f t="shared" si="84"/>
        <v>0.009417044669</v>
      </c>
      <c r="EM37" s="93">
        <f t="shared" si="84"/>
        <v>0.009417044669</v>
      </c>
      <c r="EO37" s="91" t="s">
        <v>176</v>
      </c>
      <c r="EP37" s="92" t="str">
        <f t="shared" ref="EP37:ES37" si="85">IFERROR(EP35/EP32,"")</f>
        <v/>
      </c>
      <c r="EQ37" s="92" t="str">
        <f t="shared" si="85"/>
        <v/>
      </c>
      <c r="ER37" s="92" t="str">
        <f t="shared" si="85"/>
        <v/>
      </c>
      <c r="ES37" s="93" t="str">
        <f t="shared" si="85"/>
        <v/>
      </c>
    </row>
  </sheetData>
  <mergeCells count="89">
    <mergeCell ref="G10:K10"/>
    <mergeCell ref="M10:Q10"/>
    <mergeCell ref="S10:W10"/>
    <mergeCell ref="Y10:AC10"/>
    <mergeCell ref="AE10:AI10"/>
    <mergeCell ref="AK10:AO10"/>
    <mergeCell ref="G11:K11"/>
    <mergeCell ref="A10:E10"/>
    <mergeCell ref="A12:E12"/>
    <mergeCell ref="G12:K12"/>
    <mergeCell ref="M12:Q12"/>
    <mergeCell ref="S12:W12"/>
    <mergeCell ref="Y12:AC12"/>
    <mergeCell ref="AE12:AI12"/>
    <mergeCell ref="DE21:DI21"/>
    <mergeCell ref="DK21:DO21"/>
    <mergeCell ref="EO21:ES21"/>
    <mergeCell ref="BO21:BS21"/>
    <mergeCell ref="BU21:BY21"/>
    <mergeCell ref="CA21:CE21"/>
    <mergeCell ref="CG21:CK21"/>
    <mergeCell ref="CM21:CQ21"/>
    <mergeCell ref="CS21:CW21"/>
    <mergeCell ref="CY21:DC21"/>
    <mergeCell ref="AW30:BA30"/>
    <mergeCell ref="BC30:BG30"/>
    <mergeCell ref="BO30:BS30"/>
    <mergeCell ref="BU30:BY30"/>
    <mergeCell ref="CA30:CE30"/>
    <mergeCell ref="CG30:CK30"/>
    <mergeCell ref="CM30:CQ30"/>
    <mergeCell ref="CS30:CW30"/>
    <mergeCell ref="CY30:DC30"/>
    <mergeCell ref="DE30:DI30"/>
    <mergeCell ref="DK30:DO30"/>
    <mergeCell ref="DQ30:DU30"/>
    <mergeCell ref="DW30:EA30"/>
    <mergeCell ref="EC30:EG30"/>
    <mergeCell ref="EI30:EM30"/>
    <mergeCell ref="EO30:ES30"/>
    <mergeCell ref="AQ10:AU10"/>
    <mergeCell ref="AW10:BA10"/>
    <mergeCell ref="BC10:BG10"/>
    <mergeCell ref="BI10:BM10"/>
    <mergeCell ref="BO10:BS10"/>
    <mergeCell ref="BU10:BY10"/>
    <mergeCell ref="CA10:CE10"/>
    <mergeCell ref="DW10:EA10"/>
    <mergeCell ref="EC10:EG10"/>
    <mergeCell ref="EI10:EM10"/>
    <mergeCell ref="EO10:ES10"/>
    <mergeCell ref="CG10:CK10"/>
    <mergeCell ref="CM10:CQ10"/>
    <mergeCell ref="CS10:CW10"/>
    <mergeCell ref="CY10:DC10"/>
    <mergeCell ref="DE10:DI10"/>
    <mergeCell ref="DK10:DO10"/>
    <mergeCell ref="DQ10:DU10"/>
    <mergeCell ref="AK12:AO12"/>
    <mergeCell ref="AQ12:AU12"/>
    <mergeCell ref="AW12:BA12"/>
    <mergeCell ref="BC12:BG12"/>
    <mergeCell ref="BI12:BM12"/>
    <mergeCell ref="BO12:BS12"/>
    <mergeCell ref="BU12:BY12"/>
    <mergeCell ref="BC20:BG20"/>
    <mergeCell ref="DQ12:DU12"/>
    <mergeCell ref="DW12:EA12"/>
    <mergeCell ref="EC12:EG12"/>
    <mergeCell ref="EI12:EM12"/>
    <mergeCell ref="EO12:ES12"/>
    <mergeCell ref="CA12:CE12"/>
    <mergeCell ref="CG12:CK12"/>
    <mergeCell ref="CM12:CQ12"/>
    <mergeCell ref="CS12:CW12"/>
    <mergeCell ref="CY12:DC12"/>
    <mergeCell ref="DE12:DI12"/>
    <mergeCell ref="DK12:DO12"/>
    <mergeCell ref="DQ21:DU21"/>
    <mergeCell ref="DW21:EA21"/>
    <mergeCell ref="EC21:EG21"/>
    <mergeCell ref="EI21:EM21"/>
    <mergeCell ref="A21:E21"/>
    <mergeCell ref="AE21:AI21"/>
    <mergeCell ref="AK21:AO21"/>
    <mergeCell ref="AQ21:AU21"/>
    <mergeCell ref="AW21:BA21"/>
    <mergeCell ref="BC21:BG21"/>
    <mergeCell ref="BI21:BM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5" max="5" width="3.75"/>
    <col customWidth="1" min="9" max="9" width="3.75"/>
    <col customWidth="1" min="10" max="10" width="15.75"/>
    <col customWidth="1" min="11" max="13" width="12.63"/>
    <col customWidth="1" min="15" max="15" width="13.88"/>
    <col customWidth="1" min="16" max="16" width="16.5"/>
    <col customWidth="1" min="17" max="17" width="14.38"/>
    <col customWidth="1" min="18" max="18" width="3.75"/>
    <col customWidth="1" min="19" max="19" width="12.0"/>
    <col customWidth="1" min="20" max="20" width="16.75"/>
    <col customWidth="1" min="21" max="21" width="16.38"/>
  </cols>
  <sheetData>
    <row r="1">
      <c r="B1" s="108" t="s">
        <v>4</v>
      </c>
      <c r="F1" s="108" t="s">
        <v>188</v>
      </c>
      <c r="J1" s="108" t="s">
        <v>189</v>
      </c>
      <c r="S1" s="108" t="s">
        <v>190</v>
      </c>
      <c r="V1" s="78"/>
      <c r="W1" s="78"/>
      <c r="X1" s="78"/>
      <c r="Y1" s="78"/>
      <c r="Z1" s="78"/>
    </row>
    <row r="2">
      <c r="B2" s="109">
        <f>3.5%/12</f>
        <v>0.002916666667</v>
      </c>
      <c r="C2" s="109">
        <f>7.5%/12</f>
        <v>0.00625</v>
      </c>
      <c r="D2" s="109">
        <f>7.75%/12</f>
        <v>0.006458333333</v>
      </c>
      <c r="F2" s="109"/>
      <c r="G2" s="109"/>
      <c r="H2" s="109"/>
      <c r="J2" s="110">
        <f t="shared" ref="J2:Q2" si="1">SUM(J4:J996)</f>
        <v>0.1063181617</v>
      </c>
      <c r="K2" s="110">
        <f t="shared" si="1"/>
        <v>0.04981479564</v>
      </c>
      <c r="L2" s="110">
        <f t="shared" si="1"/>
        <v>0</v>
      </c>
      <c r="M2" s="110">
        <f t="shared" si="1"/>
        <v>0.5218233197</v>
      </c>
      <c r="N2" s="110">
        <f t="shared" si="1"/>
        <v>0.8979658698</v>
      </c>
      <c r="O2" s="111">
        <f t="shared" si="1"/>
        <v>3157.862002</v>
      </c>
      <c r="P2" s="112">
        <f t="shared" si="1"/>
        <v>22455.1692</v>
      </c>
      <c r="Q2" s="112">
        <f t="shared" si="1"/>
        <v>26648.84904</v>
      </c>
      <c r="S2" s="113" t="s">
        <v>191</v>
      </c>
      <c r="V2" s="114"/>
      <c r="W2" s="114"/>
      <c r="X2" s="114"/>
      <c r="Y2" s="114"/>
      <c r="Z2" s="114"/>
    </row>
    <row r="3">
      <c r="B3" s="115" t="s">
        <v>46</v>
      </c>
      <c r="C3" s="115" t="s">
        <v>47</v>
      </c>
      <c r="D3" s="115" t="s">
        <v>192</v>
      </c>
      <c r="F3" s="115"/>
      <c r="G3" s="115"/>
      <c r="H3" s="115"/>
      <c r="J3" s="115" t="s">
        <v>193</v>
      </c>
      <c r="K3" s="115" t="s">
        <v>194</v>
      </c>
      <c r="L3" s="115" t="s">
        <v>195</v>
      </c>
      <c r="M3" s="115" t="s">
        <v>60</v>
      </c>
      <c r="N3" s="115" t="s">
        <v>196</v>
      </c>
      <c r="O3" s="115" t="s">
        <v>197</v>
      </c>
      <c r="P3" s="116" t="s">
        <v>198</v>
      </c>
      <c r="Q3" s="116" t="s">
        <v>199</v>
      </c>
      <c r="S3" s="115"/>
      <c r="T3" s="115" t="s">
        <v>200</v>
      </c>
      <c r="U3" s="115" t="s">
        <v>201</v>
      </c>
      <c r="V3" s="114"/>
      <c r="W3" s="114"/>
      <c r="X3" s="114"/>
      <c r="Y3" s="114"/>
      <c r="Z3" s="114"/>
    </row>
    <row r="4">
      <c r="A4" s="117">
        <v>45504.0</v>
      </c>
      <c r="B4" s="118">
        <f>'BTC Yield Fund'!E3</f>
        <v>0.005074971165</v>
      </c>
      <c r="C4" s="118">
        <f>'Done - ETH TAC Program'!E3</f>
        <v>0.01001626016</v>
      </c>
      <c r="D4" s="119">
        <v>0.0123</v>
      </c>
      <c r="F4" s="118"/>
      <c r="G4" s="118"/>
      <c r="H4" s="119"/>
      <c r="J4" s="120">
        <f>'BTC Yield Fund'!K2</f>
        <v>0.0044</v>
      </c>
      <c r="K4" s="121">
        <v>0.0</v>
      </c>
      <c r="L4" s="121">
        <v>0.0</v>
      </c>
      <c r="M4" s="121">
        <v>0.0</v>
      </c>
      <c r="N4" s="120">
        <f>'Done - ETH TAC Program'!K2</f>
        <v>0.154</v>
      </c>
      <c r="O4" s="104">
        <v>0.0</v>
      </c>
      <c r="P4" s="122">
        <f t="shared" ref="P4:P17" si="2">SUM(J4:L4)*T4+SUM(M4:N4)*U4+O4</f>
        <v>646.52962</v>
      </c>
      <c r="Q4" s="122">
        <f t="shared" ref="Q4:Q17" si="3">SUM(J4:L4)*VLOOKUP(max($S$4:$S$996),$S$4:$T$996,2,FALSE)+SUM(M4:N4)*VLOOKUP(max($S$4:$S$996),$S$4:$U$996,3,FALSE)+O4</f>
        <v>1164.338032</v>
      </c>
      <c r="S4" s="123">
        <v>45505.0</v>
      </c>
      <c r="T4" s="124">
        <v>58969.9</v>
      </c>
      <c r="U4" s="124">
        <v>2513.39</v>
      </c>
      <c r="V4" s="114"/>
      <c r="W4" s="114"/>
      <c r="X4" s="114"/>
      <c r="Y4" s="114"/>
      <c r="Z4" s="114"/>
    </row>
    <row r="5">
      <c r="A5" s="117">
        <v>45535.0</v>
      </c>
      <c r="B5" s="118">
        <f>(1+'BTC Yield Fund'!E6)*(1+'BTC Yield Fund'!E4)-1</f>
        <v>0.003750143266</v>
      </c>
      <c r="C5" s="118">
        <f>'Done - ETH TAC Program'!E4</f>
        <v>0.007066002891</v>
      </c>
      <c r="D5" s="119">
        <v>0.0136</v>
      </c>
      <c r="F5" s="118"/>
      <c r="G5" s="118"/>
      <c r="H5" s="119"/>
      <c r="J5" s="120">
        <f>'BTC Yield Fund'!M2-'BTC Yield Fund'!K2</f>
        <v>0.003837591539</v>
      </c>
      <c r="K5" s="121">
        <v>0.0</v>
      </c>
      <c r="L5" s="121">
        <v>0.0</v>
      </c>
      <c r="M5" s="121">
        <v>0.0</v>
      </c>
      <c r="N5" s="120">
        <f>'Done - ETH TAC Program'!L2-'Done - ETH TAC Program'!K2</f>
        <v>0.1110881644</v>
      </c>
      <c r="O5" s="104">
        <v>0.0</v>
      </c>
      <c r="P5" s="122">
        <f t="shared" si="2"/>
        <v>532.2019107</v>
      </c>
      <c r="Q5" s="122">
        <f t="shared" si="3"/>
        <v>913.1510116</v>
      </c>
      <c r="S5" s="123">
        <v>45536.0</v>
      </c>
      <c r="T5" s="124">
        <v>63329.5</v>
      </c>
      <c r="U5" s="124">
        <v>2603.06</v>
      </c>
      <c r="V5" s="114"/>
      <c r="W5" s="114"/>
      <c r="X5" s="114"/>
      <c r="Y5" s="114"/>
      <c r="Z5" s="114"/>
    </row>
    <row r="6">
      <c r="A6" s="117">
        <v>45565.0</v>
      </c>
      <c r="B6" s="118">
        <f>'BTC Yield Fund'!E7</f>
        <v>0.004355716878</v>
      </c>
      <c r="C6" s="118">
        <f>'Done - ETH TAC Program'!E5</f>
        <v>0.006494746896</v>
      </c>
      <c r="D6" s="119">
        <v>0.0128</v>
      </c>
      <c r="F6" s="118"/>
      <c r="G6" s="118"/>
      <c r="H6" s="119"/>
      <c r="J6" s="120">
        <f>'BTC Yield Fund'!N2-'BTC Yield Fund'!M2</f>
        <v>0.005490574561</v>
      </c>
      <c r="K6" s="121">
        <v>0.0</v>
      </c>
      <c r="L6" s="121">
        <v>0.0</v>
      </c>
      <c r="M6" s="121">
        <v>0.0</v>
      </c>
      <c r="N6" s="120">
        <f>'Done - ETH TAC Program'!M2-'Done - ETH TAC Program'!L2</f>
        <v>0.1037216805</v>
      </c>
      <c r="O6" s="104">
        <v>0.0</v>
      </c>
      <c r="P6" s="122">
        <f t="shared" si="2"/>
        <v>646.4647399</v>
      </c>
      <c r="Q6" s="122">
        <f t="shared" si="3"/>
        <v>1063.145861</v>
      </c>
      <c r="S6" s="123">
        <v>45566.0</v>
      </c>
      <c r="T6" s="124">
        <v>70215.19</v>
      </c>
      <c r="U6" s="124">
        <v>2515.8</v>
      </c>
      <c r="V6" s="114"/>
      <c r="W6" s="114"/>
      <c r="X6" s="114"/>
      <c r="Y6" s="114"/>
      <c r="Z6" s="114"/>
    </row>
    <row r="7">
      <c r="A7" s="117">
        <v>45596.0</v>
      </c>
      <c r="B7" s="118">
        <f>'BTC Yield Fund'!E9</f>
        <v>0.004047661488</v>
      </c>
      <c r="C7" s="125">
        <f t="shared" ref="C7:C9" si="4">1.66%*0.8</f>
        <v>0.01328</v>
      </c>
      <c r="D7" s="119">
        <v>0.0132</v>
      </c>
      <c r="F7" s="118"/>
      <c r="G7" s="125"/>
      <c r="H7" s="119"/>
      <c r="J7" s="120">
        <f>'BTC Yield Fund'!O2-'BTC Yield Fund'!N2</f>
        <v>0.01012099782</v>
      </c>
      <c r="K7" s="121">
        <v>0.0</v>
      </c>
      <c r="L7" s="121">
        <v>0.0</v>
      </c>
      <c r="M7" s="121">
        <v>0.0</v>
      </c>
      <c r="N7" s="120">
        <f>'Done - ETH TAC Program'!O2-'Done - ETH TAC Program'!M2</f>
        <v>0.06292554054</v>
      </c>
      <c r="O7" s="104">
        <v>0.0</v>
      </c>
      <c r="P7" s="122">
        <f t="shared" si="2"/>
        <v>1209.34443</v>
      </c>
      <c r="Q7" s="122">
        <f t="shared" si="3"/>
        <v>1394.473112</v>
      </c>
      <c r="S7" s="123">
        <v>45597.0</v>
      </c>
      <c r="T7" s="124">
        <v>96449.05</v>
      </c>
      <c r="U7" s="124">
        <v>3705.71</v>
      </c>
      <c r="V7" s="114"/>
      <c r="W7" s="114"/>
      <c r="X7" s="114"/>
      <c r="Y7" s="114"/>
      <c r="Z7" s="114"/>
    </row>
    <row r="8">
      <c r="A8" s="117">
        <v>45626.0</v>
      </c>
      <c r="B8" s="118">
        <f>(1+'BTC Yield Fund'!E10)*(1+'BTC Yield Fund'!E12)-1</f>
        <v>0.004405362939</v>
      </c>
      <c r="C8" s="125">
        <f t="shared" si="4"/>
        <v>0.01328</v>
      </c>
      <c r="D8" s="119">
        <v>0.0124</v>
      </c>
      <c r="F8" s="118"/>
      <c r="G8" s="125"/>
      <c r="H8" s="119"/>
      <c r="J8" s="120">
        <f>'BTC Yield Fund'!Q2-'BTC Yield Fund'!O2</f>
        <v>0.01101879377</v>
      </c>
      <c r="K8" s="121">
        <v>0.0</v>
      </c>
      <c r="L8" s="121">
        <v>0.0</v>
      </c>
      <c r="M8" s="121">
        <v>0.0</v>
      </c>
      <c r="N8" s="120">
        <f>'Done - ETH TAC Program'!P2-'Done - ETH TAC Program'!O2</f>
        <v>0</v>
      </c>
      <c r="O8" s="104">
        <v>0.0</v>
      </c>
      <c r="P8" s="122">
        <f t="shared" si="2"/>
        <v>1029.477087</v>
      </c>
      <c r="Q8" s="122">
        <f t="shared" si="3"/>
        <v>1216.266908</v>
      </c>
      <c r="S8" s="123">
        <v>45627.0</v>
      </c>
      <c r="T8" s="124">
        <v>93429.2</v>
      </c>
      <c r="U8" s="124">
        <v>3332.53</v>
      </c>
      <c r="V8" s="114"/>
      <c r="W8" s="114"/>
      <c r="X8" s="114"/>
      <c r="Y8" s="114"/>
      <c r="Z8" s="114"/>
    </row>
    <row r="9">
      <c r="A9" s="117">
        <v>45657.0</v>
      </c>
      <c r="B9" s="118">
        <f>(1+'BTC Yield Fund'!E13)*(1+'BTC Yield Fund'!E16)-1</f>
        <v>0.005562323502</v>
      </c>
      <c r="C9" s="125">
        <f t="shared" si="4"/>
        <v>0.01328</v>
      </c>
      <c r="D9" s="119">
        <v>0.0127</v>
      </c>
      <c r="F9" s="118"/>
      <c r="G9" s="125"/>
      <c r="H9" s="119"/>
      <c r="J9" s="120">
        <f>'BTC Yield Fund'!T2-'BTC Yield Fund'!Q2</f>
        <v>0.007512657955</v>
      </c>
      <c r="K9" s="120">
        <f>'DONE - BTC Boosted Program'!L2</f>
        <v>0.004558287964</v>
      </c>
      <c r="L9" s="121">
        <v>0.0</v>
      </c>
      <c r="M9" s="121">
        <v>0.0</v>
      </c>
      <c r="N9" s="120">
        <f>'Done - ETH TAC Program'!Q2-'Done - ETH TAC Program'!P2</f>
        <v>0</v>
      </c>
      <c r="O9" s="104">
        <v>0.0</v>
      </c>
      <c r="P9" s="122">
        <f t="shared" si="2"/>
        <v>1236.125458</v>
      </c>
      <c r="Q9" s="122">
        <f t="shared" si="3"/>
        <v>1332.404651</v>
      </c>
      <c r="S9" s="123">
        <v>45658.0</v>
      </c>
      <c r="T9" s="124">
        <v>102405.02</v>
      </c>
      <c r="U9" s="124">
        <v>3298.27</v>
      </c>
      <c r="V9" s="114"/>
      <c r="W9" s="114"/>
      <c r="X9" s="114"/>
      <c r="Y9" s="114"/>
      <c r="Z9" s="114"/>
    </row>
    <row r="10">
      <c r="A10" s="117">
        <v>45688.0</v>
      </c>
      <c r="B10" s="118">
        <f>'BTC Yield Fund'!E17</f>
        <v>0.0046875</v>
      </c>
      <c r="C10" s="118">
        <f>'Done - ETH TAC Program'!E12</f>
        <v>0.004491829414</v>
      </c>
      <c r="D10" s="119">
        <v>0.013</v>
      </c>
      <c r="F10" s="118"/>
      <c r="G10" s="118"/>
      <c r="H10" s="119"/>
      <c r="J10" s="120">
        <f>'BTC Yield Fund'!U2-'BTC Yield Fund'!T2</f>
        <v>0.004424168797</v>
      </c>
      <c r="K10" s="120">
        <f>'DONE - BTC Boosted Program'!M2-'DONE - BTC Boosted Program'!L2</f>
        <v>0.01309659436</v>
      </c>
      <c r="L10" s="121">
        <v>0.0</v>
      </c>
      <c r="M10" s="121">
        <v>0.0</v>
      </c>
      <c r="N10" s="120">
        <f>'Done - ETH TAC Program'!R2-'Done - ETH TAC Program'!Q2</f>
        <v>0.0734014415</v>
      </c>
      <c r="O10" s="104">
        <v>0.0</v>
      </c>
      <c r="P10" s="122">
        <f t="shared" si="2"/>
        <v>1642.545345</v>
      </c>
      <c r="Q10" s="122">
        <f t="shared" si="3"/>
        <v>2257.433714</v>
      </c>
      <c r="S10" s="123">
        <v>45689.0</v>
      </c>
      <c r="T10" s="124">
        <v>84373.01</v>
      </c>
      <c r="U10" s="124">
        <v>2237.91</v>
      </c>
      <c r="V10" s="114"/>
      <c r="W10" s="114"/>
      <c r="X10" s="114"/>
      <c r="Y10" s="114"/>
      <c r="Z10" s="114"/>
    </row>
    <row r="11">
      <c r="A11" s="117">
        <v>45716.0</v>
      </c>
      <c r="B11" s="118">
        <f>'BTC Yield Fund'!E18</f>
        <v>0.003106796117</v>
      </c>
      <c r="C11" s="118">
        <f>'Done - ETH TAC Program'!E13</f>
        <v>0.009920385242</v>
      </c>
      <c r="D11" s="119">
        <v>0.0126</v>
      </c>
      <c r="F11" s="118"/>
      <c r="G11" s="118"/>
      <c r="H11" s="119"/>
      <c r="J11" s="120">
        <f>'BTC Yield Fund'!V2-'BTC Yield Fund'!U2</f>
        <v>0.002962419363</v>
      </c>
      <c r="K11" s="120">
        <f>'DONE - BTC Boosted Program'!N2-'DONE - BTC Boosted Program'!M2</f>
        <v>0.01211386489</v>
      </c>
      <c r="L11" s="121">
        <v>0.0</v>
      </c>
      <c r="M11" s="121">
        <v>0.0</v>
      </c>
      <c r="N11" s="120">
        <f>'Done - ETH TAC Program'!S2-'Done - ETH TAC Program'!R2</f>
        <v>0.1637243604</v>
      </c>
      <c r="O11" s="104">
        <v>0.0</v>
      </c>
      <c r="P11" s="122">
        <f t="shared" si="2"/>
        <v>1543.078929</v>
      </c>
      <c r="Q11" s="122">
        <f t="shared" si="3"/>
        <v>2385.652539</v>
      </c>
      <c r="S11" s="123">
        <v>45717.0</v>
      </c>
      <c r="T11" s="124">
        <v>82548.91</v>
      </c>
      <c r="U11" s="124">
        <v>1823.48</v>
      </c>
      <c r="V11" s="114"/>
      <c r="W11" s="114"/>
      <c r="X11" s="114"/>
      <c r="Y11" s="114"/>
      <c r="Z11" s="114"/>
    </row>
    <row r="12">
      <c r="A12" s="117">
        <v>45747.0</v>
      </c>
      <c r="B12" s="118">
        <f>'BTC Yield Fund'!E19</f>
        <v>0.003094777563</v>
      </c>
      <c r="C12" s="118">
        <f>'Done - ETH TAC Program'!E15</f>
        <v>0.002277969736</v>
      </c>
      <c r="D12" s="119">
        <v>0.0131</v>
      </c>
      <c r="F12" s="118"/>
      <c r="G12" s="118"/>
      <c r="H12" s="119"/>
      <c r="J12" s="120">
        <f>'BTC Yield Fund'!W2-'BTC Yield Fund'!V2</f>
        <v>0.002971024866</v>
      </c>
      <c r="K12" s="120">
        <f>'DONE - BTC Boosted Program'!O2-'DONE - BTC Boosted Program'!N2</f>
        <v>0.01221242586</v>
      </c>
      <c r="L12" s="121">
        <v>0.0</v>
      </c>
      <c r="M12" s="121">
        <v>0.0</v>
      </c>
      <c r="N12" s="120">
        <f>'Done - ETH TAC Program'!T2-'Done - ETH TAC Program'!S2</f>
        <v>0.03842011628</v>
      </c>
      <c r="O12" s="104">
        <v>0.0</v>
      </c>
      <c r="P12" s="122">
        <f t="shared" si="2"/>
        <v>1499.309286</v>
      </c>
      <c r="Q12" s="122">
        <f t="shared" si="3"/>
        <v>1845.279675</v>
      </c>
      <c r="S12" s="123">
        <v>45748.0</v>
      </c>
      <c r="T12" s="124">
        <v>94207.31</v>
      </c>
      <c r="U12" s="124">
        <v>1793.78</v>
      </c>
      <c r="V12" s="114"/>
      <c r="W12" s="114"/>
      <c r="X12" s="114"/>
      <c r="Y12" s="114"/>
      <c r="Z12" s="114"/>
    </row>
    <row r="13">
      <c r="A13" s="117">
        <v>45777.0</v>
      </c>
      <c r="B13" s="118">
        <f>(1+'BTC Yield Fund'!E21)*(1+'BTC Yield Fund'!E23)-1</f>
        <v>0.008523906305</v>
      </c>
      <c r="C13" s="118">
        <f>'Done - ETH TAC Program'!E17</f>
        <v>0.009567043333</v>
      </c>
      <c r="D13" s="119">
        <v>0.00826</v>
      </c>
      <c r="F13" s="118"/>
      <c r="G13" s="118"/>
      <c r="H13" s="119"/>
      <c r="J13" s="120">
        <f>'BTC Yield Fund'!Y2-'BTC Yield Fund'!W2-SUM(K9:K13)</f>
        <v>0.01340901364</v>
      </c>
      <c r="K13" s="120">
        <f>'DONE - BTC Boosted Program'!P2-'DONE - BTC Boosted Program'!O2</f>
        <v>0.007833622571</v>
      </c>
      <c r="L13" s="121">
        <v>0.0</v>
      </c>
      <c r="M13" s="121">
        <v>0.0</v>
      </c>
      <c r="N13" s="120">
        <f>'Done - ETH TAC Program'!U2-'Done - ETH TAC Program'!T2</f>
        <v>0.1621660481</v>
      </c>
      <c r="O13" s="104">
        <v>0.0</v>
      </c>
      <c r="P13" s="122">
        <f t="shared" si="2"/>
        <v>2632.92141</v>
      </c>
      <c r="Q13" s="122">
        <f t="shared" si="3"/>
        <v>3059.434124</v>
      </c>
      <c r="S13" s="123">
        <v>45778.0</v>
      </c>
      <c r="T13" s="124">
        <v>104638.09</v>
      </c>
      <c r="U13" s="124">
        <v>2529.09</v>
      </c>
      <c r="V13" s="114"/>
      <c r="W13" s="114"/>
      <c r="X13" s="114"/>
      <c r="Y13" s="114"/>
      <c r="Z13" s="114"/>
    </row>
    <row r="14">
      <c r="A14" s="117">
        <v>45808.0</v>
      </c>
      <c r="B14" s="125">
        <f>(1+'BTC Yield Fund'!E24)*(1+'BTC Yield Fund'!E27)-1</f>
        <v>0.004770260516</v>
      </c>
      <c r="C14" s="118">
        <f>'Done - ETH TAC Program'!E18</f>
        <v>0.001895213886</v>
      </c>
      <c r="D14" s="119">
        <v>0.00765</v>
      </c>
      <c r="F14" s="125"/>
      <c r="G14" s="118"/>
      <c r="H14" s="119"/>
      <c r="J14" s="120">
        <f>'BTC Yield Fund'!AA2-'BTC Yield Fund'!Y2</f>
        <v>0.01134322425</v>
      </c>
      <c r="K14" s="121">
        <v>0.0</v>
      </c>
      <c r="L14" s="121">
        <v>0.0</v>
      </c>
      <c r="M14" s="120">
        <f>'ETH Yield Fund'!M2</f>
        <v>0.005294767586</v>
      </c>
      <c r="N14" s="120">
        <f>'Done - ETH TAC Program'!V2-'Done - ETH TAC Program'!U2</f>
        <v>0.03280028257</v>
      </c>
      <c r="O14" s="104">
        <v>0.0</v>
      </c>
      <c r="P14" s="122">
        <f t="shared" si="2"/>
        <v>1309.982005</v>
      </c>
      <c r="Q14" s="122">
        <f t="shared" si="3"/>
        <v>1419.958606</v>
      </c>
      <c r="S14" s="123">
        <v>45809.0</v>
      </c>
      <c r="T14" s="124">
        <v>107135.34</v>
      </c>
      <c r="U14" s="124">
        <v>2486.46</v>
      </c>
    </row>
    <row r="15">
      <c r="A15" s="117">
        <v>45838.0</v>
      </c>
      <c r="B15" s="118">
        <f>(1+'BTC Yield Fund'!E29)*(1+'BTC Yield Fund'!E31)-1</f>
        <v>0.003059012141</v>
      </c>
      <c r="C15" s="118">
        <f>'Done - ETH TAC Program'!E19</f>
        <v>0.001812152992</v>
      </c>
      <c r="D15" s="119">
        <v>0.0101</v>
      </c>
      <c r="F15" s="118"/>
      <c r="G15" s="118"/>
      <c r="H15" s="119"/>
      <c r="J15" s="120">
        <f>'BTC Yield Fund'!AC2-'BTC Yield Fund'!AA2</f>
        <v>0.007375286332</v>
      </c>
      <c r="K15" s="121">
        <v>0.0</v>
      </c>
      <c r="L15" s="121">
        <v>0.0</v>
      </c>
      <c r="M15" s="120">
        <f>'ETH Yield Fund'!N2-'ETH Yield Fund'!M2</f>
        <v>0.08600338208</v>
      </c>
      <c r="N15" s="120">
        <f>'Done - ETH TAC Program'!W2-'Done - ETH TAC Program'!V2</f>
        <v>0.03149276124</v>
      </c>
      <c r="O15" s="104">
        <v>0.0</v>
      </c>
      <c r="P15" s="122">
        <f t="shared" si="2"/>
        <v>1288.099038</v>
      </c>
      <c r="Q15" s="122">
        <f t="shared" si="3"/>
        <v>1331.885018</v>
      </c>
      <c r="S15" s="123">
        <v>45839.0</v>
      </c>
      <c r="T15" s="124">
        <v>115758.2</v>
      </c>
      <c r="U15" s="124">
        <v>3696.71</v>
      </c>
    </row>
    <row r="16">
      <c r="A16" s="117">
        <v>45869.0</v>
      </c>
      <c r="B16" s="118">
        <f>(1+'BTC Yield Fund'!E32)*(1+'BTC Yield Fund'!E34)*(1+'BTC Yield Fund'!E36)*(1+'BTC Yield Fund'!E38)-1</f>
        <v>0.00386199079</v>
      </c>
      <c r="C16" s="118">
        <f>(1+'ETH Yield Fund'!E7)*(1+'ETH Yield Fund'!E9)-1</f>
        <v>0.008016547048</v>
      </c>
      <c r="D16" s="125">
        <f>(1+'USDT Yield Fund'!E4)*(1+'USDT Yield Fund'!E6)*(1+'USDT Yield Fund'!E8)*(1+'USDT Yield Fund'!E10)-1</f>
        <v>0.005267324077</v>
      </c>
      <c r="F16" s="118"/>
      <c r="G16" s="118"/>
      <c r="H16" s="125"/>
      <c r="J16" s="120">
        <f>'BTC Yield Fund'!AG2-'BTC Yield Fund'!AC2</f>
        <v>0.01121883728</v>
      </c>
      <c r="K16" s="121">
        <v>0.0</v>
      </c>
      <c r="L16" s="121">
        <v>0.0</v>
      </c>
      <c r="M16" s="120">
        <f>'ETH Yield Fund'!Q2-'ETH Yield Fund'!N2-SUM(N4:N16)</f>
        <v>0.1708040563</v>
      </c>
      <c r="N16" s="121">
        <f>'Done - ETH TAC Program'!X2-'Done - ETH TAC Program'!W2</f>
        <v>-0.03577452579</v>
      </c>
      <c r="O16" s="104">
        <f>'USDT Yield Fund'!Q2</f>
        <v>919.7724406</v>
      </c>
      <c r="P16" s="122">
        <f t="shared" si="2"/>
        <v>2726.844817</v>
      </c>
      <c r="Q16" s="122">
        <f t="shared" si="3"/>
        <v>2753.180665</v>
      </c>
      <c r="S16" s="123">
        <v>45870.0</v>
      </c>
      <c r="T16" s="124">
        <v>108236.71</v>
      </c>
      <c r="U16" s="124">
        <v>4390.02</v>
      </c>
    </row>
    <row r="17">
      <c r="A17" s="117">
        <v>45900.0</v>
      </c>
      <c r="B17" s="118">
        <f>(1+'BTC Yield Fund'!E40)*(1+'BTC Yield Fund'!E42)*(1+'BTC Yield Fund'!E44)-1</f>
        <v>0.002923974837</v>
      </c>
      <c r="C17" s="118">
        <f>'ETH Yield Fund'!E12</f>
        <v>0.006853377097</v>
      </c>
      <c r="D17" s="125">
        <f>(1+'USDT Yield Fund'!E11)*(1+'USDT Yield Fund'!E13)*(1+'USDT Yield Fund'!E15)*(1+'USDT Yield Fund'!E17)-1</f>
        <v>0.007973410454</v>
      </c>
      <c r="F17" s="118"/>
      <c r="G17" s="118"/>
      <c r="H17" s="125"/>
      <c r="J17" s="120">
        <f>'BTC Yield Fund'!AJ2-'BTC Yield Fund'!AG2</f>
        <v>0.01023357149</v>
      </c>
      <c r="K17" s="121">
        <v>0.0</v>
      </c>
      <c r="L17" s="121">
        <v>0.0</v>
      </c>
      <c r="M17" s="120">
        <f>'ETH Yield Fund'!R2-'ETH Yield Fund'!Q2</f>
        <v>0.2597211138</v>
      </c>
      <c r="N17" s="121">
        <v>0.0</v>
      </c>
      <c r="O17" s="104">
        <f>'USDT Yield Fund'!U2-'USDT Yield Fund'!Q2</f>
        <v>2238.089562</v>
      </c>
      <c r="P17" s="122">
        <f t="shared" si="2"/>
        <v>4512.245126</v>
      </c>
      <c r="Q17" s="122">
        <f t="shared" si="3"/>
        <v>4512.245126</v>
      </c>
      <c r="S17" s="123">
        <v>45901.0</v>
      </c>
      <c r="T17" s="124">
        <v>110381.13</v>
      </c>
      <c r="U17" s="124">
        <v>4406.89</v>
      </c>
    </row>
    <row r="18">
      <c r="B18" s="16"/>
      <c r="F18" s="16"/>
      <c r="O18" s="56"/>
      <c r="P18" s="49"/>
      <c r="T18" s="124"/>
      <c r="U18" s="124"/>
    </row>
    <row r="19">
      <c r="O19" s="56"/>
      <c r="P19" s="49"/>
      <c r="T19" s="124"/>
      <c r="U19" s="124"/>
    </row>
    <row r="20">
      <c r="O20" s="56"/>
      <c r="P20" s="49"/>
      <c r="T20" s="124"/>
      <c r="U20" s="124"/>
    </row>
    <row r="21">
      <c r="O21" s="56"/>
      <c r="P21" s="49"/>
      <c r="T21" s="124"/>
      <c r="U21" s="124"/>
    </row>
    <row r="22">
      <c r="O22" s="56"/>
      <c r="P22" s="49"/>
      <c r="T22" s="124"/>
      <c r="U22" s="124"/>
    </row>
    <row r="23">
      <c r="O23" s="56"/>
      <c r="P23" s="49"/>
      <c r="T23" s="124"/>
      <c r="U23" s="124"/>
    </row>
    <row r="24">
      <c r="O24" s="56"/>
      <c r="P24" s="49"/>
      <c r="T24" s="124"/>
      <c r="U24" s="124"/>
    </row>
    <row r="25">
      <c r="O25" s="56"/>
      <c r="P25" s="49"/>
      <c r="T25" s="124"/>
      <c r="U25" s="124"/>
    </row>
    <row r="26">
      <c r="O26" s="56"/>
      <c r="P26" s="49"/>
      <c r="T26" s="124"/>
      <c r="U26" s="124"/>
    </row>
    <row r="27">
      <c r="O27" s="56"/>
      <c r="P27" s="49"/>
      <c r="T27" s="124"/>
      <c r="U27" s="124"/>
    </row>
    <row r="28">
      <c r="O28" s="56"/>
      <c r="P28" s="49"/>
      <c r="T28" s="124"/>
      <c r="U28" s="124"/>
    </row>
    <row r="29">
      <c r="O29" s="56"/>
      <c r="P29" s="49"/>
      <c r="T29" s="124"/>
      <c r="U29" s="124"/>
    </row>
    <row r="30">
      <c r="O30" s="56"/>
      <c r="P30" s="49"/>
      <c r="T30" s="124"/>
      <c r="U30" s="124"/>
    </row>
    <row r="31">
      <c r="O31" s="56"/>
      <c r="P31" s="49"/>
      <c r="T31" s="124"/>
      <c r="U31" s="124"/>
    </row>
    <row r="32">
      <c r="O32" s="56"/>
      <c r="P32" s="49"/>
    </row>
    <row r="33">
      <c r="O33" s="56"/>
      <c r="P33" s="49"/>
    </row>
    <row r="34">
      <c r="O34" s="56"/>
      <c r="P34" s="49"/>
    </row>
    <row r="35">
      <c r="O35" s="56"/>
      <c r="P35" s="49"/>
    </row>
    <row r="36">
      <c r="O36" s="56"/>
      <c r="P36" s="49"/>
    </row>
    <row r="37">
      <c r="O37" s="56"/>
      <c r="P37" s="49"/>
    </row>
    <row r="38">
      <c r="O38" s="56"/>
      <c r="P38" s="49"/>
    </row>
    <row r="39">
      <c r="O39" s="56"/>
      <c r="P39" s="49"/>
    </row>
    <row r="40">
      <c r="O40" s="56"/>
      <c r="P40" s="49"/>
    </row>
    <row r="41">
      <c r="O41" s="56"/>
      <c r="P41" s="49"/>
    </row>
    <row r="42">
      <c r="O42" s="56"/>
      <c r="P42" s="49"/>
    </row>
    <row r="43">
      <c r="O43" s="56"/>
      <c r="P43" s="49"/>
    </row>
    <row r="44">
      <c r="O44" s="56"/>
      <c r="P44" s="49"/>
    </row>
    <row r="45">
      <c r="O45" s="56"/>
      <c r="P45" s="49"/>
    </row>
    <row r="46">
      <c r="O46" s="56"/>
      <c r="P46" s="49"/>
    </row>
    <row r="47">
      <c r="O47" s="56"/>
      <c r="P47" s="49"/>
    </row>
    <row r="48">
      <c r="O48" s="56"/>
      <c r="P48" s="49"/>
    </row>
    <row r="49">
      <c r="O49" s="56"/>
      <c r="P49" s="49"/>
    </row>
    <row r="50">
      <c r="O50" s="56"/>
      <c r="P50" s="49"/>
    </row>
    <row r="51">
      <c r="O51" s="56"/>
      <c r="P51" s="49"/>
    </row>
    <row r="52">
      <c r="O52" s="56"/>
      <c r="P52" s="49"/>
    </row>
    <row r="53">
      <c r="O53" s="56"/>
      <c r="P53" s="49"/>
    </row>
    <row r="54">
      <c r="O54" s="56"/>
      <c r="P54" s="49"/>
    </row>
    <row r="55">
      <c r="O55" s="56"/>
      <c r="P55" s="49"/>
    </row>
    <row r="56">
      <c r="O56" s="56"/>
      <c r="P56" s="49"/>
    </row>
    <row r="57">
      <c r="O57" s="56"/>
      <c r="P57" s="49"/>
    </row>
    <row r="58">
      <c r="O58" s="56"/>
      <c r="P58" s="49"/>
    </row>
    <row r="59">
      <c r="O59" s="56"/>
      <c r="P59" s="49"/>
    </row>
    <row r="60">
      <c r="O60" s="56"/>
      <c r="P60" s="49"/>
    </row>
    <row r="61">
      <c r="O61" s="56"/>
      <c r="P61" s="49"/>
    </row>
    <row r="62">
      <c r="O62" s="56"/>
      <c r="P62" s="49"/>
    </row>
    <row r="63">
      <c r="O63" s="56"/>
      <c r="P63" s="49"/>
    </row>
    <row r="64">
      <c r="O64" s="56"/>
      <c r="P64" s="49"/>
    </row>
    <row r="65">
      <c r="O65" s="56"/>
      <c r="P65" s="49"/>
    </row>
    <row r="66">
      <c r="O66" s="56"/>
      <c r="P66" s="49"/>
    </row>
    <row r="67">
      <c r="O67" s="56"/>
      <c r="P67" s="49"/>
    </row>
    <row r="68">
      <c r="O68" s="56"/>
      <c r="P68" s="49"/>
    </row>
    <row r="69">
      <c r="O69" s="56"/>
      <c r="P69" s="49"/>
    </row>
    <row r="70">
      <c r="O70" s="56"/>
      <c r="P70" s="49"/>
    </row>
    <row r="71">
      <c r="O71" s="56"/>
      <c r="P71" s="49"/>
    </row>
    <row r="72">
      <c r="O72" s="56"/>
      <c r="P72" s="49"/>
    </row>
    <row r="73">
      <c r="O73" s="56"/>
      <c r="P73" s="49"/>
    </row>
    <row r="74">
      <c r="O74" s="56"/>
      <c r="P74" s="49"/>
    </row>
    <row r="75">
      <c r="O75" s="56"/>
      <c r="P75" s="49"/>
    </row>
    <row r="76">
      <c r="O76" s="56"/>
      <c r="P76" s="49"/>
    </row>
    <row r="77">
      <c r="O77" s="56"/>
      <c r="P77" s="49"/>
    </row>
    <row r="78">
      <c r="O78" s="56"/>
      <c r="P78" s="49"/>
    </row>
    <row r="79">
      <c r="O79" s="56"/>
      <c r="P79" s="49"/>
    </row>
    <row r="80">
      <c r="O80" s="56"/>
      <c r="P80" s="49"/>
    </row>
    <row r="81">
      <c r="O81" s="56"/>
      <c r="P81" s="49"/>
    </row>
    <row r="82">
      <c r="O82" s="56"/>
      <c r="P82" s="49"/>
    </row>
    <row r="83">
      <c r="O83" s="56"/>
      <c r="P83" s="49"/>
    </row>
    <row r="84">
      <c r="O84" s="56"/>
      <c r="P84" s="49"/>
    </row>
    <row r="85">
      <c r="O85" s="56"/>
      <c r="P85" s="49"/>
    </row>
    <row r="86">
      <c r="O86" s="56"/>
      <c r="P86" s="49"/>
    </row>
    <row r="87">
      <c r="O87" s="56"/>
      <c r="P87" s="49"/>
    </row>
    <row r="88">
      <c r="O88" s="56"/>
      <c r="P88" s="49"/>
    </row>
    <row r="89">
      <c r="O89" s="56"/>
      <c r="P89" s="49"/>
    </row>
    <row r="90">
      <c r="O90" s="56"/>
      <c r="P90" s="49"/>
    </row>
    <row r="91">
      <c r="O91" s="56"/>
      <c r="P91" s="49"/>
    </row>
    <row r="92">
      <c r="O92" s="56"/>
      <c r="P92" s="49"/>
    </row>
    <row r="93">
      <c r="O93" s="56"/>
      <c r="P93" s="49"/>
    </row>
    <row r="94">
      <c r="O94" s="56"/>
      <c r="P94" s="49"/>
    </row>
    <row r="95">
      <c r="O95" s="56"/>
      <c r="P95" s="49"/>
    </row>
    <row r="96">
      <c r="O96" s="56"/>
      <c r="P96" s="49"/>
    </row>
    <row r="97">
      <c r="O97" s="56"/>
      <c r="P97" s="49"/>
    </row>
    <row r="98">
      <c r="O98" s="56"/>
      <c r="P98" s="49"/>
    </row>
    <row r="99">
      <c r="O99" s="56"/>
      <c r="P99" s="49"/>
    </row>
    <row r="100">
      <c r="O100" s="56"/>
      <c r="P100" s="49"/>
    </row>
    <row r="101">
      <c r="O101" s="56"/>
      <c r="P101" s="49"/>
    </row>
    <row r="102">
      <c r="O102" s="56"/>
      <c r="P102" s="49"/>
    </row>
    <row r="103">
      <c r="O103" s="56"/>
      <c r="P103" s="49"/>
    </row>
    <row r="104">
      <c r="O104" s="56"/>
      <c r="P104" s="49"/>
    </row>
    <row r="105">
      <c r="O105" s="56"/>
      <c r="P105" s="49"/>
    </row>
    <row r="106">
      <c r="O106" s="56"/>
      <c r="P106" s="49"/>
    </row>
    <row r="107">
      <c r="O107" s="56"/>
      <c r="P107" s="49"/>
    </row>
    <row r="108">
      <c r="O108" s="56"/>
      <c r="P108" s="49"/>
    </row>
    <row r="109">
      <c r="O109" s="56"/>
      <c r="P109" s="49"/>
    </row>
    <row r="110">
      <c r="O110" s="56"/>
      <c r="P110" s="49"/>
    </row>
    <row r="111">
      <c r="O111" s="56"/>
      <c r="P111" s="49"/>
    </row>
    <row r="112">
      <c r="O112" s="56"/>
      <c r="P112" s="49"/>
    </row>
    <row r="113">
      <c r="O113" s="56"/>
      <c r="P113" s="49"/>
    </row>
    <row r="114">
      <c r="O114" s="56"/>
      <c r="P114" s="49"/>
    </row>
    <row r="115">
      <c r="O115" s="56"/>
      <c r="P115" s="49"/>
    </row>
    <row r="116">
      <c r="O116" s="56"/>
      <c r="P116" s="49"/>
    </row>
    <row r="117">
      <c r="O117" s="56"/>
      <c r="P117" s="49"/>
    </row>
    <row r="118">
      <c r="O118" s="56"/>
      <c r="P118" s="49"/>
    </row>
    <row r="119">
      <c r="O119" s="56"/>
      <c r="P119" s="49"/>
    </row>
    <row r="120">
      <c r="O120" s="56"/>
      <c r="P120" s="49"/>
    </row>
    <row r="121">
      <c r="O121" s="56"/>
      <c r="P121" s="49"/>
    </row>
    <row r="122">
      <c r="O122" s="56"/>
      <c r="P122" s="49"/>
    </row>
    <row r="123">
      <c r="O123" s="56"/>
      <c r="P123" s="49"/>
    </row>
    <row r="124">
      <c r="O124" s="56"/>
      <c r="P124" s="49"/>
    </row>
    <row r="125">
      <c r="O125" s="56"/>
      <c r="P125" s="49"/>
    </row>
    <row r="126">
      <c r="O126" s="56"/>
      <c r="P126" s="49"/>
    </row>
    <row r="127">
      <c r="O127" s="56"/>
      <c r="P127" s="49"/>
    </row>
    <row r="128">
      <c r="O128" s="56"/>
      <c r="P128" s="49"/>
    </row>
    <row r="129">
      <c r="O129" s="56"/>
      <c r="P129" s="49"/>
    </row>
    <row r="130">
      <c r="O130" s="56"/>
      <c r="P130" s="49"/>
    </row>
    <row r="131">
      <c r="O131" s="56"/>
      <c r="P131" s="49"/>
    </row>
    <row r="132">
      <c r="O132" s="56"/>
      <c r="P132" s="49"/>
    </row>
    <row r="133">
      <c r="O133" s="56"/>
      <c r="P133" s="49"/>
    </row>
    <row r="134">
      <c r="O134" s="56"/>
      <c r="P134" s="49"/>
    </row>
    <row r="135">
      <c r="O135" s="56"/>
      <c r="P135" s="49"/>
    </row>
    <row r="136">
      <c r="O136" s="56"/>
      <c r="P136" s="49"/>
    </row>
    <row r="137">
      <c r="O137" s="56"/>
      <c r="P137" s="49"/>
    </row>
    <row r="138">
      <c r="O138" s="56"/>
      <c r="P138" s="49"/>
    </row>
    <row r="139">
      <c r="O139" s="56"/>
      <c r="P139" s="49"/>
    </row>
    <row r="140">
      <c r="O140" s="56"/>
      <c r="P140" s="49"/>
    </row>
    <row r="141">
      <c r="O141" s="56"/>
      <c r="P141" s="49"/>
    </row>
    <row r="142">
      <c r="O142" s="56"/>
      <c r="P142" s="49"/>
    </row>
    <row r="143">
      <c r="O143" s="56"/>
      <c r="P143" s="49"/>
    </row>
    <row r="144">
      <c r="O144" s="56"/>
      <c r="P144" s="49"/>
    </row>
    <row r="145">
      <c r="O145" s="56"/>
      <c r="P145" s="49"/>
    </row>
    <row r="146">
      <c r="O146" s="56"/>
      <c r="P146" s="49"/>
    </row>
    <row r="147">
      <c r="O147" s="56"/>
      <c r="P147" s="49"/>
    </row>
    <row r="148">
      <c r="O148" s="56"/>
      <c r="P148" s="49"/>
    </row>
    <row r="149">
      <c r="O149" s="56"/>
      <c r="P149" s="49"/>
    </row>
    <row r="150">
      <c r="O150" s="56"/>
      <c r="P150" s="49"/>
    </row>
    <row r="151">
      <c r="O151" s="56"/>
      <c r="P151" s="49"/>
    </row>
    <row r="152">
      <c r="O152" s="56"/>
      <c r="P152" s="49"/>
    </row>
    <row r="153">
      <c r="O153" s="56"/>
      <c r="P153" s="49"/>
    </row>
    <row r="154">
      <c r="O154" s="56"/>
      <c r="P154" s="49"/>
    </row>
    <row r="155">
      <c r="O155" s="56"/>
      <c r="P155" s="49"/>
    </row>
    <row r="156">
      <c r="O156" s="56"/>
      <c r="P156" s="49"/>
    </row>
    <row r="157">
      <c r="O157" s="56"/>
      <c r="P157" s="49"/>
    </row>
    <row r="158">
      <c r="O158" s="56"/>
      <c r="P158" s="49"/>
    </row>
    <row r="159">
      <c r="O159" s="56"/>
      <c r="P159" s="49"/>
    </row>
    <row r="160">
      <c r="O160" s="56"/>
      <c r="P160" s="49"/>
    </row>
    <row r="161">
      <c r="O161" s="56"/>
      <c r="P161" s="49"/>
    </row>
    <row r="162">
      <c r="O162" s="56"/>
      <c r="P162" s="49"/>
    </row>
    <row r="163">
      <c r="O163" s="56"/>
      <c r="P163" s="49"/>
    </row>
    <row r="164">
      <c r="O164" s="56"/>
      <c r="P164" s="49"/>
    </row>
    <row r="165">
      <c r="O165" s="56"/>
      <c r="P165" s="49"/>
    </row>
    <row r="166">
      <c r="O166" s="56"/>
      <c r="P166" s="49"/>
    </row>
    <row r="167">
      <c r="O167" s="56"/>
      <c r="P167" s="49"/>
    </row>
    <row r="168">
      <c r="O168" s="56"/>
      <c r="P168" s="49"/>
    </row>
    <row r="169">
      <c r="O169" s="56"/>
      <c r="P169" s="49"/>
    </row>
    <row r="170">
      <c r="O170" s="56"/>
      <c r="P170" s="49"/>
    </row>
    <row r="171">
      <c r="O171" s="56"/>
      <c r="P171" s="49"/>
    </row>
    <row r="172">
      <c r="O172" s="56"/>
      <c r="P172" s="49"/>
    </row>
    <row r="173">
      <c r="O173" s="56"/>
      <c r="P173" s="49"/>
    </row>
    <row r="174">
      <c r="O174" s="56"/>
      <c r="P174" s="49"/>
    </row>
    <row r="175">
      <c r="O175" s="56"/>
      <c r="P175" s="49"/>
    </row>
    <row r="176">
      <c r="O176" s="56"/>
      <c r="P176" s="49"/>
    </row>
    <row r="177">
      <c r="O177" s="56"/>
      <c r="P177" s="49"/>
    </row>
    <row r="178">
      <c r="O178" s="56"/>
      <c r="P178" s="49"/>
    </row>
    <row r="179">
      <c r="O179" s="56"/>
      <c r="P179" s="49"/>
    </row>
    <row r="180">
      <c r="O180" s="56"/>
      <c r="P180" s="49"/>
    </row>
    <row r="181">
      <c r="O181" s="56"/>
      <c r="P181" s="49"/>
    </row>
    <row r="182">
      <c r="O182" s="56"/>
      <c r="P182" s="49"/>
    </row>
    <row r="183">
      <c r="O183" s="56"/>
      <c r="P183" s="49"/>
    </row>
    <row r="184">
      <c r="O184" s="56"/>
      <c r="P184" s="49"/>
    </row>
    <row r="185">
      <c r="O185" s="56"/>
      <c r="P185" s="49"/>
    </row>
    <row r="186">
      <c r="O186" s="56"/>
      <c r="P186" s="49"/>
    </row>
    <row r="187">
      <c r="O187" s="56"/>
      <c r="P187" s="49"/>
    </row>
    <row r="188">
      <c r="O188" s="56"/>
      <c r="P188" s="49"/>
    </row>
    <row r="189">
      <c r="O189" s="56"/>
      <c r="P189" s="49"/>
    </row>
    <row r="190">
      <c r="O190" s="56"/>
      <c r="P190" s="49"/>
    </row>
    <row r="191">
      <c r="O191" s="56"/>
      <c r="P191" s="49"/>
    </row>
    <row r="192">
      <c r="O192" s="56"/>
      <c r="P192" s="49"/>
    </row>
    <row r="193">
      <c r="O193" s="56"/>
      <c r="P193" s="49"/>
    </row>
    <row r="194">
      <c r="O194" s="56"/>
      <c r="P194" s="49"/>
    </row>
    <row r="195">
      <c r="O195" s="56"/>
      <c r="P195" s="49"/>
    </row>
    <row r="196">
      <c r="O196" s="56"/>
      <c r="P196" s="49"/>
    </row>
    <row r="197">
      <c r="O197" s="56"/>
      <c r="P197" s="49"/>
    </row>
    <row r="198">
      <c r="O198" s="56"/>
      <c r="P198" s="49"/>
    </row>
    <row r="199">
      <c r="O199" s="56"/>
      <c r="P199" s="49"/>
    </row>
    <row r="200">
      <c r="O200" s="56"/>
      <c r="P200" s="49"/>
    </row>
    <row r="201">
      <c r="O201" s="56"/>
      <c r="P201" s="49"/>
    </row>
    <row r="202">
      <c r="O202" s="56"/>
      <c r="P202" s="49"/>
    </row>
    <row r="203">
      <c r="O203" s="56"/>
      <c r="P203" s="49"/>
    </row>
    <row r="204">
      <c r="O204" s="56"/>
      <c r="P204" s="49"/>
    </row>
    <row r="205">
      <c r="O205" s="56"/>
      <c r="P205" s="49"/>
    </row>
    <row r="206">
      <c r="O206" s="56"/>
      <c r="P206" s="49"/>
    </row>
    <row r="207">
      <c r="O207" s="56"/>
      <c r="P207" s="49"/>
    </row>
    <row r="208">
      <c r="O208" s="56"/>
      <c r="P208" s="49"/>
    </row>
    <row r="209">
      <c r="O209" s="56"/>
      <c r="P209" s="49"/>
    </row>
    <row r="210">
      <c r="O210" s="56"/>
      <c r="P210" s="49"/>
    </row>
    <row r="211">
      <c r="O211" s="56"/>
      <c r="P211" s="49"/>
    </row>
    <row r="212">
      <c r="O212" s="56"/>
      <c r="P212" s="49"/>
    </row>
    <row r="213">
      <c r="O213" s="56"/>
      <c r="P213" s="49"/>
    </row>
    <row r="214">
      <c r="O214" s="56"/>
      <c r="P214" s="49"/>
    </row>
    <row r="215">
      <c r="O215" s="56"/>
      <c r="P215" s="49"/>
    </row>
    <row r="216">
      <c r="O216" s="56"/>
      <c r="P216" s="49"/>
    </row>
    <row r="217">
      <c r="O217" s="56"/>
      <c r="P217" s="49"/>
    </row>
    <row r="218">
      <c r="O218" s="56"/>
      <c r="P218" s="49"/>
    </row>
    <row r="219">
      <c r="O219" s="56"/>
      <c r="P219" s="49"/>
    </row>
    <row r="220">
      <c r="O220" s="56"/>
      <c r="P220" s="49"/>
    </row>
    <row r="221">
      <c r="O221" s="56"/>
      <c r="P221" s="49"/>
    </row>
    <row r="222">
      <c r="O222" s="56"/>
      <c r="P222" s="49"/>
    </row>
    <row r="223">
      <c r="O223" s="56"/>
      <c r="P223" s="49"/>
    </row>
    <row r="224">
      <c r="O224" s="56"/>
      <c r="P224" s="49"/>
    </row>
    <row r="225">
      <c r="O225" s="56"/>
      <c r="P225" s="49"/>
    </row>
    <row r="226">
      <c r="O226" s="56"/>
      <c r="P226" s="49"/>
    </row>
    <row r="227">
      <c r="O227" s="56"/>
      <c r="P227" s="49"/>
    </row>
    <row r="228">
      <c r="O228" s="56"/>
      <c r="P228" s="49"/>
    </row>
    <row r="229">
      <c r="O229" s="56"/>
      <c r="P229" s="49"/>
    </row>
    <row r="230">
      <c r="O230" s="56"/>
      <c r="P230" s="49"/>
    </row>
    <row r="231">
      <c r="O231" s="56"/>
      <c r="P231" s="49"/>
    </row>
    <row r="232">
      <c r="O232" s="56"/>
      <c r="P232" s="49"/>
    </row>
    <row r="233">
      <c r="O233" s="56"/>
      <c r="P233" s="49"/>
    </row>
    <row r="234">
      <c r="O234" s="56"/>
      <c r="P234" s="49"/>
    </row>
    <row r="235">
      <c r="O235" s="56"/>
      <c r="P235" s="49"/>
    </row>
    <row r="236">
      <c r="O236" s="56"/>
      <c r="P236" s="49"/>
    </row>
    <row r="237">
      <c r="O237" s="56"/>
      <c r="P237" s="49"/>
    </row>
    <row r="238">
      <c r="O238" s="56"/>
      <c r="P238" s="49"/>
    </row>
    <row r="239">
      <c r="O239" s="56"/>
      <c r="P239" s="49"/>
    </row>
    <row r="240">
      <c r="O240" s="56"/>
      <c r="P240" s="49"/>
    </row>
    <row r="241">
      <c r="O241" s="56"/>
      <c r="P241" s="49"/>
    </row>
    <row r="242">
      <c r="O242" s="56"/>
      <c r="P242" s="49"/>
    </row>
    <row r="243">
      <c r="O243" s="56"/>
      <c r="P243" s="49"/>
    </row>
    <row r="244">
      <c r="O244" s="56"/>
      <c r="P244" s="49"/>
    </row>
    <row r="245">
      <c r="O245" s="56"/>
      <c r="P245" s="49"/>
    </row>
    <row r="246">
      <c r="O246" s="56"/>
      <c r="P246" s="49"/>
    </row>
    <row r="247">
      <c r="O247" s="56"/>
      <c r="P247" s="49"/>
    </row>
    <row r="248">
      <c r="O248" s="56"/>
      <c r="P248" s="49"/>
    </row>
    <row r="249">
      <c r="O249" s="56"/>
      <c r="P249" s="49"/>
    </row>
    <row r="250">
      <c r="O250" s="56"/>
      <c r="P250" s="49"/>
    </row>
    <row r="251">
      <c r="O251" s="56"/>
      <c r="P251" s="49"/>
    </row>
    <row r="252">
      <c r="O252" s="56"/>
      <c r="P252" s="49"/>
    </row>
    <row r="253">
      <c r="O253" s="56"/>
      <c r="P253" s="49"/>
    </row>
    <row r="254">
      <c r="O254" s="56"/>
      <c r="P254" s="49"/>
    </row>
    <row r="255">
      <c r="O255" s="56"/>
      <c r="P255" s="49"/>
    </row>
    <row r="256">
      <c r="O256" s="56"/>
      <c r="P256" s="49"/>
    </row>
    <row r="257">
      <c r="O257" s="56"/>
      <c r="P257" s="49"/>
    </row>
    <row r="258">
      <c r="O258" s="56"/>
      <c r="P258" s="49"/>
    </row>
    <row r="259">
      <c r="O259" s="56"/>
      <c r="P259" s="49"/>
    </row>
    <row r="260">
      <c r="O260" s="56"/>
      <c r="P260" s="49"/>
    </row>
    <row r="261">
      <c r="O261" s="56"/>
      <c r="P261" s="49"/>
    </row>
    <row r="262">
      <c r="O262" s="56"/>
      <c r="P262" s="49"/>
    </row>
    <row r="263">
      <c r="O263" s="56"/>
      <c r="P263" s="49"/>
    </row>
    <row r="264">
      <c r="O264" s="56"/>
      <c r="P264" s="49"/>
    </row>
    <row r="265">
      <c r="O265" s="56"/>
      <c r="P265" s="49"/>
    </row>
    <row r="266">
      <c r="O266" s="56"/>
      <c r="P266" s="49"/>
    </row>
    <row r="267">
      <c r="O267" s="56"/>
      <c r="P267" s="49"/>
    </row>
    <row r="268">
      <c r="O268" s="56"/>
      <c r="P268" s="49"/>
    </row>
    <row r="269">
      <c r="O269" s="56"/>
      <c r="P269" s="49"/>
    </row>
    <row r="270">
      <c r="O270" s="56"/>
      <c r="P270" s="49"/>
    </row>
    <row r="271">
      <c r="O271" s="56"/>
      <c r="P271" s="49"/>
    </row>
    <row r="272">
      <c r="O272" s="56"/>
      <c r="P272" s="49"/>
    </row>
    <row r="273">
      <c r="O273" s="56"/>
      <c r="P273" s="49"/>
    </row>
    <row r="274">
      <c r="O274" s="56"/>
      <c r="P274" s="49"/>
    </row>
    <row r="275">
      <c r="O275" s="56"/>
      <c r="P275" s="49"/>
    </row>
    <row r="276">
      <c r="O276" s="56"/>
      <c r="P276" s="49"/>
    </row>
    <row r="277">
      <c r="O277" s="56"/>
      <c r="P277" s="49"/>
    </row>
    <row r="278">
      <c r="O278" s="56"/>
      <c r="P278" s="49"/>
    </row>
    <row r="279">
      <c r="O279" s="56"/>
      <c r="P279" s="49"/>
    </row>
    <row r="280">
      <c r="O280" s="56"/>
      <c r="P280" s="49"/>
    </row>
    <row r="281">
      <c r="O281" s="56"/>
      <c r="P281" s="49"/>
    </row>
    <row r="282">
      <c r="O282" s="56"/>
      <c r="P282" s="49"/>
    </row>
    <row r="283">
      <c r="O283" s="56"/>
      <c r="P283" s="49"/>
    </row>
    <row r="284">
      <c r="O284" s="56"/>
      <c r="P284" s="49"/>
    </row>
    <row r="285">
      <c r="O285" s="56"/>
      <c r="P285" s="49"/>
    </row>
    <row r="286">
      <c r="O286" s="56"/>
      <c r="P286" s="49"/>
    </row>
    <row r="287">
      <c r="O287" s="56"/>
      <c r="P287" s="49"/>
    </row>
    <row r="288">
      <c r="O288" s="56"/>
      <c r="P288" s="49"/>
    </row>
    <row r="289">
      <c r="O289" s="56"/>
      <c r="P289" s="49"/>
    </row>
    <row r="290">
      <c r="O290" s="56"/>
      <c r="P290" s="49"/>
    </row>
    <row r="291">
      <c r="O291" s="56"/>
      <c r="P291" s="49"/>
    </row>
    <row r="292">
      <c r="O292" s="56"/>
      <c r="P292" s="49"/>
    </row>
    <row r="293">
      <c r="O293" s="56"/>
      <c r="P293" s="49"/>
    </row>
    <row r="294">
      <c r="O294" s="56"/>
      <c r="P294" s="49"/>
    </row>
    <row r="295">
      <c r="O295" s="56"/>
      <c r="P295" s="49"/>
    </row>
    <row r="296">
      <c r="O296" s="56"/>
      <c r="P296" s="49"/>
    </row>
    <row r="297">
      <c r="O297" s="56"/>
      <c r="P297" s="49"/>
    </row>
    <row r="298">
      <c r="O298" s="56"/>
      <c r="P298" s="49"/>
    </row>
    <row r="299">
      <c r="O299" s="56"/>
      <c r="P299" s="49"/>
    </row>
    <row r="300">
      <c r="O300" s="56"/>
      <c r="P300" s="49"/>
    </row>
    <row r="301">
      <c r="O301" s="56"/>
      <c r="P301" s="49"/>
    </row>
    <row r="302">
      <c r="O302" s="56"/>
      <c r="P302" s="49"/>
    </row>
    <row r="303">
      <c r="O303" s="56"/>
      <c r="P303" s="49"/>
    </row>
    <row r="304">
      <c r="O304" s="56"/>
      <c r="P304" s="49"/>
    </row>
    <row r="305">
      <c r="O305" s="56"/>
      <c r="P305" s="49"/>
    </row>
    <row r="306">
      <c r="O306" s="56"/>
      <c r="P306" s="49"/>
    </row>
    <row r="307">
      <c r="O307" s="56"/>
      <c r="P307" s="49"/>
    </row>
    <row r="308">
      <c r="O308" s="56"/>
      <c r="P308" s="49"/>
    </row>
    <row r="309">
      <c r="O309" s="56"/>
      <c r="P309" s="49"/>
    </row>
    <row r="310">
      <c r="O310" s="56"/>
      <c r="P310" s="49"/>
    </row>
    <row r="311">
      <c r="O311" s="56"/>
      <c r="P311" s="49"/>
    </row>
    <row r="312">
      <c r="O312" s="56"/>
      <c r="P312" s="49"/>
    </row>
    <row r="313">
      <c r="O313" s="56"/>
      <c r="P313" s="49"/>
    </row>
    <row r="314">
      <c r="O314" s="56"/>
      <c r="P314" s="49"/>
    </row>
    <row r="315">
      <c r="O315" s="56"/>
      <c r="P315" s="49"/>
    </row>
    <row r="316">
      <c r="O316" s="56"/>
      <c r="P316" s="49"/>
    </row>
    <row r="317">
      <c r="O317" s="56"/>
      <c r="P317" s="49"/>
    </row>
    <row r="318">
      <c r="O318" s="56"/>
      <c r="P318" s="49"/>
    </row>
    <row r="319">
      <c r="O319" s="56"/>
      <c r="P319" s="49"/>
    </row>
    <row r="320">
      <c r="O320" s="56"/>
      <c r="P320" s="49"/>
    </row>
    <row r="321">
      <c r="O321" s="56"/>
      <c r="P321" s="49"/>
    </row>
    <row r="322">
      <c r="O322" s="56"/>
      <c r="P322" s="49"/>
    </row>
    <row r="323">
      <c r="O323" s="56"/>
      <c r="P323" s="49"/>
    </row>
    <row r="324">
      <c r="O324" s="56"/>
      <c r="P324" s="49"/>
    </row>
    <row r="325">
      <c r="O325" s="56"/>
      <c r="P325" s="49"/>
    </row>
    <row r="326">
      <c r="O326" s="56"/>
      <c r="P326" s="49"/>
    </row>
    <row r="327">
      <c r="O327" s="56"/>
      <c r="P327" s="49"/>
    </row>
    <row r="328">
      <c r="O328" s="56"/>
      <c r="P328" s="49"/>
    </row>
    <row r="329">
      <c r="O329" s="56"/>
      <c r="P329" s="49"/>
    </row>
    <row r="330">
      <c r="O330" s="56"/>
      <c r="P330" s="49"/>
    </row>
    <row r="331">
      <c r="O331" s="56"/>
      <c r="P331" s="49"/>
    </row>
    <row r="332">
      <c r="O332" s="56"/>
      <c r="P332" s="49"/>
    </row>
    <row r="333">
      <c r="O333" s="56"/>
      <c r="P333" s="49"/>
    </row>
    <row r="334">
      <c r="O334" s="56"/>
      <c r="P334" s="49"/>
    </row>
    <row r="335">
      <c r="O335" s="56"/>
      <c r="P335" s="49"/>
    </row>
    <row r="336">
      <c r="O336" s="56"/>
      <c r="P336" s="49"/>
    </row>
    <row r="337">
      <c r="O337" s="56"/>
      <c r="P337" s="49"/>
    </row>
    <row r="338">
      <c r="O338" s="56"/>
      <c r="P338" s="49"/>
    </row>
    <row r="339">
      <c r="O339" s="56"/>
      <c r="P339" s="49"/>
    </row>
    <row r="340">
      <c r="O340" s="56"/>
      <c r="P340" s="49"/>
    </row>
    <row r="341">
      <c r="O341" s="56"/>
      <c r="P341" s="49"/>
    </row>
    <row r="342">
      <c r="O342" s="56"/>
      <c r="P342" s="49"/>
    </row>
    <row r="343">
      <c r="O343" s="56"/>
      <c r="P343" s="49"/>
    </row>
    <row r="344">
      <c r="O344" s="56"/>
      <c r="P344" s="49"/>
    </row>
    <row r="345">
      <c r="O345" s="56"/>
      <c r="P345" s="49"/>
    </row>
    <row r="346">
      <c r="O346" s="56"/>
      <c r="P346" s="49"/>
    </row>
    <row r="347">
      <c r="O347" s="56"/>
      <c r="P347" s="49"/>
    </row>
    <row r="348">
      <c r="O348" s="56"/>
      <c r="P348" s="49"/>
    </row>
    <row r="349">
      <c r="O349" s="56"/>
      <c r="P349" s="49"/>
    </row>
    <row r="350">
      <c r="O350" s="56"/>
      <c r="P350" s="49"/>
    </row>
    <row r="351">
      <c r="O351" s="56"/>
      <c r="P351" s="49"/>
    </row>
    <row r="352">
      <c r="O352" s="56"/>
      <c r="P352" s="49"/>
    </row>
    <row r="353">
      <c r="O353" s="56"/>
      <c r="P353" s="49"/>
    </row>
    <row r="354">
      <c r="O354" s="56"/>
      <c r="P354" s="49"/>
    </row>
    <row r="355">
      <c r="O355" s="56"/>
      <c r="P355" s="49"/>
    </row>
    <row r="356">
      <c r="O356" s="56"/>
      <c r="P356" s="49"/>
    </row>
    <row r="357">
      <c r="O357" s="56"/>
      <c r="P357" s="49"/>
    </row>
    <row r="358">
      <c r="O358" s="56"/>
      <c r="P358" s="49"/>
    </row>
    <row r="359">
      <c r="O359" s="56"/>
      <c r="P359" s="49"/>
    </row>
    <row r="360">
      <c r="O360" s="56"/>
      <c r="P360" s="49"/>
    </row>
    <row r="361">
      <c r="O361" s="56"/>
      <c r="P361" s="49"/>
    </row>
    <row r="362">
      <c r="O362" s="56"/>
      <c r="P362" s="49"/>
    </row>
    <row r="363">
      <c r="O363" s="56"/>
      <c r="P363" s="49"/>
    </row>
    <row r="364">
      <c r="O364" s="56"/>
      <c r="P364" s="49"/>
    </row>
    <row r="365">
      <c r="O365" s="56"/>
      <c r="P365" s="49"/>
    </row>
    <row r="366">
      <c r="O366" s="56"/>
      <c r="P366" s="49"/>
    </row>
    <row r="367">
      <c r="O367" s="56"/>
      <c r="P367" s="49"/>
    </row>
    <row r="368">
      <c r="O368" s="56"/>
      <c r="P368" s="49"/>
    </row>
    <row r="369">
      <c r="O369" s="56"/>
      <c r="P369" s="49"/>
    </row>
    <row r="370">
      <c r="O370" s="56"/>
      <c r="P370" s="49"/>
    </row>
    <row r="371">
      <c r="O371" s="56"/>
      <c r="P371" s="49"/>
    </row>
    <row r="372">
      <c r="O372" s="56"/>
      <c r="P372" s="49"/>
    </row>
    <row r="373">
      <c r="O373" s="56"/>
      <c r="P373" s="49"/>
    </row>
    <row r="374">
      <c r="O374" s="56"/>
      <c r="P374" s="49"/>
    </row>
    <row r="375">
      <c r="O375" s="56"/>
      <c r="P375" s="49"/>
    </row>
    <row r="376">
      <c r="O376" s="56"/>
      <c r="P376" s="49"/>
    </row>
    <row r="377">
      <c r="O377" s="56"/>
      <c r="P377" s="49"/>
    </row>
    <row r="378">
      <c r="O378" s="56"/>
      <c r="P378" s="49"/>
    </row>
    <row r="379">
      <c r="O379" s="56"/>
      <c r="P379" s="49"/>
    </row>
    <row r="380">
      <c r="O380" s="56"/>
      <c r="P380" s="49"/>
    </row>
    <row r="381">
      <c r="O381" s="56"/>
      <c r="P381" s="49"/>
    </row>
    <row r="382">
      <c r="O382" s="56"/>
      <c r="P382" s="49"/>
    </row>
    <row r="383">
      <c r="O383" s="56"/>
      <c r="P383" s="49"/>
    </row>
    <row r="384">
      <c r="O384" s="56"/>
      <c r="P384" s="49"/>
    </row>
    <row r="385">
      <c r="O385" s="56"/>
      <c r="P385" s="49"/>
    </row>
    <row r="386">
      <c r="O386" s="56"/>
      <c r="P386" s="49"/>
    </row>
    <row r="387">
      <c r="O387" s="56"/>
      <c r="P387" s="49"/>
    </row>
    <row r="388">
      <c r="O388" s="56"/>
      <c r="P388" s="49"/>
    </row>
    <row r="389">
      <c r="O389" s="56"/>
      <c r="P389" s="49"/>
    </row>
    <row r="390">
      <c r="O390" s="56"/>
      <c r="P390" s="49"/>
    </row>
    <row r="391">
      <c r="O391" s="56"/>
      <c r="P391" s="49"/>
    </row>
    <row r="392">
      <c r="O392" s="56"/>
      <c r="P392" s="49"/>
    </row>
    <row r="393">
      <c r="O393" s="56"/>
      <c r="P393" s="49"/>
    </row>
    <row r="394">
      <c r="O394" s="56"/>
      <c r="P394" s="49"/>
    </row>
    <row r="395">
      <c r="O395" s="56"/>
      <c r="P395" s="49"/>
    </row>
    <row r="396">
      <c r="O396" s="56"/>
      <c r="P396" s="49"/>
    </row>
    <row r="397">
      <c r="O397" s="56"/>
      <c r="P397" s="49"/>
    </row>
    <row r="398">
      <c r="O398" s="56"/>
      <c r="P398" s="49"/>
    </row>
    <row r="399">
      <c r="O399" s="56"/>
      <c r="P399" s="49"/>
    </row>
    <row r="400">
      <c r="O400" s="56"/>
      <c r="P400" s="49"/>
    </row>
    <row r="401">
      <c r="O401" s="56"/>
      <c r="P401" s="49"/>
    </row>
    <row r="402">
      <c r="O402" s="56"/>
      <c r="P402" s="49"/>
    </row>
    <row r="403">
      <c r="O403" s="56"/>
      <c r="P403" s="49"/>
    </row>
    <row r="404">
      <c r="O404" s="56"/>
      <c r="P404" s="49"/>
    </row>
    <row r="405">
      <c r="O405" s="56"/>
      <c r="P405" s="49"/>
    </row>
    <row r="406">
      <c r="O406" s="56"/>
      <c r="P406" s="49"/>
    </row>
    <row r="407">
      <c r="O407" s="56"/>
      <c r="P407" s="49"/>
    </row>
    <row r="408">
      <c r="O408" s="56"/>
      <c r="P408" s="49"/>
    </row>
    <row r="409">
      <c r="O409" s="56"/>
      <c r="P409" s="49"/>
    </row>
    <row r="410">
      <c r="O410" s="56"/>
      <c r="P410" s="49"/>
    </row>
    <row r="411">
      <c r="O411" s="56"/>
      <c r="P411" s="49"/>
    </row>
    <row r="412">
      <c r="O412" s="56"/>
      <c r="P412" s="49"/>
    </row>
    <row r="413">
      <c r="O413" s="56"/>
      <c r="P413" s="49"/>
    </row>
    <row r="414">
      <c r="O414" s="56"/>
      <c r="P414" s="49"/>
    </row>
    <row r="415">
      <c r="O415" s="56"/>
      <c r="P415" s="49"/>
    </row>
    <row r="416">
      <c r="O416" s="56"/>
      <c r="P416" s="49"/>
    </row>
    <row r="417">
      <c r="O417" s="56"/>
      <c r="P417" s="49"/>
    </row>
    <row r="418">
      <c r="O418" s="56"/>
      <c r="P418" s="49"/>
    </row>
    <row r="419">
      <c r="O419" s="56"/>
      <c r="P419" s="49"/>
    </row>
    <row r="420">
      <c r="O420" s="56"/>
      <c r="P420" s="49"/>
    </row>
    <row r="421">
      <c r="O421" s="56"/>
      <c r="P421" s="49"/>
    </row>
    <row r="422">
      <c r="O422" s="56"/>
      <c r="P422" s="49"/>
    </row>
    <row r="423">
      <c r="O423" s="56"/>
      <c r="P423" s="49"/>
    </row>
    <row r="424">
      <c r="O424" s="56"/>
      <c r="P424" s="49"/>
    </row>
    <row r="425">
      <c r="O425" s="56"/>
      <c r="P425" s="49"/>
    </row>
    <row r="426">
      <c r="O426" s="56"/>
      <c r="P426" s="49"/>
    </row>
    <row r="427">
      <c r="O427" s="56"/>
      <c r="P427" s="49"/>
    </row>
    <row r="428">
      <c r="O428" s="56"/>
      <c r="P428" s="49"/>
    </row>
    <row r="429">
      <c r="O429" s="56"/>
      <c r="P429" s="49"/>
    </row>
    <row r="430">
      <c r="O430" s="56"/>
      <c r="P430" s="49"/>
    </row>
    <row r="431">
      <c r="O431" s="56"/>
      <c r="P431" s="49"/>
    </row>
    <row r="432">
      <c r="O432" s="56"/>
      <c r="P432" s="49"/>
    </row>
    <row r="433">
      <c r="O433" s="56"/>
      <c r="P433" s="49"/>
    </row>
    <row r="434">
      <c r="O434" s="56"/>
      <c r="P434" s="49"/>
    </row>
    <row r="435">
      <c r="O435" s="56"/>
      <c r="P435" s="49"/>
    </row>
    <row r="436">
      <c r="O436" s="56"/>
      <c r="P436" s="49"/>
    </row>
    <row r="437">
      <c r="O437" s="56"/>
      <c r="P437" s="49"/>
    </row>
    <row r="438">
      <c r="O438" s="56"/>
      <c r="P438" s="49"/>
    </row>
    <row r="439">
      <c r="O439" s="56"/>
      <c r="P439" s="49"/>
    </row>
    <row r="440">
      <c r="O440" s="56"/>
      <c r="P440" s="49"/>
    </row>
    <row r="441">
      <c r="O441" s="56"/>
      <c r="P441" s="49"/>
    </row>
    <row r="442">
      <c r="O442" s="56"/>
      <c r="P442" s="49"/>
    </row>
    <row r="443">
      <c r="O443" s="56"/>
      <c r="P443" s="49"/>
    </row>
    <row r="444">
      <c r="O444" s="56"/>
      <c r="P444" s="49"/>
    </row>
    <row r="445">
      <c r="O445" s="56"/>
      <c r="P445" s="49"/>
    </row>
    <row r="446">
      <c r="O446" s="56"/>
      <c r="P446" s="49"/>
    </row>
    <row r="447">
      <c r="O447" s="56"/>
      <c r="P447" s="49"/>
    </row>
    <row r="448">
      <c r="O448" s="56"/>
      <c r="P448" s="49"/>
    </row>
    <row r="449">
      <c r="O449" s="56"/>
      <c r="P449" s="49"/>
    </row>
    <row r="450">
      <c r="O450" s="56"/>
      <c r="P450" s="49"/>
    </row>
    <row r="451">
      <c r="O451" s="56"/>
      <c r="P451" s="49"/>
    </row>
    <row r="452">
      <c r="O452" s="56"/>
      <c r="P452" s="49"/>
    </row>
    <row r="453">
      <c r="O453" s="56"/>
      <c r="P453" s="49"/>
    </row>
    <row r="454">
      <c r="O454" s="56"/>
      <c r="P454" s="49"/>
    </row>
    <row r="455">
      <c r="O455" s="56"/>
      <c r="P455" s="49"/>
    </row>
    <row r="456">
      <c r="O456" s="56"/>
      <c r="P456" s="49"/>
    </row>
    <row r="457">
      <c r="O457" s="56"/>
      <c r="P457" s="49"/>
    </row>
    <row r="458">
      <c r="O458" s="56"/>
      <c r="P458" s="49"/>
    </row>
    <row r="459">
      <c r="O459" s="56"/>
      <c r="P459" s="49"/>
    </row>
    <row r="460">
      <c r="O460" s="56"/>
      <c r="P460" s="49"/>
    </row>
    <row r="461">
      <c r="O461" s="56"/>
      <c r="P461" s="49"/>
    </row>
    <row r="462">
      <c r="O462" s="56"/>
      <c r="P462" s="49"/>
    </row>
    <row r="463">
      <c r="O463" s="56"/>
      <c r="P463" s="49"/>
    </row>
    <row r="464">
      <c r="O464" s="56"/>
      <c r="P464" s="49"/>
    </row>
    <row r="465">
      <c r="O465" s="56"/>
      <c r="P465" s="49"/>
    </row>
    <row r="466">
      <c r="O466" s="56"/>
      <c r="P466" s="49"/>
    </row>
    <row r="467">
      <c r="O467" s="56"/>
      <c r="P467" s="49"/>
    </row>
    <row r="468">
      <c r="O468" s="56"/>
      <c r="P468" s="49"/>
    </row>
    <row r="469">
      <c r="O469" s="56"/>
      <c r="P469" s="49"/>
    </row>
    <row r="470">
      <c r="O470" s="56"/>
      <c r="P470" s="49"/>
    </row>
    <row r="471">
      <c r="O471" s="56"/>
      <c r="P471" s="49"/>
    </row>
    <row r="472">
      <c r="O472" s="56"/>
      <c r="P472" s="49"/>
    </row>
    <row r="473">
      <c r="O473" s="56"/>
      <c r="P473" s="49"/>
    </row>
    <row r="474">
      <c r="O474" s="56"/>
      <c r="P474" s="49"/>
    </row>
    <row r="475">
      <c r="O475" s="56"/>
      <c r="P475" s="49"/>
    </row>
    <row r="476">
      <c r="O476" s="56"/>
      <c r="P476" s="49"/>
    </row>
    <row r="477">
      <c r="O477" s="56"/>
      <c r="P477" s="49"/>
    </row>
    <row r="478">
      <c r="O478" s="56"/>
      <c r="P478" s="49"/>
    </row>
    <row r="479">
      <c r="O479" s="56"/>
      <c r="P479" s="49"/>
    </row>
    <row r="480">
      <c r="O480" s="56"/>
      <c r="P480" s="49"/>
    </row>
    <row r="481">
      <c r="O481" s="56"/>
      <c r="P481" s="49"/>
    </row>
    <row r="482">
      <c r="O482" s="56"/>
      <c r="P482" s="49"/>
    </row>
    <row r="483">
      <c r="O483" s="56"/>
      <c r="P483" s="49"/>
    </row>
    <row r="484">
      <c r="O484" s="56"/>
      <c r="P484" s="49"/>
    </row>
    <row r="485">
      <c r="O485" s="56"/>
      <c r="P485" s="49"/>
    </row>
    <row r="486">
      <c r="O486" s="56"/>
      <c r="P486" s="49"/>
    </row>
    <row r="487">
      <c r="O487" s="56"/>
      <c r="P487" s="49"/>
    </row>
    <row r="488">
      <c r="O488" s="56"/>
      <c r="P488" s="49"/>
    </row>
    <row r="489">
      <c r="O489" s="56"/>
      <c r="P489" s="49"/>
    </row>
    <row r="490">
      <c r="O490" s="56"/>
      <c r="P490" s="49"/>
    </row>
    <row r="491">
      <c r="O491" s="56"/>
      <c r="P491" s="49"/>
    </row>
    <row r="492">
      <c r="O492" s="56"/>
      <c r="P492" s="49"/>
    </row>
    <row r="493">
      <c r="O493" s="56"/>
      <c r="P493" s="49"/>
    </row>
    <row r="494">
      <c r="O494" s="56"/>
      <c r="P494" s="49"/>
    </row>
    <row r="495">
      <c r="O495" s="56"/>
      <c r="P495" s="49"/>
    </row>
    <row r="496">
      <c r="O496" s="56"/>
      <c r="P496" s="49"/>
    </row>
    <row r="497">
      <c r="O497" s="56"/>
      <c r="P497" s="49"/>
    </row>
    <row r="498">
      <c r="O498" s="56"/>
      <c r="P498" s="49"/>
    </row>
    <row r="499">
      <c r="O499" s="56"/>
      <c r="P499" s="49"/>
    </row>
    <row r="500">
      <c r="O500" s="56"/>
      <c r="P500" s="49"/>
    </row>
    <row r="501">
      <c r="O501" s="56"/>
      <c r="P501" s="49"/>
    </row>
    <row r="502">
      <c r="O502" s="56"/>
      <c r="P502" s="49"/>
    </row>
    <row r="503">
      <c r="O503" s="56"/>
      <c r="P503" s="49"/>
    </row>
    <row r="504">
      <c r="O504" s="56"/>
      <c r="P504" s="49"/>
    </row>
    <row r="505">
      <c r="O505" s="56"/>
      <c r="P505" s="49"/>
    </row>
    <row r="506">
      <c r="O506" s="56"/>
      <c r="P506" s="49"/>
    </row>
    <row r="507">
      <c r="O507" s="56"/>
      <c r="P507" s="49"/>
    </row>
    <row r="508">
      <c r="O508" s="56"/>
      <c r="P508" s="49"/>
    </row>
    <row r="509">
      <c r="O509" s="56"/>
      <c r="P509" s="49"/>
    </row>
    <row r="510">
      <c r="O510" s="56"/>
      <c r="P510" s="49"/>
    </row>
    <row r="511">
      <c r="O511" s="56"/>
      <c r="P511" s="49"/>
    </row>
    <row r="512">
      <c r="O512" s="56"/>
      <c r="P512" s="49"/>
    </row>
    <row r="513">
      <c r="O513" s="56"/>
      <c r="P513" s="49"/>
    </row>
    <row r="514">
      <c r="O514" s="56"/>
      <c r="P514" s="49"/>
    </row>
    <row r="515">
      <c r="O515" s="56"/>
      <c r="P515" s="49"/>
    </row>
    <row r="516">
      <c r="O516" s="56"/>
      <c r="P516" s="49"/>
    </row>
    <row r="517">
      <c r="O517" s="56"/>
      <c r="P517" s="49"/>
    </row>
    <row r="518">
      <c r="O518" s="56"/>
      <c r="P518" s="49"/>
    </row>
    <row r="519">
      <c r="O519" s="56"/>
      <c r="P519" s="49"/>
    </row>
    <row r="520">
      <c r="O520" s="56"/>
      <c r="P520" s="49"/>
    </row>
    <row r="521">
      <c r="O521" s="56"/>
      <c r="P521" s="49"/>
    </row>
    <row r="522">
      <c r="O522" s="56"/>
      <c r="P522" s="49"/>
    </row>
    <row r="523">
      <c r="O523" s="56"/>
      <c r="P523" s="49"/>
    </row>
    <row r="524">
      <c r="O524" s="56"/>
      <c r="P524" s="49"/>
    </row>
    <row r="525">
      <c r="O525" s="56"/>
      <c r="P525" s="49"/>
    </row>
    <row r="526">
      <c r="O526" s="56"/>
      <c r="P526" s="49"/>
    </row>
    <row r="527">
      <c r="O527" s="56"/>
      <c r="P527" s="49"/>
    </row>
    <row r="528">
      <c r="O528" s="56"/>
      <c r="P528" s="49"/>
    </row>
    <row r="529">
      <c r="O529" s="56"/>
      <c r="P529" s="49"/>
    </row>
    <row r="530">
      <c r="O530" s="56"/>
      <c r="P530" s="49"/>
    </row>
    <row r="531">
      <c r="O531" s="56"/>
      <c r="P531" s="49"/>
    </row>
    <row r="532">
      <c r="O532" s="56"/>
      <c r="P532" s="49"/>
    </row>
    <row r="533">
      <c r="O533" s="56"/>
      <c r="P533" s="49"/>
    </row>
    <row r="534">
      <c r="O534" s="56"/>
      <c r="P534" s="49"/>
    </row>
    <row r="535">
      <c r="O535" s="56"/>
      <c r="P535" s="49"/>
    </row>
    <row r="536">
      <c r="O536" s="56"/>
      <c r="P536" s="49"/>
    </row>
    <row r="537">
      <c r="O537" s="56"/>
      <c r="P537" s="49"/>
    </row>
    <row r="538">
      <c r="O538" s="56"/>
      <c r="P538" s="49"/>
    </row>
    <row r="539">
      <c r="O539" s="56"/>
      <c r="P539" s="49"/>
    </row>
    <row r="540">
      <c r="O540" s="56"/>
      <c r="P540" s="49"/>
    </row>
    <row r="541">
      <c r="O541" s="56"/>
      <c r="P541" s="49"/>
    </row>
    <row r="542">
      <c r="O542" s="56"/>
      <c r="P542" s="49"/>
    </row>
    <row r="543">
      <c r="O543" s="56"/>
      <c r="P543" s="49"/>
    </row>
    <row r="544">
      <c r="O544" s="56"/>
      <c r="P544" s="49"/>
    </row>
    <row r="545">
      <c r="O545" s="56"/>
      <c r="P545" s="49"/>
    </row>
    <row r="546">
      <c r="O546" s="56"/>
      <c r="P546" s="49"/>
    </row>
    <row r="547">
      <c r="O547" s="56"/>
      <c r="P547" s="49"/>
    </row>
    <row r="548">
      <c r="O548" s="56"/>
      <c r="P548" s="49"/>
    </row>
    <row r="549">
      <c r="O549" s="56"/>
      <c r="P549" s="49"/>
    </row>
    <row r="550">
      <c r="O550" s="56"/>
      <c r="P550" s="49"/>
    </row>
    <row r="551">
      <c r="O551" s="56"/>
      <c r="P551" s="49"/>
    </row>
    <row r="552">
      <c r="O552" s="56"/>
      <c r="P552" s="49"/>
    </row>
    <row r="553">
      <c r="O553" s="56"/>
      <c r="P553" s="49"/>
    </row>
    <row r="554">
      <c r="O554" s="56"/>
      <c r="P554" s="49"/>
    </row>
    <row r="555">
      <c r="O555" s="56"/>
      <c r="P555" s="49"/>
    </row>
    <row r="556">
      <c r="O556" s="56"/>
      <c r="P556" s="49"/>
    </row>
    <row r="557">
      <c r="O557" s="56"/>
      <c r="P557" s="49"/>
    </row>
    <row r="558">
      <c r="O558" s="56"/>
      <c r="P558" s="49"/>
    </row>
    <row r="559">
      <c r="O559" s="56"/>
      <c r="P559" s="49"/>
    </row>
    <row r="560">
      <c r="O560" s="56"/>
      <c r="P560" s="49"/>
    </row>
    <row r="561">
      <c r="O561" s="56"/>
      <c r="P561" s="49"/>
    </row>
    <row r="562">
      <c r="O562" s="56"/>
      <c r="P562" s="49"/>
    </row>
    <row r="563">
      <c r="O563" s="56"/>
      <c r="P563" s="49"/>
    </row>
    <row r="564">
      <c r="O564" s="56"/>
      <c r="P564" s="49"/>
    </row>
    <row r="565">
      <c r="O565" s="56"/>
      <c r="P565" s="49"/>
    </row>
    <row r="566">
      <c r="O566" s="56"/>
      <c r="P566" s="49"/>
    </row>
    <row r="567">
      <c r="O567" s="56"/>
      <c r="P567" s="49"/>
    </row>
    <row r="568">
      <c r="O568" s="56"/>
      <c r="P568" s="49"/>
    </row>
    <row r="569">
      <c r="O569" s="56"/>
      <c r="P569" s="49"/>
    </row>
    <row r="570">
      <c r="O570" s="56"/>
      <c r="P570" s="49"/>
    </row>
    <row r="571">
      <c r="O571" s="56"/>
      <c r="P571" s="49"/>
    </row>
    <row r="572">
      <c r="O572" s="56"/>
      <c r="P572" s="49"/>
    </row>
    <row r="573">
      <c r="O573" s="56"/>
      <c r="P573" s="49"/>
    </row>
    <row r="574">
      <c r="O574" s="56"/>
      <c r="P574" s="49"/>
    </row>
    <row r="575">
      <c r="O575" s="56"/>
      <c r="P575" s="49"/>
    </row>
    <row r="576">
      <c r="O576" s="56"/>
      <c r="P576" s="49"/>
    </row>
    <row r="577">
      <c r="O577" s="56"/>
      <c r="P577" s="49"/>
    </row>
    <row r="578">
      <c r="O578" s="56"/>
      <c r="P578" s="49"/>
    </row>
    <row r="579">
      <c r="O579" s="56"/>
      <c r="P579" s="49"/>
    </row>
    <row r="580">
      <c r="O580" s="56"/>
      <c r="P580" s="49"/>
    </row>
    <row r="581">
      <c r="O581" s="56"/>
      <c r="P581" s="49"/>
    </row>
    <row r="582">
      <c r="O582" s="56"/>
      <c r="P582" s="49"/>
    </row>
    <row r="583">
      <c r="O583" s="56"/>
      <c r="P583" s="49"/>
    </row>
    <row r="584">
      <c r="O584" s="56"/>
      <c r="P584" s="49"/>
    </row>
    <row r="585">
      <c r="O585" s="56"/>
      <c r="P585" s="49"/>
    </row>
    <row r="586">
      <c r="O586" s="56"/>
      <c r="P586" s="49"/>
    </row>
    <row r="587">
      <c r="O587" s="56"/>
      <c r="P587" s="49"/>
    </row>
    <row r="588">
      <c r="O588" s="56"/>
      <c r="P588" s="49"/>
    </row>
    <row r="589">
      <c r="O589" s="56"/>
      <c r="P589" s="49"/>
    </row>
    <row r="590">
      <c r="O590" s="56"/>
      <c r="P590" s="49"/>
    </row>
    <row r="591">
      <c r="O591" s="56"/>
      <c r="P591" s="49"/>
    </row>
    <row r="592">
      <c r="O592" s="56"/>
      <c r="P592" s="49"/>
    </row>
    <row r="593">
      <c r="O593" s="56"/>
      <c r="P593" s="49"/>
    </row>
    <row r="594">
      <c r="O594" s="56"/>
      <c r="P594" s="49"/>
    </row>
    <row r="595">
      <c r="O595" s="56"/>
      <c r="P595" s="49"/>
    </row>
    <row r="596">
      <c r="O596" s="56"/>
      <c r="P596" s="49"/>
    </row>
    <row r="597">
      <c r="O597" s="56"/>
      <c r="P597" s="49"/>
    </row>
    <row r="598">
      <c r="O598" s="56"/>
      <c r="P598" s="49"/>
    </row>
    <row r="599">
      <c r="O599" s="56"/>
      <c r="P599" s="49"/>
    </row>
    <row r="600">
      <c r="O600" s="56"/>
      <c r="P600" s="49"/>
    </row>
    <row r="601">
      <c r="O601" s="56"/>
      <c r="P601" s="49"/>
    </row>
    <row r="602">
      <c r="O602" s="56"/>
      <c r="P602" s="49"/>
    </row>
    <row r="603">
      <c r="O603" s="56"/>
      <c r="P603" s="49"/>
    </row>
    <row r="604">
      <c r="O604" s="56"/>
      <c r="P604" s="49"/>
    </row>
    <row r="605">
      <c r="O605" s="56"/>
      <c r="P605" s="49"/>
    </row>
    <row r="606">
      <c r="O606" s="56"/>
      <c r="P606" s="49"/>
    </row>
    <row r="607">
      <c r="O607" s="56"/>
      <c r="P607" s="49"/>
    </row>
    <row r="608">
      <c r="O608" s="56"/>
      <c r="P608" s="49"/>
    </row>
    <row r="609">
      <c r="O609" s="56"/>
      <c r="P609" s="49"/>
    </row>
    <row r="610">
      <c r="O610" s="56"/>
      <c r="P610" s="49"/>
    </row>
    <row r="611">
      <c r="O611" s="56"/>
      <c r="P611" s="49"/>
    </row>
    <row r="612">
      <c r="O612" s="56"/>
      <c r="P612" s="49"/>
    </row>
    <row r="613">
      <c r="O613" s="56"/>
      <c r="P613" s="49"/>
    </row>
    <row r="614">
      <c r="O614" s="56"/>
      <c r="P614" s="49"/>
    </row>
    <row r="615">
      <c r="O615" s="56"/>
      <c r="P615" s="49"/>
    </row>
    <row r="616">
      <c r="O616" s="56"/>
      <c r="P616" s="49"/>
    </row>
    <row r="617">
      <c r="O617" s="56"/>
      <c r="P617" s="49"/>
    </row>
    <row r="618">
      <c r="O618" s="56"/>
      <c r="P618" s="49"/>
    </row>
    <row r="619">
      <c r="O619" s="56"/>
      <c r="P619" s="49"/>
    </row>
    <row r="620">
      <c r="O620" s="56"/>
      <c r="P620" s="49"/>
    </row>
    <row r="621">
      <c r="O621" s="56"/>
      <c r="P621" s="49"/>
    </row>
    <row r="622">
      <c r="O622" s="56"/>
      <c r="P622" s="49"/>
    </row>
    <row r="623">
      <c r="O623" s="56"/>
      <c r="P623" s="49"/>
    </row>
    <row r="624">
      <c r="O624" s="56"/>
      <c r="P624" s="49"/>
    </row>
    <row r="625">
      <c r="O625" s="56"/>
      <c r="P625" s="49"/>
    </row>
    <row r="626">
      <c r="O626" s="56"/>
      <c r="P626" s="49"/>
    </row>
    <row r="627">
      <c r="O627" s="56"/>
      <c r="P627" s="49"/>
    </row>
    <row r="628">
      <c r="O628" s="56"/>
      <c r="P628" s="49"/>
    </row>
    <row r="629">
      <c r="O629" s="56"/>
      <c r="P629" s="49"/>
    </row>
    <row r="630">
      <c r="O630" s="56"/>
      <c r="P630" s="49"/>
    </row>
    <row r="631">
      <c r="O631" s="56"/>
      <c r="P631" s="49"/>
    </row>
    <row r="632">
      <c r="O632" s="56"/>
      <c r="P632" s="49"/>
    </row>
    <row r="633">
      <c r="O633" s="56"/>
      <c r="P633" s="49"/>
    </row>
    <row r="634">
      <c r="O634" s="56"/>
      <c r="P634" s="49"/>
    </row>
    <row r="635">
      <c r="O635" s="56"/>
      <c r="P635" s="49"/>
    </row>
    <row r="636">
      <c r="O636" s="56"/>
      <c r="P636" s="49"/>
    </row>
    <row r="637">
      <c r="O637" s="56"/>
      <c r="P637" s="49"/>
    </row>
    <row r="638">
      <c r="O638" s="56"/>
      <c r="P638" s="49"/>
    </row>
    <row r="639">
      <c r="O639" s="56"/>
      <c r="P639" s="49"/>
    </row>
    <row r="640">
      <c r="O640" s="56"/>
      <c r="P640" s="49"/>
    </row>
    <row r="641">
      <c r="O641" s="56"/>
      <c r="P641" s="49"/>
    </row>
    <row r="642">
      <c r="O642" s="56"/>
      <c r="P642" s="49"/>
    </row>
    <row r="643">
      <c r="O643" s="56"/>
      <c r="P643" s="49"/>
    </row>
    <row r="644">
      <c r="O644" s="56"/>
      <c r="P644" s="49"/>
    </row>
    <row r="645">
      <c r="O645" s="56"/>
      <c r="P645" s="49"/>
    </row>
    <row r="646">
      <c r="O646" s="56"/>
      <c r="P646" s="49"/>
    </row>
    <row r="647">
      <c r="O647" s="56"/>
      <c r="P647" s="49"/>
    </row>
    <row r="648">
      <c r="O648" s="56"/>
      <c r="P648" s="49"/>
    </row>
    <row r="649">
      <c r="O649" s="56"/>
      <c r="P649" s="49"/>
    </row>
    <row r="650">
      <c r="O650" s="56"/>
      <c r="P650" s="49"/>
    </row>
    <row r="651">
      <c r="O651" s="56"/>
      <c r="P651" s="49"/>
    </row>
    <row r="652">
      <c r="O652" s="56"/>
      <c r="P652" s="49"/>
    </row>
    <row r="653">
      <c r="O653" s="56"/>
      <c r="P653" s="49"/>
    </row>
    <row r="654">
      <c r="O654" s="56"/>
      <c r="P654" s="49"/>
    </row>
    <row r="655">
      <c r="O655" s="56"/>
      <c r="P655" s="49"/>
    </row>
    <row r="656">
      <c r="O656" s="56"/>
      <c r="P656" s="49"/>
    </row>
    <row r="657">
      <c r="O657" s="56"/>
      <c r="P657" s="49"/>
    </row>
    <row r="658">
      <c r="O658" s="56"/>
      <c r="P658" s="49"/>
    </row>
    <row r="659">
      <c r="O659" s="56"/>
      <c r="P659" s="49"/>
    </row>
    <row r="660">
      <c r="O660" s="56"/>
      <c r="P660" s="49"/>
    </row>
    <row r="661">
      <c r="O661" s="56"/>
      <c r="P661" s="49"/>
    </row>
    <row r="662">
      <c r="O662" s="56"/>
      <c r="P662" s="49"/>
    </row>
    <row r="663">
      <c r="O663" s="56"/>
      <c r="P663" s="49"/>
    </row>
    <row r="664">
      <c r="O664" s="56"/>
      <c r="P664" s="49"/>
    </row>
    <row r="665">
      <c r="O665" s="56"/>
      <c r="P665" s="49"/>
    </row>
    <row r="666">
      <c r="O666" s="56"/>
      <c r="P666" s="49"/>
    </row>
    <row r="667">
      <c r="O667" s="56"/>
      <c r="P667" s="49"/>
    </row>
    <row r="668">
      <c r="O668" s="56"/>
      <c r="P668" s="49"/>
    </row>
    <row r="669">
      <c r="O669" s="56"/>
      <c r="P669" s="49"/>
    </row>
    <row r="670">
      <c r="O670" s="56"/>
      <c r="P670" s="49"/>
    </row>
    <row r="671">
      <c r="O671" s="56"/>
      <c r="P671" s="49"/>
    </row>
    <row r="672">
      <c r="O672" s="56"/>
      <c r="P672" s="49"/>
    </row>
    <row r="673">
      <c r="O673" s="56"/>
      <c r="P673" s="49"/>
    </row>
    <row r="674">
      <c r="O674" s="56"/>
      <c r="P674" s="49"/>
    </row>
    <row r="675">
      <c r="O675" s="56"/>
      <c r="P675" s="49"/>
    </row>
    <row r="676">
      <c r="O676" s="56"/>
      <c r="P676" s="49"/>
    </row>
    <row r="677">
      <c r="O677" s="56"/>
      <c r="P677" s="49"/>
    </row>
    <row r="678">
      <c r="O678" s="56"/>
      <c r="P678" s="49"/>
    </row>
    <row r="679">
      <c r="O679" s="56"/>
      <c r="P679" s="49"/>
    </row>
    <row r="680">
      <c r="O680" s="56"/>
      <c r="P680" s="49"/>
    </row>
    <row r="681">
      <c r="O681" s="56"/>
      <c r="P681" s="49"/>
    </row>
    <row r="682">
      <c r="O682" s="56"/>
      <c r="P682" s="49"/>
    </row>
    <row r="683">
      <c r="O683" s="56"/>
      <c r="P683" s="49"/>
    </row>
    <row r="684">
      <c r="O684" s="56"/>
      <c r="P684" s="49"/>
    </row>
    <row r="685">
      <c r="O685" s="56"/>
      <c r="P685" s="49"/>
    </row>
    <row r="686">
      <c r="O686" s="56"/>
      <c r="P686" s="49"/>
    </row>
    <row r="687">
      <c r="O687" s="56"/>
      <c r="P687" s="49"/>
    </row>
    <row r="688">
      <c r="O688" s="56"/>
      <c r="P688" s="49"/>
    </row>
    <row r="689">
      <c r="O689" s="56"/>
      <c r="P689" s="49"/>
    </row>
    <row r="690">
      <c r="O690" s="56"/>
      <c r="P690" s="49"/>
    </row>
    <row r="691">
      <c r="O691" s="56"/>
      <c r="P691" s="49"/>
    </row>
    <row r="692">
      <c r="O692" s="56"/>
      <c r="P692" s="49"/>
    </row>
    <row r="693">
      <c r="O693" s="56"/>
      <c r="P693" s="49"/>
    </row>
    <row r="694">
      <c r="O694" s="56"/>
      <c r="P694" s="49"/>
    </row>
    <row r="695">
      <c r="O695" s="56"/>
      <c r="P695" s="49"/>
    </row>
    <row r="696">
      <c r="O696" s="56"/>
      <c r="P696" s="49"/>
    </row>
    <row r="697">
      <c r="O697" s="56"/>
      <c r="P697" s="49"/>
    </row>
    <row r="698">
      <c r="O698" s="56"/>
      <c r="P698" s="49"/>
    </row>
    <row r="699">
      <c r="O699" s="56"/>
      <c r="P699" s="49"/>
    </row>
    <row r="700">
      <c r="O700" s="56"/>
      <c r="P700" s="49"/>
    </row>
    <row r="701">
      <c r="O701" s="56"/>
      <c r="P701" s="49"/>
    </row>
    <row r="702">
      <c r="O702" s="56"/>
      <c r="P702" s="49"/>
    </row>
    <row r="703">
      <c r="O703" s="56"/>
      <c r="P703" s="49"/>
    </row>
    <row r="704">
      <c r="O704" s="56"/>
      <c r="P704" s="49"/>
    </row>
    <row r="705">
      <c r="O705" s="56"/>
      <c r="P705" s="49"/>
    </row>
    <row r="706">
      <c r="O706" s="56"/>
      <c r="P706" s="49"/>
    </row>
    <row r="707">
      <c r="O707" s="56"/>
      <c r="P707" s="49"/>
    </row>
    <row r="708">
      <c r="O708" s="56"/>
      <c r="P708" s="49"/>
    </row>
    <row r="709">
      <c r="O709" s="56"/>
      <c r="P709" s="49"/>
    </row>
    <row r="710">
      <c r="O710" s="56"/>
      <c r="P710" s="49"/>
    </row>
    <row r="711">
      <c r="O711" s="56"/>
      <c r="P711" s="49"/>
    </row>
    <row r="712">
      <c r="O712" s="56"/>
      <c r="P712" s="49"/>
    </row>
    <row r="713">
      <c r="O713" s="56"/>
      <c r="P713" s="49"/>
    </row>
    <row r="714">
      <c r="O714" s="56"/>
      <c r="P714" s="49"/>
    </row>
    <row r="715">
      <c r="O715" s="56"/>
      <c r="P715" s="49"/>
    </row>
    <row r="716">
      <c r="O716" s="56"/>
      <c r="P716" s="49"/>
    </row>
    <row r="717">
      <c r="O717" s="56"/>
      <c r="P717" s="49"/>
    </row>
    <row r="718">
      <c r="O718" s="56"/>
      <c r="P718" s="49"/>
    </row>
    <row r="719">
      <c r="O719" s="56"/>
      <c r="P719" s="49"/>
    </row>
    <row r="720">
      <c r="O720" s="56"/>
      <c r="P720" s="49"/>
    </row>
    <row r="721">
      <c r="O721" s="56"/>
      <c r="P721" s="49"/>
    </row>
    <row r="722">
      <c r="O722" s="56"/>
      <c r="P722" s="49"/>
    </row>
    <row r="723">
      <c r="O723" s="56"/>
      <c r="P723" s="49"/>
    </row>
    <row r="724">
      <c r="O724" s="56"/>
      <c r="P724" s="49"/>
    </row>
    <row r="725">
      <c r="O725" s="56"/>
      <c r="P725" s="49"/>
    </row>
    <row r="726">
      <c r="O726" s="56"/>
      <c r="P726" s="49"/>
    </row>
    <row r="727">
      <c r="O727" s="56"/>
      <c r="P727" s="49"/>
    </row>
    <row r="728">
      <c r="O728" s="56"/>
      <c r="P728" s="49"/>
    </row>
    <row r="729">
      <c r="O729" s="56"/>
      <c r="P729" s="49"/>
    </row>
    <row r="730">
      <c r="O730" s="56"/>
      <c r="P730" s="49"/>
    </row>
    <row r="731">
      <c r="O731" s="56"/>
      <c r="P731" s="49"/>
    </row>
    <row r="732">
      <c r="O732" s="56"/>
      <c r="P732" s="49"/>
    </row>
    <row r="733">
      <c r="O733" s="56"/>
      <c r="P733" s="49"/>
    </row>
    <row r="734">
      <c r="O734" s="56"/>
      <c r="P734" s="49"/>
    </row>
    <row r="735">
      <c r="O735" s="56"/>
      <c r="P735" s="49"/>
    </row>
    <row r="736">
      <c r="O736" s="56"/>
      <c r="P736" s="49"/>
    </row>
    <row r="737">
      <c r="O737" s="56"/>
      <c r="P737" s="49"/>
    </row>
    <row r="738">
      <c r="O738" s="56"/>
      <c r="P738" s="49"/>
    </row>
    <row r="739">
      <c r="O739" s="56"/>
      <c r="P739" s="49"/>
    </row>
    <row r="740">
      <c r="O740" s="56"/>
      <c r="P740" s="49"/>
    </row>
    <row r="741">
      <c r="O741" s="56"/>
      <c r="P741" s="49"/>
    </row>
    <row r="742">
      <c r="O742" s="56"/>
      <c r="P742" s="49"/>
    </row>
    <row r="743">
      <c r="O743" s="56"/>
      <c r="P743" s="49"/>
    </row>
    <row r="744">
      <c r="O744" s="56"/>
      <c r="P744" s="49"/>
    </row>
    <row r="745">
      <c r="O745" s="56"/>
      <c r="P745" s="49"/>
    </row>
    <row r="746">
      <c r="O746" s="56"/>
      <c r="P746" s="49"/>
    </row>
    <row r="747">
      <c r="O747" s="56"/>
      <c r="P747" s="49"/>
    </row>
    <row r="748">
      <c r="O748" s="56"/>
      <c r="P748" s="49"/>
    </row>
    <row r="749">
      <c r="O749" s="56"/>
      <c r="P749" s="49"/>
    </row>
    <row r="750">
      <c r="O750" s="56"/>
      <c r="P750" s="49"/>
    </row>
    <row r="751">
      <c r="O751" s="56"/>
      <c r="P751" s="49"/>
    </row>
    <row r="752">
      <c r="O752" s="56"/>
      <c r="P752" s="49"/>
    </row>
    <row r="753">
      <c r="O753" s="56"/>
      <c r="P753" s="49"/>
    </row>
    <row r="754">
      <c r="O754" s="56"/>
      <c r="P754" s="49"/>
    </row>
    <row r="755">
      <c r="O755" s="56"/>
      <c r="P755" s="49"/>
    </row>
    <row r="756">
      <c r="O756" s="56"/>
      <c r="P756" s="49"/>
    </row>
    <row r="757">
      <c r="O757" s="56"/>
      <c r="P757" s="49"/>
    </row>
    <row r="758">
      <c r="O758" s="56"/>
      <c r="P758" s="49"/>
    </row>
    <row r="759">
      <c r="O759" s="56"/>
      <c r="P759" s="49"/>
    </row>
    <row r="760">
      <c r="O760" s="56"/>
      <c r="P760" s="49"/>
    </row>
    <row r="761">
      <c r="O761" s="56"/>
      <c r="P761" s="49"/>
    </row>
    <row r="762">
      <c r="O762" s="56"/>
      <c r="P762" s="49"/>
    </row>
    <row r="763">
      <c r="O763" s="56"/>
      <c r="P763" s="49"/>
    </row>
    <row r="764">
      <c r="O764" s="56"/>
      <c r="P764" s="49"/>
    </row>
    <row r="765">
      <c r="O765" s="56"/>
      <c r="P765" s="49"/>
    </row>
    <row r="766">
      <c r="O766" s="56"/>
      <c r="P766" s="49"/>
    </row>
    <row r="767">
      <c r="O767" s="56"/>
      <c r="P767" s="49"/>
    </row>
    <row r="768">
      <c r="O768" s="56"/>
      <c r="P768" s="49"/>
    </row>
    <row r="769">
      <c r="O769" s="56"/>
      <c r="P769" s="49"/>
    </row>
    <row r="770">
      <c r="O770" s="56"/>
      <c r="P770" s="49"/>
    </row>
    <row r="771">
      <c r="O771" s="56"/>
      <c r="P771" s="49"/>
    </row>
    <row r="772">
      <c r="O772" s="56"/>
      <c r="P772" s="49"/>
    </row>
    <row r="773">
      <c r="O773" s="56"/>
      <c r="P773" s="49"/>
    </row>
    <row r="774">
      <c r="O774" s="56"/>
      <c r="P774" s="49"/>
    </row>
    <row r="775">
      <c r="O775" s="56"/>
      <c r="P775" s="49"/>
    </row>
    <row r="776">
      <c r="O776" s="56"/>
      <c r="P776" s="49"/>
    </row>
    <row r="777">
      <c r="O777" s="56"/>
      <c r="P777" s="49"/>
    </row>
    <row r="778">
      <c r="O778" s="56"/>
      <c r="P778" s="49"/>
    </row>
    <row r="779">
      <c r="O779" s="56"/>
      <c r="P779" s="49"/>
    </row>
    <row r="780">
      <c r="O780" s="56"/>
      <c r="P780" s="49"/>
    </row>
    <row r="781">
      <c r="O781" s="56"/>
      <c r="P781" s="49"/>
    </row>
    <row r="782">
      <c r="O782" s="56"/>
      <c r="P782" s="49"/>
    </row>
    <row r="783">
      <c r="O783" s="56"/>
      <c r="P783" s="49"/>
    </row>
    <row r="784">
      <c r="O784" s="56"/>
      <c r="P784" s="49"/>
    </row>
    <row r="785">
      <c r="O785" s="56"/>
      <c r="P785" s="49"/>
    </row>
    <row r="786">
      <c r="O786" s="56"/>
      <c r="P786" s="49"/>
    </row>
    <row r="787">
      <c r="O787" s="56"/>
      <c r="P787" s="49"/>
    </row>
    <row r="788">
      <c r="O788" s="56"/>
      <c r="P788" s="49"/>
    </row>
    <row r="789">
      <c r="O789" s="56"/>
      <c r="P789" s="49"/>
    </row>
    <row r="790">
      <c r="O790" s="56"/>
      <c r="P790" s="49"/>
    </row>
    <row r="791">
      <c r="O791" s="56"/>
      <c r="P791" s="49"/>
    </row>
    <row r="792">
      <c r="O792" s="56"/>
      <c r="P792" s="49"/>
    </row>
    <row r="793">
      <c r="O793" s="56"/>
      <c r="P793" s="49"/>
    </row>
    <row r="794">
      <c r="O794" s="56"/>
      <c r="P794" s="49"/>
    </row>
    <row r="795">
      <c r="O795" s="56"/>
      <c r="P795" s="49"/>
    </row>
    <row r="796">
      <c r="O796" s="56"/>
      <c r="P796" s="49"/>
    </row>
    <row r="797">
      <c r="O797" s="56"/>
      <c r="P797" s="49"/>
    </row>
    <row r="798">
      <c r="O798" s="56"/>
      <c r="P798" s="49"/>
    </row>
    <row r="799">
      <c r="O799" s="56"/>
      <c r="P799" s="49"/>
    </row>
    <row r="800">
      <c r="O800" s="56"/>
      <c r="P800" s="49"/>
    </row>
    <row r="801">
      <c r="O801" s="56"/>
      <c r="P801" s="49"/>
    </row>
    <row r="802">
      <c r="O802" s="56"/>
      <c r="P802" s="49"/>
    </row>
    <row r="803">
      <c r="O803" s="56"/>
      <c r="P803" s="49"/>
    </row>
    <row r="804">
      <c r="O804" s="56"/>
      <c r="P804" s="49"/>
    </row>
    <row r="805">
      <c r="O805" s="56"/>
      <c r="P805" s="49"/>
    </row>
    <row r="806">
      <c r="O806" s="56"/>
      <c r="P806" s="49"/>
    </row>
    <row r="807">
      <c r="O807" s="56"/>
      <c r="P807" s="49"/>
    </row>
    <row r="808">
      <c r="O808" s="56"/>
      <c r="P808" s="49"/>
    </row>
    <row r="809">
      <c r="O809" s="56"/>
      <c r="P809" s="49"/>
    </row>
    <row r="810">
      <c r="O810" s="56"/>
      <c r="P810" s="49"/>
    </row>
    <row r="811">
      <c r="O811" s="56"/>
      <c r="P811" s="49"/>
    </row>
    <row r="812">
      <c r="O812" s="56"/>
      <c r="P812" s="49"/>
    </row>
    <row r="813">
      <c r="O813" s="56"/>
      <c r="P813" s="49"/>
    </row>
    <row r="814">
      <c r="O814" s="56"/>
      <c r="P814" s="49"/>
    </row>
    <row r="815">
      <c r="O815" s="56"/>
      <c r="P815" s="49"/>
    </row>
    <row r="816">
      <c r="O816" s="56"/>
      <c r="P816" s="49"/>
    </row>
    <row r="817">
      <c r="O817" s="56"/>
      <c r="P817" s="49"/>
    </row>
    <row r="818">
      <c r="O818" s="56"/>
      <c r="P818" s="49"/>
    </row>
    <row r="819">
      <c r="O819" s="56"/>
      <c r="P819" s="49"/>
    </row>
    <row r="820">
      <c r="O820" s="56"/>
      <c r="P820" s="49"/>
    </row>
    <row r="821">
      <c r="O821" s="56"/>
      <c r="P821" s="49"/>
    </row>
    <row r="822">
      <c r="O822" s="56"/>
      <c r="P822" s="49"/>
    </row>
    <row r="823">
      <c r="O823" s="56"/>
      <c r="P823" s="49"/>
    </row>
    <row r="824">
      <c r="O824" s="56"/>
      <c r="P824" s="49"/>
    </row>
    <row r="825">
      <c r="O825" s="56"/>
      <c r="P825" s="49"/>
    </row>
    <row r="826">
      <c r="O826" s="56"/>
      <c r="P826" s="49"/>
    </row>
    <row r="827">
      <c r="O827" s="56"/>
      <c r="P827" s="49"/>
    </row>
    <row r="828">
      <c r="O828" s="56"/>
      <c r="P828" s="49"/>
    </row>
    <row r="829">
      <c r="O829" s="56"/>
      <c r="P829" s="49"/>
    </row>
    <row r="830">
      <c r="O830" s="56"/>
      <c r="P830" s="49"/>
    </row>
    <row r="831">
      <c r="O831" s="56"/>
      <c r="P831" s="49"/>
    </row>
    <row r="832">
      <c r="O832" s="56"/>
      <c r="P832" s="49"/>
    </row>
    <row r="833">
      <c r="O833" s="56"/>
      <c r="P833" s="49"/>
    </row>
    <row r="834">
      <c r="O834" s="56"/>
      <c r="P834" s="49"/>
    </row>
    <row r="835">
      <c r="O835" s="56"/>
      <c r="P835" s="49"/>
    </row>
    <row r="836">
      <c r="O836" s="56"/>
      <c r="P836" s="49"/>
    </row>
    <row r="837">
      <c r="O837" s="56"/>
      <c r="P837" s="49"/>
    </row>
    <row r="838">
      <c r="O838" s="56"/>
      <c r="P838" s="49"/>
    </row>
    <row r="839">
      <c r="O839" s="56"/>
      <c r="P839" s="49"/>
    </row>
    <row r="840">
      <c r="O840" s="56"/>
      <c r="P840" s="49"/>
    </row>
    <row r="841">
      <c r="O841" s="56"/>
      <c r="P841" s="49"/>
    </row>
    <row r="842">
      <c r="O842" s="56"/>
      <c r="P842" s="49"/>
    </row>
    <row r="843">
      <c r="O843" s="56"/>
      <c r="P843" s="49"/>
    </row>
    <row r="844">
      <c r="O844" s="56"/>
      <c r="P844" s="49"/>
    </row>
    <row r="845">
      <c r="O845" s="56"/>
      <c r="P845" s="49"/>
    </row>
    <row r="846">
      <c r="O846" s="56"/>
      <c r="P846" s="49"/>
    </row>
    <row r="847">
      <c r="O847" s="56"/>
      <c r="P847" s="49"/>
    </row>
    <row r="848">
      <c r="O848" s="56"/>
      <c r="P848" s="49"/>
    </row>
    <row r="849">
      <c r="O849" s="56"/>
      <c r="P849" s="49"/>
    </row>
    <row r="850">
      <c r="O850" s="56"/>
      <c r="P850" s="49"/>
    </row>
    <row r="851">
      <c r="O851" s="56"/>
      <c r="P851" s="49"/>
    </row>
    <row r="852">
      <c r="O852" s="56"/>
      <c r="P852" s="49"/>
    </row>
    <row r="853">
      <c r="O853" s="56"/>
      <c r="P853" s="49"/>
    </row>
    <row r="854">
      <c r="O854" s="56"/>
      <c r="P854" s="49"/>
    </row>
    <row r="855">
      <c r="O855" s="56"/>
      <c r="P855" s="49"/>
    </row>
    <row r="856">
      <c r="O856" s="56"/>
      <c r="P856" s="49"/>
    </row>
    <row r="857">
      <c r="O857" s="56"/>
      <c r="P857" s="49"/>
    </row>
    <row r="858">
      <c r="O858" s="56"/>
      <c r="P858" s="49"/>
    </row>
    <row r="859">
      <c r="O859" s="56"/>
      <c r="P859" s="49"/>
    </row>
    <row r="860">
      <c r="O860" s="56"/>
      <c r="P860" s="49"/>
    </row>
    <row r="861">
      <c r="O861" s="56"/>
      <c r="P861" s="49"/>
    </row>
    <row r="862">
      <c r="O862" s="56"/>
      <c r="P862" s="49"/>
    </row>
    <row r="863">
      <c r="O863" s="56"/>
      <c r="P863" s="49"/>
    </row>
    <row r="864">
      <c r="O864" s="56"/>
      <c r="P864" s="49"/>
    </row>
    <row r="865">
      <c r="O865" s="56"/>
      <c r="P865" s="49"/>
    </row>
    <row r="866">
      <c r="O866" s="56"/>
      <c r="P866" s="49"/>
    </row>
    <row r="867">
      <c r="O867" s="56"/>
      <c r="P867" s="49"/>
    </row>
    <row r="868">
      <c r="O868" s="56"/>
      <c r="P868" s="49"/>
    </row>
    <row r="869">
      <c r="O869" s="56"/>
      <c r="P869" s="49"/>
    </row>
    <row r="870">
      <c r="O870" s="56"/>
      <c r="P870" s="49"/>
    </row>
    <row r="871">
      <c r="O871" s="56"/>
      <c r="P871" s="49"/>
    </row>
    <row r="872">
      <c r="O872" s="56"/>
      <c r="P872" s="49"/>
    </row>
    <row r="873">
      <c r="O873" s="56"/>
      <c r="P873" s="49"/>
    </row>
    <row r="874">
      <c r="O874" s="56"/>
      <c r="P874" s="49"/>
    </row>
    <row r="875">
      <c r="O875" s="56"/>
      <c r="P875" s="49"/>
    </row>
    <row r="876">
      <c r="O876" s="56"/>
      <c r="P876" s="49"/>
    </row>
    <row r="877">
      <c r="O877" s="56"/>
      <c r="P877" s="49"/>
    </row>
    <row r="878">
      <c r="O878" s="56"/>
      <c r="P878" s="49"/>
    </row>
    <row r="879">
      <c r="O879" s="56"/>
      <c r="P879" s="49"/>
    </row>
    <row r="880">
      <c r="O880" s="56"/>
      <c r="P880" s="49"/>
    </row>
    <row r="881">
      <c r="O881" s="56"/>
      <c r="P881" s="49"/>
    </row>
    <row r="882">
      <c r="O882" s="56"/>
      <c r="P882" s="49"/>
    </row>
    <row r="883">
      <c r="O883" s="56"/>
      <c r="P883" s="49"/>
    </row>
    <row r="884">
      <c r="O884" s="56"/>
      <c r="P884" s="49"/>
    </row>
    <row r="885">
      <c r="O885" s="56"/>
      <c r="P885" s="49"/>
    </row>
    <row r="886">
      <c r="O886" s="56"/>
      <c r="P886" s="49"/>
    </row>
    <row r="887">
      <c r="O887" s="56"/>
      <c r="P887" s="49"/>
    </row>
    <row r="888">
      <c r="O888" s="56"/>
      <c r="P888" s="49"/>
    </row>
    <row r="889">
      <c r="O889" s="56"/>
      <c r="P889" s="49"/>
    </row>
    <row r="890">
      <c r="O890" s="56"/>
      <c r="P890" s="49"/>
    </row>
    <row r="891">
      <c r="O891" s="56"/>
      <c r="P891" s="49"/>
    </row>
    <row r="892">
      <c r="O892" s="56"/>
      <c r="P892" s="49"/>
    </row>
    <row r="893">
      <c r="O893" s="56"/>
      <c r="P893" s="49"/>
    </row>
    <row r="894">
      <c r="O894" s="56"/>
      <c r="P894" s="49"/>
    </row>
    <row r="895">
      <c r="O895" s="56"/>
      <c r="P895" s="49"/>
    </row>
    <row r="896">
      <c r="O896" s="56"/>
      <c r="P896" s="49"/>
    </row>
    <row r="897">
      <c r="O897" s="56"/>
      <c r="P897" s="49"/>
    </row>
    <row r="898">
      <c r="O898" s="56"/>
      <c r="P898" s="49"/>
    </row>
    <row r="899">
      <c r="O899" s="56"/>
      <c r="P899" s="49"/>
    </row>
    <row r="900">
      <c r="O900" s="56"/>
      <c r="P900" s="49"/>
    </row>
    <row r="901">
      <c r="O901" s="56"/>
      <c r="P901" s="49"/>
    </row>
    <row r="902">
      <c r="O902" s="56"/>
      <c r="P902" s="49"/>
    </row>
    <row r="903">
      <c r="O903" s="56"/>
      <c r="P903" s="49"/>
    </row>
    <row r="904">
      <c r="O904" s="56"/>
      <c r="P904" s="49"/>
    </row>
    <row r="905">
      <c r="O905" s="56"/>
      <c r="P905" s="49"/>
    </row>
    <row r="906">
      <c r="O906" s="56"/>
      <c r="P906" s="49"/>
    </row>
    <row r="907">
      <c r="O907" s="56"/>
      <c r="P907" s="49"/>
    </row>
    <row r="908">
      <c r="O908" s="56"/>
      <c r="P908" s="49"/>
    </row>
    <row r="909">
      <c r="O909" s="56"/>
      <c r="P909" s="49"/>
    </row>
    <row r="910">
      <c r="O910" s="56"/>
      <c r="P910" s="49"/>
    </row>
    <row r="911">
      <c r="O911" s="56"/>
      <c r="P911" s="49"/>
    </row>
    <row r="912">
      <c r="O912" s="56"/>
      <c r="P912" s="49"/>
    </row>
    <row r="913">
      <c r="O913" s="56"/>
      <c r="P913" s="49"/>
    </row>
    <row r="914">
      <c r="O914" s="56"/>
      <c r="P914" s="49"/>
    </row>
    <row r="915">
      <c r="O915" s="56"/>
      <c r="P915" s="49"/>
    </row>
    <row r="916">
      <c r="O916" s="56"/>
      <c r="P916" s="49"/>
    </row>
    <row r="917">
      <c r="O917" s="56"/>
      <c r="P917" s="49"/>
    </row>
    <row r="918">
      <c r="O918" s="56"/>
      <c r="P918" s="49"/>
    </row>
    <row r="919">
      <c r="O919" s="56"/>
      <c r="P919" s="49"/>
    </row>
    <row r="920">
      <c r="O920" s="56"/>
      <c r="P920" s="49"/>
    </row>
    <row r="921">
      <c r="O921" s="56"/>
      <c r="P921" s="49"/>
    </row>
    <row r="922">
      <c r="O922" s="56"/>
      <c r="P922" s="49"/>
    </row>
    <row r="923">
      <c r="O923" s="56"/>
      <c r="P923" s="49"/>
    </row>
    <row r="924">
      <c r="O924" s="56"/>
      <c r="P924" s="49"/>
    </row>
    <row r="925">
      <c r="O925" s="56"/>
      <c r="P925" s="49"/>
    </row>
    <row r="926">
      <c r="O926" s="56"/>
      <c r="P926" s="49"/>
    </row>
    <row r="927">
      <c r="O927" s="56"/>
      <c r="P927" s="49"/>
    </row>
    <row r="928">
      <c r="O928" s="56"/>
      <c r="P928" s="49"/>
    </row>
    <row r="929">
      <c r="O929" s="56"/>
      <c r="P929" s="49"/>
    </row>
    <row r="930">
      <c r="O930" s="56"/>
      <c r="P930" s="49"/>
    </row>
    <row r="931">
      <c r="O931" s="56"/>
      <c r="P931" s="49"/>
    </row>
    <row r="932">
      <c r="O932" s="56"/>
      <c r="P932" s="49"/>
    </row>
    <row r="933">
      <c r="O933" s="56"/>
      <c r="P933" s="49"/>
    </row>
    <row r="934">
      <c r="O934" s="56"/>
      <c r="P934" s="49"/>
    </row>
    <row r="935">
      <c r="O935" s="56"/>
      <c r="P935" s="49"/>
    </row>
    <row r="936">
      <c r="O936" s="56"/>
      <c r="P936" s="49"/>
    </row>
    <row r="937">
      <c r="O937" s="56"/>
      <c r="P937" s="49"/>
    </row>
    <row r="938">
      <c r="O938" s="56"/>
      <c r="P938" s="49"/>
    </row>
    <row r="939">
      <c r="O939" s="56"/>
      <c r="P939" s="49"/>
    </row>
    <row r="940">
      <c r="O940" s="56"/>
      <c r="P940" s="49"/>
    </row>
    <row r="941">
      <c r="O941" s="56"/>
      <c r="P941" s="49"/>
    </row>
    <row r="942">
      <c r="O942" s="56"/>
      <c r="P942" s="49"/>
    </row>
    <row r="943">
      <c r="O943" s="56"/>
      <c r="P943" s="49"/>
    </row>
    <row r="944">
      <c r="O944" s="56"/>
      <c r="P944" s="49"/>
    </row>
    <row r="945">
      <c r="O945" s="56"/>
      <c r="P945" s="49"/>
    </row>
    <row r="946">
      <c r="O946" s="56"/>
      <c r="P946" s="49"/>
    </row>
    <row r="947">
      <c r="O947" s="56"/>
      <c r="P947" s="49"/>
    </row>
    <row r="948">
      <c r="O948" s="56"/>
      <c r="P948" s="49"/>
    </row>
    <row r="949">
      <c r="O949" s="56"/>
      <c r="P949" s="49"/>
    </row>
    <row r="950">
      <c r="O950" s="56"/>
      <c r="P950" s="49"/>
    </row>
    <row r="951">
      <c r="O951" s="56"/>
      <c r="P951" s="49"/>
    </row>
    <row r="952">
      <c r="O952" s="56"/>
      <c r="P952" s="49"/>
    </row>
    <row r="953">
      <c r="O953" s="56"/>
      <c r="P953" s="49"/>
    </row>
    <row r="954">
      <c r="O954" s="56"/>
      <c r="P954" s="49"/>
    </row>
    <row r="955">
      <c r="O955" s="56"/>
      <c r="P955" s="49"/>
    </row>
    <row r="956">
      <c r="O956" s="56"/>
      <c r="P956" s="49"/>
    </row>
    <row r="957">
      <c r="O957" s="56"/>
      <c r="P957" s="49"/>
    </row>
    <row r="958">
      <c r="O958" s="56"/>
      <c r="P958" s="49"/>
    </row>
    <row r="959">
      <c r="O959" s="56"/>
      <c r="P959" s="49"/>
    </row>
    <row r="960">
      <c r="O960" s="56"/>
      <c r="P960" s="49"/>
    </row>
    <row r="961">
      <c r="O961" s="56"/>
      <c r="P961" s="49"/>
    </row>
    <row r="962">
      <c r="O962" s="56"/>
      <c r="P962" s="49"/>
    </row>
    <row r="963">
      <c r="O963" s="56"/>
      <c r="P963" s="49"/>
    </row>
    <row r="964">
      <c r="O964" s="56"/>
      <c r="P964" s="49"/>
    </row>
    <row r="965">
      <c r="O965" s="56"/>
      <c r="P965" s="49"/>
    </row>
    <row r="966">
      <c r="O966" s="56"/>
      <c r="P966" s="49"/>
    </row>
    <row r="967">
      <c r="O967" s="56"/>
      <c r="P967" s="49"/>
    </row>
    <row r="968">
      <c r="O968" s="56"/>
      <c r="P968" s="49"/>
    </row>
    <row r="969">
      <c r="O969" s="56"/>
      <c r="P969" s="49"/>
    </row>
    <row r="970">
      <c r="O970" s="56"/>
      <c r="P970" s="49"/>
    </row>
    <row r="971">
      <c r="O971" s="56"/>
      <c r="P971" s="49"/>
    </row>
    <row r="972">
      <c r="O972" s="56"/>
      <c r="P972" s="49"/>
    </row>
    <row r="973">
      <c r="O973" s="56"/>
      <c r="P973" s="49"/>
    </row>
    <row r="974">
      <c r="O974" s="56"/>
      <c r="P974" s="49"/>
    </row>
    <row r="975">
      <c r="O975" s="56"/>
      <c r="P975" s="49"/>
    </row>
    <row r="976">
      <c r="O976" s="56"/>
      <c r="P976" s="49"/>
    </row>
    <row r="977">
      <c r="O977" s="56"/>
      <c r="P977" s="49"/>
    </row>
    <row r="978">
      <c r="O978" s="56"/>
      <c r="P978" s="49"/>
    </row>
    <row r="979">
      <c r="O979" s="56"/>
      <c r="P979" s="49"/>
    </row>
    <row r="980">
      <c r="O980" s="56"/>
      <c r="P980" s="49"/>
    </row>
    <row r="981">
      <c r="O981" s="56"/>
      <c r="P981" s="49"/>
    </row>
    <row r="982">
      <c r="O982" s="56"/>
      <c r="P982" s="49"/>
    </row>
    <row r="983">
      <c r="O983" s="56"/>
      <c r="P983" s="49"/>
    </row>
    <row r="984">
      <c r="O984" s="56"/>
      <c r="P984" s="49"/>
    </row>
    <row r="985">
      <c r="O985" s="56"/>
      <c r="P985" s="49"/>
    </row>
    <row r="986">
      <c r="O986" s="56"/>
      <c r="P986" s="49"/>
    </row>
    <row r="987">
      <c r="O987" s="56"/>
      <c r="P987" s="49"/>
    </row>
    <row r="988">
      <c r="O988" s="56"/>
      <c r="P988" s="49"/>
    </row>
    <row r="989">
      <c r="O989" s="56"/>
      <c r="P989" s="49"/>
    </row>
    <row r="990">
      <c r="O990" s="56"/>
      <c r="P990" s="49"/>
    </row>
    <row r="991">
      <c r="O991" s="56"/>
      <c r="P991" s="49"/>
    </row>
    <row r="992">
      <c r="O992" s="56"/>
      <c r="P992" s="49"/>
    </row>
    <row r="993">
      <c r="O993" s="56"/>
      <c r="P993" s="49"/>
    </row>
    <row r="994">
      <c r="O994" s="56"/>
      <c r="P994" s="49"/>
    </row>
    <row r="995">
      <c r="O995" s="56"/>
      <c r="P995" s="49"/>
    </row>
    <row r="996">
      <c r="O996" s="56"/>
      <c r="P996" s="49"/>
    </row>
  </sheetData>
  <mergeCells count="5">
    <mergeCell ref="B1:D1"/>
    <mergeCell ref="J1:Q1"/>
    <mergeCell ref="S1:U1"/>
    <mergeCell ref="S2:U2"/>
    <mergeCell ref="F1:H1"/>
  </mergeCells>
  <conditionalFormatting sqref="B4:B996 F4:F996">
    <cfRule type="cellIs" dxfId="0" priority="1" operator="lessThan">
      <formula>3.5%/12</formula>
    </cfRule>
  </conditionalFormatting>
  <conditionalFormatting sqref="C4:C996 G4:G996">
    <cfRule type="cellIs" dxfId="0" priority="2" operator="lessThan">
      <formula>7.5%/12</formula>
    </cfRule>
  </conditionalFormatting>
  <conditionalFormatting sqref="D4:D996 H4:H996">
    <cfRule type="cellIs" dxfId="0" priority="3" operator="lessThan">
      <formula>7.75%/12</formula>
    </cfRule>
  </conditionalFormatting>
  <drawing r:id="rId2"/>
  <legacyDrawing r:id="rId3"/>
</worksheet>
</file>